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7" codeName="{00000000-0000-0000-0000-000000000000}"/>
  <workbookPr showInkAnnotation="0" updateLinks="never" codeName="ThisWorkbook"/>
  <mc:AlternateContent xmlns:mc="http://schemas.openxmlformats.org/markup-compatibility/2006">
    <mc:Choice Requires="x15">
      <x15ac:absPath xmlns:x15ac="http://schemas.microsoft.com/office/spreadsheetml/2010/11/ac" url="/Users/kevinwong/Desktop/"/>
    </mc:Choice>
  </mc:AlternateContent>
  <xr:revisionPtr revIDLastSave="0" documentId="8_{08DABB10-5C78-9B47-8EC8-9997B38BE2F5}" xr6:coauthVersionLast="47" xr6:coauthVersionMax="47" xr10:uidLastSave="{00000000-0000-0000-0000-000000000000}"/>
  <bookViews>
    <workbookView xWindow="3680" yWindow="500" windowWidth="29920" windowHeight="20500" activeTab="6" xr2:uid="{00000000-000D-0000-FFFF-FFFF00000000}"/>
  </bookViews>
  <sheets>
    <sheet name="Mirror" sheetId="10" state="veryHidden" r:id="rId1"/>
    <sheet name="Program" sheetId="9" state="veryHidden" r:id="rId2"/>
    <sheet name="Last_Yr" sheetId="7" state="veryHidden" r:id="rId3"/>
    <sheet name="This_Yr" sheetId="6" state="veryHidden" r:id="rId4"/>
    <sheet name="Data" sheetId="5" state="veryHidden" r:id="rId5"/>
    <sheet name="Data (nextday)" sheetId="12" state="veryHidden" r:id="rId6"/>
    <sheet name="Worksheet" sheetId="11" r:id="rId7"/>
  </sheets>
  <externalReferences>
    <externalReference r:id="rId8"/>
  </externalReferences>
  <definedNames>
    <definedName name="A_part" localSheetId="2">IF(Last_Yr!Z_part&lt;2299161,Last_Yr!Z_part,(Last_Yr!Z_part+1+Last_Yr!Alpha_part-INT(Last_Yr!Alpha_part/4)))</definedName>
    <definedName name="A_part" localSheetId="0">IF(Mirror!Z_part&lt;2299161,Mirror!Z_part,(Mirror!Z_part+1+Mirror!Alpha_part-INT(Mirror!Alpha_part/4)))</definedName>
    <definedName name="A_part" localSheetId="1">IF(Program!Z_part&lt;2299161,Program!Z_part,(Program!Z_part+1+Program!Alpha_part-INT(Program!Alpha_part/4)))</definedName>
    <definedName name="A_part" localSheetId="6">IF(Worksheet!Z_part&lt;2299161,Worksheet!Z_part,(Worksheet!Z_part+1+Worksheet!Alpha_part-INT(Worksheet!Alpha_part/4)))</definedName>
    <definedName name="A_part">IF(Z_part&lt;2299161,Z_part,(Z_part+1+Alpha_part-INT(Alpha_part/4)))</definedName>
    <definedName name="Aladdin" localSheetId="2">#REF!</definedName>
    <definedName name="Aladdin" localSheetId="0">#REF!</definedName>
    <definedName name="Aladdin" localSheetId="1">#REF!</definedName>
    <definedName name="Aladdin" localSheetId="3">#REF!</definedName>
    <definedName name="Alpha_part" localSheetId="2">INT((Last_Yr!Z_part-1867216.25)/36524.25)</definedName>
    <definedName name="Alpha_part" localSheetId="0">INT((Mirror!Z_part-1867216.25)/36524.25)</definedName>
    <definedName name="Alpha_part" localSheetId="1">INT((Program!Z_part-1867216.25)/36524.25)</definedName>
    <definedName name="Alpha_part" localSheetId="6">INT((Worksheet!Z_part-1867216.25)/36524.25)</definedName>
    <definedName name="Alpha_part">INT((Z_part-1867216.25)/36524.25)</definedName>
    <definedName name="B_part" localSheetId="2">Last_Yr!A_part+1524</definedName>
    <definedName name="B_part" localSheetId="0">Mirror!A_part+1524</definedName>
    <definedName name="B_part" localSheetId="1">Program!A_part+1524</definedName>
    <definedName name="B_part" localSheetId="6">Worksheet!A_part+1524</definedName>
    <definedName name="B_part">A_part+1524</definedName>
    <definedName name="C_part" localSheetId="2">INT((Last_Yr!B_part-122.1)/365.25)</definedName>
    <definedName name="C_part" localSheetId="0">INT((Mirror!B_part-122.1)/365.25)</definedName>
    <definedName name="C_part" localSheetId="1">INT((Program!B_part-122.1)/365.25)</definedName>
    <definedName name="C_part" localSheetId="6">INT((Worksheet!B_part-122.1)/365.25)</definedName>
    <definedName name="C_part">INT((B_part-122.1)/365.25)</definedName>
    <definedName name="callp" localSheetId="2">((2*ATAN((SQRT((1-Last_Yr!地球繞日軌道偏心率)/(1+Last_Yr!地球繞日軌道偏心率))*TAN(Last_Yr!XFD1/2))))-(Last_Yr!地球繞日軌道偏心率*SQRT(1-Last_Yr!地球繞日軌道偏心率^2)*SIN(Last_Yr!XFD1)/(1+Last_Yr!地球繞日軌道偏心率*COS(Last_Yr!XFD1))))*Last_Yr!$B$8</definedName>
    <definedName name="callp" localSheetId="3">((2*ATAN((SQRT((1-地球繞日軌道偏心率)/(1+地球繞日軌道偏心率))*TAN(This_Yr!XFD1/2))))-(地球繞日軌道偏心率*SQRT(1-地球繞日軌道偏心率^2)*SIN(This_Yr!XFD1)/(1+地球繞日軌道偏心率*COS(This_Yr!XFD1))))*This_Yr!$B$8</definedName>
    <definedName name="D_part" localSheetId="2">INT(365.25*Last_Yr!C_part)</definedName>
    <definedName name="D_part" localSheetId="0">INT(365.25*Mirror!C_part)</definedName>
    <definedName name="D_part" localSheetId="1">INT(365.25*Program!C_part)</definedName>
    <definedName name="D_part" localSheetId="6">INT(365.25*Worksheet!C_part)</definedName>
    <definedName name="D_part">INT(365.25*C_part)</definedName>
    <definedName name="Date_d" localSheetId="2">Last_Yr!B_part-Last_Yr!D_part-INT(30.6001*Last_Yr!E_part)+Last_Yr!F_part</definedName>
    <definedName name="Date_d" localSheetId="0">Mirror!B_part-Mirror!D_part-INT(30.6001*Mirror!E_part)+Mirror!F_part</definedName>
    <definedName name="Date_d" localSheetId="1">Program!B_part-Program!D_part-INT(30.6001*Program!E_part)+Program!F_part</definedName>
    <definedName name="Date_d" localSheetId="6">Worksheet!B_part-Worksheet!D_part-INT(30.6001*Worksheet!E_part)+Worksheet!F_part</definedName>
    <definedName name="Date_d">B_part-D_part-INT(30.6001*E_part)+F_part</definedName>
    <definedName name="Date_m" localSheetId="2">IF(Last_Yr!E_part&lt;14,Last_Yr!E_part-1,Last_Yr!E_part-13)</definedName>
    <definedName name="Date_m" localSheetId="0">IF(Mirror!E_part&lt;14,Mirror!E_part-1,Mirror!E_part-13)</definedName>
    <definedName name="Date_m" localSheetId="1">IF(Program!E_part&lt;14,Program!E_part-1,Program!E_part-13)</definedName>
    <definedName name="Date_m" localSheetId="6">IF(Worksheet!E_part&lt;14,Worksheet!E_part-1,Worksheet!E_part-13)</definedName>
    <definedName name="Date_m">IF(E_part&lt;14,E_part-1,E_part-13)</definedName>
    <definedName name="Date_Rng" localSheetId="5">#REF!,#REF!,#REF!,#REF!,#REF!,#REF!,#REF!,#REF!,#REF!,#REF!,#REF!,#REF!,#REF!,#REF!,#REF!,#REF!,#REF!,#REF!,#REF!,#REF!,#REF!,#REF!,#REF!,#REF!,#REF!,#REF!,#REF!,#REF!,#REF!,#REF!,#REF!,#REF!,#REF!,#REF!,#REF!</definedName>
    <definedName name="Date_Rng">#REF!,#REF!,#REF!,#REF!,#REF!,#REF!,#REF!,#REF!,#REF!,#REF!,#REF!,#REF!,#REF!,#REF!,#REF!,#REF!,#REF!,#REF!,#REF!,#REF!,#REF!,#REF!,#REF!,#REF!,#REF!,#REF!,#REF!,#REF!,#REF!,#REF!,#REF!,#REF!,#REF!,#REF!,#REF!</definedName>
    <definedName name="Date_y" localSheetId="2">IF(Last_Yr!Date_m&gt;2,Last_Yr!C_part-4716,Last_Yr!C_part-4715)</definedName>
    <definedName name="Date_y" localSheetId="0">IF(Mirror!Date_m&gt;2,Mirror!C_part-4716,Mirror!C_part-4715)</definedName>
    <definedName name="Date_y" localSheetId="1">IF(Program!Date_m&gt;2,Program!C_part-4716,Program!C_part-4715)</definedName>
    <definedName name="Date_y" localSheetId="6">IF(Worksheet!Date_m&gt;2,Worksheet!C_part-4716,Worksheet!C_part-4715)</definedName>
    <definedName name="Date_y">IF(Date_m&gt;2,C_part-4716,C_part-4715)</definedName>
    <definedName name="Delta_t_Year" localSheetId="2">Last_Yr!$B$1+(INT((COLUMN()-67)/2)+2.5)/12</definedName>
    <definedName name="Delta_t_Year" localSheetId="0">#REF!+(INT((COLUMN()-67)/2)+2.5)/12</definedName>
    <definedName name="Delta_t_Year" localSheetId="1">#REF!+(INT((COLUMN()-67)/2)+2.5)/12</definedName>
    <definedName name="Delta_t_Year" localSheetId="6">#REF!+(INT((COLUMN()-67)/2)+2.5)/12</definedName>
    <definedName name="Delta_t_Year">This_Yr!$B$1+(INT((COLUMN()-67)/2)+2.5)/12</definedName>
    <definedName name="Delta_t_Year_修正值" localSheetId="2">Last_Yr!$B$1+(INT((COLUMN()-43)/2)+2.5)/12</definedName>
    <definedName name="Delta_t_Year_修正值" localSheetId="0">#REF!+(INT((COLUMN()-43)/2)+2.5)/12</definedName>
    <definedName name="Delta_t_Year_修正值" localSheetId="1">#REF!+(INT((COLUMN()-43)/2)+2.5)/12</definedName>
    <definedName name="Delta_t_Year_修正值" localSheetId="6">#REF!+(INT((COLUMN()-43)/2)+2.5)/12</definedName>
    <definedName name="Delta_t_Year_修正值">This_Yr!$B$1+(INT((COLUMN()-43)/2)+2.5)/12</definedName>
    <definedName name="Display_Year" localSheetId="5">'Data (nextday)'!$B$42</definedName>
    <definedName name="Display_Year" localSheetId="2">[1]Data!$B$42</definedName>
    <definedName name="Display_Year" localSheetId="0">[1]Data!$B$42</definedName>
    <definedName name="Display_Year" localSheetId="1">[1]Data!$B$42</definedName>
    <definedName name="Display_Year" localSheetId="3">[1]Data!$B$42</definedName>
    <definedName name="Display_Year" localSheetId="6">[1]Data!$B$42</definedName>
    <definedName name="Display_Year">Data!$B$42</definedName>
    <definedName name="E_part" localSheetId="2">INT((Last_Yr!B_part-Last_Yr!D_part)/30.6001)</definedName>
    <definedName name="E_part" localSheetId="0">INT((Mirror!B_part-Mirror!D_part)/30.6001)</definedName>
    <definedName name="E_part" localSheetId="1">INT((Program!B_part-Program!D_part)/30.6001)</definedName>
    <definedName name="E_part" localSheetId="6">INT((Worksheet!B_part-Worksheet!D_part)/30.6001)</definedName>
    <definedName name="E_part">INT((B_part-D_part)/30.6001)</definedName>
    <definedName name="F_part" localSheetId="2">MOD(Last_Yr!$L1+0.5,1)</definedName>
    <definedName name="F_part" localSheetId="0">MOD(#REF!+0.5,1)</definedName>
    <definedName name="F_part" localSheetId="1">MOD(#REF!+0.5,1)</definedName>
    <definedName name="F_part" localSheetId="6">MOD(#REF!+0.5,1)</definedName>
    <definedName name="F_part">MOD(This_Yr!$L1+0.5,1)</definedName>
    <definedName name="HighLight" localSheetId="5">'Data (nextday)'!$B$45</definedName>
    <definedName name="HighLight">Data!$B$45</definedName>
    <definedName name="LastLine1" localSheetId="2">#REF!</definedName>
    <definedName name="LastLine1" localSheetId="0">#REF!</definedName>
    <definedName name="LastLine1" localSheetId="1">#REF!</definedName>
    <definedName name="LastLine1" localSheetId="3">#REF!</definedName>
    <definedName name="LOGO" localSheetId="5">#N/A</definedName>
    <definedName name="LOGO" localSheetId="2">IF(Last_Yr!显示月历插图,OFFSET(#REF!,Last_Yr!月份-1,Last_Yr!What),Last_Yr!农历知识)</definedName>
    <definedName name="LOGO" localSheetId="0">IF(Mirror!显示月历插图,OFFSET(#REF!,Mirror!月份-1,Mirror!What),Mirror!农历知识)</definedName>
    <definedName name="LOGO" localSheetId="1">IF(Program!显示月历插图,OFFSET(#REF!,Program!月份-1,Program!What),Program!农历知识)</definedName>
    <definedName name="LOGO" localSheetId="6">IF(Worksheet!显示月历插图,OFFSET(#REF!,Worksheet!月份-1,Worksheet!What),Worksheet!农历知识)</definedName>
    <definedName name="LOGO">IF(This_Yr!显示月历插图,OFFSET(#REF!,This_Yr!月份-1,This_Yr!What),This_Yr!农历知识)</definedName>
    <definedName name="m_1000" localSheetId="2">Last_Yr!$B$1/1000</definedName>
    <definedName name="m_1000" localSheetId="0">#REF!/1000</definedName>
    <definedName name="m_1000" localSheetId="1">#REF!/1000</definedName>
    <definedName name="m_1000">This_Yr!$B$1/1000</definedName>
    <definedName name="m_1000_1" localSheetId="2">(Last_Yr!$B$1+1)/1000</definedName>
    <definedName name="m_1000_1" localSheetId="0">(#REF!+1)/1000</definedName>
    <definedName name="m_1000_1" localSheetId="1">(#REF!+1)/1000</definedName>
    <definedName name="m_1000_1" localSheetId="6">(#REF!+1)/1000</definedName>
    <definedName name="m_1000_1">(This_Yr!$B$1+1)/1000</definedName>
    <definedName name="m_3000" localSheetId="2">(Last_Yr!$B$1-2000)/1000</definedName>
    <definedName name="m_3000" localSheetId="0">(#REF!-2000)/1000</definedName>
    <definedName name="m_3000" localSheetId="1">(#REF!-2000)/1000</definedName>
    <definedName name="m_3000" localSheetId="6">(#REF!-2000)/1000</definedName>
    <definedName name="m_3000">(This_Yr!$B$1-2000)/1000</definedName>
    <definedName name="m_3000_1" localSheetId="2">(Last_Yr!$B$1-1999)/1000</definedName>
    <definedName name="m_3000_1" localSheetId="0">(#REF!-1999)/1000</definedName>
    <definedName name="m_3000_1" localSheetId="1">(#REF!-1999)/1000</definedName>
    <definedName name="m_3000_1" localSheetId="6">(#REF!-1999)/1000</definedName>
    <definedName name="m_3000_1">(This_Yr!$B$1-1999)/1000</definedName>
    <definedName name="m_flag" localSheetId="2">IF(AND(Last_Yr!th_δ&gt;PI(),Last_Yr!th_δ&lt;=(3*PI())),1,IF(Last_Yr!th_δ&gt;(3*PI()),2,0))</definedName>
    <definedName name="m_flag" localSheetId="0">IF(AND(Mirror!th_δ&gt;PI(),Mirror!th_δ&lt;=(3*PI())),1,IF(Mirror!th_δ&gt;(3*PI()),2,0))</definedName>
    <definedName name="m_flag" localSheetId="1">IF(AND(Program!th_δ&gt;PI(),Program!th_δ&lt;=(3*PI())),1,IF(Program!th_δ&gt;(3*PI()),2,0))</definedName>
    <definedName name="m_flag" localSheetId="6">IF(AND(Worksheet!th_δ&gt;PI(),Worksheet!th_δ&lt;=(3*PI())),1,IF(Worksheet!th_δ&gt;(3*PI()),2,0))</definedName>
    <definedName name="m_flag">IF(AND(th_δ&gt;PI(),th_δ&lt;=(3*PI())),1,IF(th_δ&gt;(3*PI()),2,0))</definedName>
    <definedName name="map" localSheetId="5">(ROW()-Map_Row)/2*7+(COLUMN()-Map_Column)/2-'Data (nextday)'!月首星期数+2</definedName>
    <definedName name="map">(ROW()-Map_Row)/2*7+(COLUMN()-Map_Column)/2-月首星期数+2</definedName>
    <definedName name="Notice" localSheetId="5">IF(OR(This_Yr!$B$1&lt;-1000,This_Yr!$B$1&gt;3000),Picture,This_Yr!#REF!)</definedName>
    <definedName name="Notice" localSheetId="2">IF(OR(Last_Yr!$B$1&lt;-1000,Last_Yr!$B$1&gt;3000),Last_Yr!Picture,Last_Yr!#REF!)</definedName>
    <definedName name="Notice" localSheetId="0">IF(OR(#REF!&lt;-1000,#REF!&gt;3000),Mirror!Picture,#REF!)</definedName>
    <definedName name="Notice" localSheetId="1">IF(OR(#REF!&lt;-1000,#REF!&gt;3000),Program!Picture,#REF!)</definedName>
    <definedName name="Notice" localSheetId="6">IF(OR(#REF!&lt;-1000,#REF!&gt;3000),Worksheet!Picture,#REF!)</definedName>
    <definedName name="Notice">IF(OR(This_Yr!$B$1&lt;-1000,This_Yr!$B$1&gt;3000),Picture,This_Yr!#REF!)</definedName>
    <definedName name="OffsetX" localSheetId="5">IF('Data (nextday)'!查询日期&gt;'Data (nextday)'!阴历下下月,'Data (nextday)'!查询日期-'Data (nextday)'!阴历下下月,'Data (nextday)'!X)</definedName>
    <definedName name="OffsetX" localSheetId="2">IF(Last_Yr!查询日期&gt;Last_Yr!阴历下下月,Last_Yr!查询日期-Last_Yr!阴历下下月,Last_Yr!X)</definedName>
    <definedName name="OffsetX" localSheetId="0">IF(Mirror!查询日期&gt;Mirror!阴历下下月,Mirror!查询日期-Mirror!阴历下下月,Mirror!X)</definedName>
    <definedName name="OffsetX" localSheetId="1">IF(Program!查询日期&gt;Program!阴历下下月,Program!查询日期-Program!阴历下下月,Program!X)</definedName>
    <definedName name="OffsetX" localSheetId="3">IF(This_Yr!查询日期&gt;This_Yr!阴历下下月,This_Yr!查询日期-This_Yr!阴历下下月,This_Yr!X)</definedName>
    <definedName name="OffsetX" localSheetId="6">IF([0]!查询日期&gt;Worksheet!阴历下下月,[0]!查询日期-Worksheet!阴历下下月,Worksheet!X)</definedName>
    <definedName name="OffsetX">IF(查询日期&gt;阴历下下月,查询日期-阴历下下月,X)</definedName>
    <definedName name="Picture" localSheetId="2">Last_Yr!#REF!</definedName>
    <definedName name="Picture" localSheetId="0">#REF!</definedName>
    <definedName name="Picture" localSheetId="1">#REF!</definedName>
    <definedName name="Ponstellation＿Pic_Arr" localSheetId="2">#REF!</definedName>
    <definedName name="Ponstellation＿Pic_Arr" localSheetId="0">#REF!</definedName>
    <definedName name="Ponstellation＿Pic_Arr" localSheetId="1">#REF!</definedName>
    <definedName name="Ponstellation＿Pic_Arr" localSheetId="3">#REF!</definedName>
    <definedName name="_xlnm.Print_Area" localSheetId="6">Worksheet!$A$1:$T$26</definedName>
    <definedName name="th_δ" localSheetId="2">(Last_Yr!$B$2*PI()/180)+((ROW()-14)*PI()/12)</definedName>
    <definedName name="th_δ" localSheetId="0">(#REF!*PI()/180)+((ROW()-14)*PI()/12)</definedName>
    <definedName name="th_δ" localSheetId="1">(#REF!*PI()/180)+((ROW()-14)*PI()/12)</definedName>
    <definedName name="th_δ" localSheetId="6">(#REF!*PI()/180)+((ROW()-14)*PI()/12)</definedName>
    <definedName name="th_δ">(This_Yr!$B$2*PI()/180)+((ROW()-14)*PI()/12)</definedName>
    <definedName name="What" localSheetId="5">(#REF!="PlayBoy")*2</definedName>
    <definedName name="What" localSheetId="2">(#REF!="PlayBoy")*2</definedName>
    <definedName name="What" localSheetId="0">(#REF!="PlayBoy")*2</definedName>
    <definedName name="What" localSheetId="1">(#REF!="PlayBoy")*2</definedName>
    <definedName name="What" localSheetId="3">(#REF!="PlayBoy")*2</definedName>
    <definedName name="What" localSheetId="6">(#REF!="PlayBoy")*2</definedName>
    <definedName name="What">(#REF!="PlayBoy")*2</definedName>
    <definedName name="X" localSheetId="5">IF('Data (nextday)'!查询日期&gt;'Data (nextday)'!阴历下月,'Data (nextday)'!查询日期-'Data (nextday)'!阴历下月,IF('Data (nextday)'!查询日期&lt;'Data (nextday)'!阴历本月,IF('Data (nextday)'!查询日期&lt;DATE(1900,3,1),30,29)-'Data (nextday)'!阴历本月+'Data (nextday)'!查询日期,'Data (nextday)'!查询日期-'Data (nextday)'!阴历本月))</definedName>
    <definedName name="X" localSheetId="2">IF(Last_Yr!查询日期&gt;Last_Yr!阴历下月,Last_Yr!查询日期-Last_Yr!阴历下月,IF(Last_Yr!查询日期&lt;Last_Yr!阴历本月,IF(Last_Yr!查询日期&lt;DATE(1900,3,1),30,29)-Last_Yr!阴历本月+Last_Yr!查询日期,Last_Yr!查询日期-Last_Yr!阴历本月))</definedName>
    <definedName name="X" localSheetId="0">IF(Mirror!查询日期&gt;Mirror!阴历下月,Mirror!查询日期-Mirror!阴历下月,IF(Mirror!查询日期&lt;Mirror!阴历本月,IF(Mirror!查询日期&lt;DATE(1900,3,1),30,29)-Mirror!阴历本月+Mirror!查询日期,Mirror!查询日期-Mirror!阴历本月))</definedName>
    <definedName name="X" localSheetId="1">IF(Program!查询日期&gt;Program!阴历下月,Program!查询日期-Program!阴历下月,IF(Program!查询日期&lt;Program!阴历本月,IF(Program!查询日期&lt;DATE(1900,3,1),30,29)-Program!阴历本月+Program!查询日期,Program!查询日期-Program!阴历本月))</definedName>
    <definedName name="X" localSheetId="3">IF(This_Yr!查询日期&gt;This_Yr!阴历下月,This_Yr!查询日期-This_Yr!阴历下月,IF(This_Yr!查询日期&lt;This_Yr!阴历本月,IF(This_Yr!查询日期&lt;DATE(1900,3,1),30,29)-This_Yr!阴历本月+This_Yr!查询日期,This_Yr!查询日期-This_Yr!阴历本月))</definedName>
    <definedName name="X" localSheetId="6">IF([0]!查询日期&gt;Worksheet!阴历下月,[0]!查询日期-Worksheet!阴历下月,IF([0]!查询日期&lt;Worksheet!阴历本月,IF([0]!查询日期&lt;DATE(1900,3,1),30,29)-Worksheet!阴历本月+[0]!查询日期,[0]!查询日期-Worksheet!阴历本月))</definedName>
    <definedName name="X">IF(查询日期&gt;阴历下月,查询日期-阴历下月,IF(查询日期&lt;阴历本月,IF(查询日期&lt;DATE(1900,3,1),30,29)-阴历本月+查询日期,查询日期-阴历本月))</definedName>
    <definedName name="Z_part" localSheetId="2">INT(Last_Yr!$L1+0.5)</definedName>
    <definedName name="Z_part" localSheetId="0">INT(#REF!+0.5)</definedName>
    <definedName name="Z_part" localSheetId="1">INT(#REF!+0.5)</definedName>
    <definedName name="Z_part" localSheetId="6">INT(#REF!+0.5)</definedName>
    <definedName name="Z_part">INT(This_Yr!$L1+0.5)</definedName>
    <definedName name="上月天数" localSheetId="5">'Data (nextday)'!$B$9</definedName>
    <definedName name="上月天数" localSheetId="2">[1]Data!$B$9</definedName>
    <definedName name="上月天数" localSheetId="0">[1]Data!$B$9</definedName>
    <definedName name="上月天数" localSheetId="1">[1]Data!$B$9</definedName>
    <definedName name="上月天数" localSheetId="3">[1]Data!$B$9</definedName>
    <definedName name="上月天数" localSheetId="6">[1]Data!$B$9</definedName>
    <definedName name="上月天数">Data!$B$9</definedName>
    <definedName name="二PI分之套" localSheetId="2">Last_Yr!$B$7/2/PI()</definedName>
    <definedName name="二PI分之套" localSheetId="0">#REF!/2/PI()</definedName>
    <definedName name="二PI分之套" localSheetId="1">#REF!/2/PI()</definedName>
    <definedName name="二PI分之套" localSheetId="6">#REF!/2/PI()</definedName>
    <definedName name="二PI分之套">This_Yr!$B$7/2/PI()</definedName>
    <definedName name="二分點_△t_原始值" localSheetId="2">OFFSET(Last_Yr!$AQ$13,MATCH(OFFSET(Last_Yr!$AQ$12,0,ROW()-13),Last_Yr!$AP$14:$AP$29),ROW()-13)</definedName>
    <definedName name="二分點_△t_原始值" localSheetId="0">OFFSET(#REF!,MATCH(OFFSET(#REF!,0,ROW()-13),#REF!),ROW()-13)</definedName>
    <definedName name="二分點_△t_原始值" localSheetId="1">OFFSET(#REF!,MATCH(OFFSET(#REF!,0,ROW()-13),#REF!),ROW()-13)</definedName>
    <definedName name="二分點_△t_原始值" localSheetId="6">OFFSET(#REF!,MATCH(OFFSET(#REF!,0,ROW()-13),#REF!),ROW()-13)</definedName>
    <definedName name="二分點_△t_原始值">OFFSET(This_Yr!$AQ$13,MATCH(OFFSET(This_Yr!$AQ$12,0,ROW()-13),This_Yr!$AP$14:$AP$29),ROW()-13)</definedName>
    <definedName name="二分點_△λ" localSheetId="2">1+0.0334*COS(Last_Yr!二分點_W)+0.0007*COS(2*Last_Yr!二分點_W)</definedName>
    <definedName name="二分點_△λ" localSheetId="0">1+0.0334*COS(Mirror!二分點_W)+0.0007*COS(2*Mirror!二分點_W)</definedName>
    <definedName name="二分點_△λ" localSheetId="1">1+0.0334*COS(Program!二分點_W)+0.0007*COS(2*Program!二分點_W)</definedName>
    <definedName name="二分點_△λ" localSheetId="6">1+0.0334*COS(Worksheet!二分點_W)+0.0007*COS(2*Worksheet!二分點_W)</definedName>
    <definedName name="二分點_△λ">1+0.0334*COS(二分點_W)+0.0007*COS(2*二分點_W)</definedName>
    <definedName name="二分點_T" localSheetId="2">(Last_Yr!$K1-2451545)/36525</definedName>
    <definedName name="二分點_T" localSheetId="0">(#REF!-2451545)/36525</definedName>
    <definedName name="二分點_T" localSheetId="1">(#REF!-2451545)/36525</definedName>
    <definedName name="二分點_T" localSheetId="6">(#REF!-2451545)/36525</definedName>
    <definedName name="二分點_T">(This_Yr!$K1-2451545)/36525</definedName>
    <definedName name="二分點_W" localSheetId="2">(35999.373*Last_Yr!二分點_T-2.47)*PI()/180</definedName>
    <definedName name="二分點_W" localSheetId="0">(35999.373*Mirror!二分點_T-2.47)*PI()/180</definedName>
    <definedName name="二分點_W" localSheetId="1">(35999.373*Program!二分點_T-2.47)*PI()/180</definedName>
    <definedName name="二分點_W" localSheetId="6">(35999.373*Worksheet!二分點_T-2.47)*PI()/180</definedName>
    <definedName name="二分點_W">(35999.373*二分點_T-2.47)*PI()/180</definedName>
    <definedName name="二分點_Year" localSheetId="2">OFFSET(Last_Yr!$AQ$12,0,ROW()-13)</definedName>
    <definedName name="二分點_Year" localSheetId="0">OFFSET(#REF!,0,ROW()-13)</definedName>
    <definedName name="二分點_Year" localSheetId="1">OFFSET(#REF!,0,ROW()-13)</definedName>
    <definedName name="二分點_Year" localSheetId="6">OFFSET(#REF!,0,ROW()-13)</definedName>
    <definedName name="二分點_Year">OFFSET(This_Yr!$AQ$12,0,ROW()-13)</definedName>
    <definedName name="二分點_偏移量" localSheetId="2">0.00001*Last_Yr!$P1/Last_Yr!二分點_△λ</definedName>
    <definedName name="二分點_偏移量" localSheetId="0">0.00001*#REF!/Mirror!二分點_△λ</definedName>
    <definedName name="二分點_偏移量" localSheetId="1">0.00001*#REF!/Program!二分點_△λ</definedName>
    <definedName name="二分點_偏移量" localSheetId="6">0.00001*#REF!/Worksheet!二分點_△λ</definedName>
    <definedName name="二分點_偏移量">0.00001*This_Yr!$P1/二分點_△λ</definedName>
    <definedName name="位值" localSheetId="2">#REF!</definedName>
    <definedName name="位值" localSheetId="0">#REF!</definedName>
    <definedName name="位值" localSheetId="1">#REF!</definedName>
    <definedName name="位值" localSheetId="3">#REF!</definedName>
    <definedName name="位值">#REF!</definedName>
    <definedName name="位值L" localSheetId="2">#REF!</definedName>
    <definedName name="位值L" localSheetId="0">#REF!</definedName>
    <definedName name="位值L" localSheetId="1">#REF!</definedName>
    <definedName name="位值L" localSheetId="3">#REF!</definedName>
    <definedName name="位值L">#REF!</definedName>
    <definedName name="偏心率參數_T" localSheetId="2">(Last_Yr!$B$3-2451545)/365250</definedName>
    <definedName name="偏心率參數_T" localSheetId="0">(#REF!-2451545)/365250</definedName>
    <definedName name="偏心率參數_T" localSheetId="1">(#REF!-2451545)/365250</definedName>
    <definedName name="偏心率參數_T" localSheetId="6">(#REF!-2451545)/365250</definedName>
    <definedName name="偏心率參數_T">(This_Yr!$B$3-2451545)/365250</definedName>
    <definedName name="公历年天数" localSheetId="5">'Data (nextday)'!$R$14</definedName>
    <definedName name="公历年天数">Data!$R$14</definedName>
    <definedName name="公历节日" localSheetId="5">IF(OR(#REF!&lt;=0,#REF!&gt;'Data (nextday)'!本月天数,'Data (nextday)'!Display_Year&lt;'Data (nextday)'!公历节日始年),1/0,VLOOKUP('Data (nextday)'!公历节日日期,'Data (nextday)'!公历节日清单,2,0))</definedName>
    <definedName name="公历节日" localSheetId="2">IF(OR(#REF!&lt;本月首,#REF!&gt;本月末,Last_Yr!Display_Year&lt;Last_Yr!公历节日始年),1/0,VLOOKUP(Last_Yr!公历节日日期,Last_Yr!公历节日清单,2,0))</definedName>
    <definedName name="公历节日" localSheetId="0">IF(OR(#REF!&lt;本月首,#REF!&gt;本月末,Mirror!Display_Year&lt;Mirror!公历节日始年),1/0,VLOOKUP(Mirror!公历节日日期,Mirror!公历节日清单,2,0))</definedName>
    <definedName name="公历节日" localSheetId="1">IF(OR(#REF!&lt;本月首,#REF!&gt;本月末,Program!Display_Year&lt;Program!公历节日始年),1/0,VLOOKUP(Program!公历节日日期,Program!公历节日清单,2,0))</definedName>
    <definedName name="公历节日" localSheetId="3">IF(OR(#REF!&lt;本月首,#REF!&gt;本月末,This_Yr!Display_Year&lt;This_Yr!公历节日始年),1/0,VLOOKUP(This_Yr!公历节日日期,This_Yr!公历节日清单,2,0))</definedName>
    <definedName name="公历节日" localSheetId="6">IF(OR(#REF!&lt;本月首,#REF!&gt;本月末,Worksheet!Display_Year&lt;Worksheet!公历节日始年),1/0,VLOOKUP(Worksheet!公历节日日期,Worksheet!公历节日清单,2,0))</definedName>
    <definedName name="公历节日">IF(OR(#REF!&lt;=0,#REF!&gt;本月天数,Display_Year&lt;公历节日始年),1/0,VLOOKUP(公历节日日期,公历节日清单,2,0))</definedName>
    <definedName name="公历节日始年" localSheetId="5">VLOOKUP('Data (nextday)'!公历节日日期,'Data (nextday)'!公历节日清单,3,0)</definedName>
    <definedName name="公历节日始年" localSheetId="2">VLOOKUP(Last_Yr!公历节日日期,Last_Yr!公历节日清单,3,0)</definedName>
    <definedName name="公历节日始年" localSheetId="0">VLOOKUP(Mirror!公历节日日期,Mirror!公历节日清单,3,0)</definedName>
    <definedName name="公历节日始年" localSheetId="1">VLOOKUP(Program!公历节日日期,Program!公历节日清单,3,0)</definedName>
    <definedName name="公历节日始年" localSheetId="3">VLOOKUP(This_Yr!公历节日日期,This_Yr!公历节日清单,3,0)</definedName>
    <definedName name="公历节日始年" localSheetId="6">VLOOKUP(Worksheet!公历节日日期,Worksheet!公历节日清单,3,0)</definedName>
    <definedName name="公历节日始年">VLOOKUP(公历节日日期,公历节日清单,3,0)</definedName>
    <definedName name="公历节日日期" localSheetId="5">'Data (nextday)'!月份*100+#REF!</definedName>
    <definedName name="公历节日日期" localSheetId="2">MONTH(#REF!)*100+DAY(#REF!)</definedName>
    <definedName name="公历节日日期" localSheetId="0">MONTH(#REF!)*100+DAY(#REF!)</definedName>
    <definedName name="公历节日日期" localSheetId="1">MONTH(#REF!)*100+DAY(#REF!)</definedName>
    <definedName name="公历节日日期" localSheetId="3">MONTH(#REF!)*100+DAY(#REF!)</definedName>
    <definedName name="公历节日日期" localSheetId="6">MONTH(#REF!)*100+DAY(#REF!)</definedName>
    <definedName name="公历节日日期">月份*100+#REF!</definedName>
    <definedName name="公历节日清单" localSheetId="5">'Data (nextday)'!$AC$2:$AE$37</definedName>
    <definedName name="公历节日清单" localSheetId="2">[1]Data!$AB$2:$AD$39</definedName>
    <definedName name="公历节日清单" localSheetId="0">[1]Data!$AB$2:$AD$39</definedName>
    <definedName name="公历节日清单" localSheetId="1">[1]Data!$AB$2:$AD$39</definedName>
    <definedName name="公历节日清单" localSheetId="3">[1]Data!$AB$2:$AD$39</definedName>
    <definedName name="公历节日清单" localSheetId="6">[1]Data!$AB$2:$AD$39</definedName>
    <definedName name="公历节日清单">Data!$AC$2:$AE$37</definedName>
    <definedName name="农历" localSheetId="5">IF('Data (nextday)'!年份&gt;2050,"",IF('Data (nextday)'!节气&lt;&gt;"",'Data (nextday)'!节气,IF('Data (nextday)'!阴历月首&lt;&gt;"",'Data (nextday)'!阴历月首,'Data (nextday)'!阴历)))</definedName>
    <definedName name="农历" localSheetId="2">IF(Last_Yr!年份&gt;2050,"",IF(Last_Yr!节气&lt;&gt;"",Last_Yr!节气,Last_Yr!阴历))</definedName>
    <definedName name="农历" localSheetId="0">IF(Mirror!年份&gt;2050,"",IF(Mirror!节气&lt;&gt;"",Mirror!节气,Mirror!阴历))</definedName>
    <definedName name="农历" localSheetId="1">IF(Program!年份&gt;2050,"",IF(Program!节气&lt;&gt;"",Program!节气,Program!阴历))</definedName>
    <definedName name="农历" localSheetId="3">IF(This_Yr!年份&gt;2050,"",IF(This_Yr!节气&lt;&gt;"",This_Yr!节气,This_Yr!阴历))</definedName>
    <definedName name="农历" localSheetId="6">IF(Worksheet!年份&gt;2050,"",IF(Worksheet!节气&lt;&gt;"",Worksheet!节气,Worksheet!阴历))</definedName>
    <definedName name="农历">IF(年份&gt;2050,"",IF(节气&lt;&gt;"",节气,IF(阴历月首&lt;&gt;"",阴历月首,阴历)))</definedName>
    <definedName name="农历初始日期" localSheetId="5">'Data (nextday)'!$B$14</definedName>
    <definedName name="农历初始日期">Data!$B$14</definedName>
    <definedName name="农历知识" localSheetId="2">#REF!</definedName>
    <definedName name="农历知识" localSheetId="0">#REF!</definedName>
    <definedName name="农历知识" localSheetId="1">#REF!</definedName>
    <definedName name="农历知识" localSheetId="3">#REF!</definedName>
    <definedName name="农历节日清单" localSheetId="5">'Data (nextday)'!$AF$2:$AG$16</definedName>
    <definedName name="农历节日清单" localSheetId="2">[1]Data!$AE$2:$AF$16</definedName>
    <definedName name="农历节日清单" localSheetId="0">[1]Data!$AE$2:$AF$16</definedName>
    <definedName name="农历节日清单" localSheetId="1">[1]Data!$AE$2:$AF$16</definedName>
    <definedName name="农历节日清单" localSheetId="3">[1]Data!$AE$2:$AF$16</definedName>
    <definedName name="农历节日清单" localSheetId="6">[1]Data!$AE$2:$AF$16</definedName>
    <definedName name="农历节日清单">Data!$AF$2:$AG$16</definedName>
    <definedName name="农历闰年否" localSheetId="5">'Data (nextday)'!$B$7</definedName>
    <definedName name="农历闰年否">Data!$B$7</definedName>
    <definedName name="分" localSheetId="5">'Data (nextday)'!$B$28</definedName>
    <definedName name="分">Data!$B$28</definedName>
    <definedName name="在查日" localSheetId="5">'Data (nextday)'!$B$36</definedName>
    <definedName name="在查日" localSheetId="2">[1]Data!$B$36</definedName>
    <definedName name="在查日" localSheetId="0">[1]Data!$B$36</definedName>
    <definedName name="在查日" localSheetId="1">[1]Data!$B$36</definedName>
    <definedName name="在查日" localSheetId="3">[1]Data!$B$36</definedName>
    <definedName name="在查日" localSheetId="6">[1]Data!$B$36</definedName>
    <definedName name="在查日">Data!$B$36</definedName>
    <definedName name="在查日期" localSheetId="5">'Data (nextday)'!$B$38</definedName>
    <definedName name="在查日期" localSheetId="2">[1]Data!$B$38</definedName>
    <definedName name="在查日期" localSheetId="0">[1]Data!$B$38</definedName>
    <definedName name="在查日期" localSheetId="1">[1]Data!$B$38</definedName>
    <definedName name="在查日期" localSheetId="3">[1]Data!$B$38</definedName>
    <definedName name="在查日期" localSheetId="6">[1]Data!$B$38</definedName>
    <definedName name="在查日期">Data!$B$38</definedName>
    <definedName name="在查时" localSheetId="5">'Data (nextday)'!$B$37</definedName>
    <definedName name="在查时">Data!$B$37</definedName>
    <definedName name="在查阴历" localSheetId="5">'Data (nextday)'!$B$41</definedName>
    <definedName name="在查阴历" localSheetId="2">[1]Data!$B$41</definedName>
    <definedName name="在查阴历" localSheetId="0">[1]Data!$B$41</definedName>
    <definedName name="在查阴历" localSheetId="1">[1]Data!$B$41</definedName>
    <definedName name="在查阴历" localSheetId="3">[1]Data!$B$41</definedName>
    <definedName name="在查阴历" localSheetId="6">[1]Data!$B$41</definedName>
    <definedName name="在查阴历">Data!$B$41</definedName>
    <definedName name="地支" localSheetId="5">'Data (nextday)'!$B$3</definedName>
    <definedName name="地支" localSheetId="2">[1]Data!$B$3</definedName>
    <definedName name="地支" localSheetId="0">[1]Data!$B$3</definedName>
    <definedName name="地支" localSheetId="1">[1]Data!$B$3</definedName>
    <definedName name="地支" localSheetId="3">[1]Data!$B$3</definedName>
    <definedName name="地支" localSheetId="6">[1]Data!$B$3</definedName>
    <definedName name="地支">Data!$B$3</definedName>
    <definedName name="地支列" localSheetId="5">'Data (nextday)'!$U$1</definedName>
    <definedName name="地支列">Data!$U$1</definedName>
    <definedName name="地球繞日軌道偏心率" localSheetId="2">0.0167086342-0.0004203654*Last_Yr!偏心率參數_T-0.0000126734*Last_Yr!偏心率參數_T^2+0.0000001444*Last_Yr!偏心率參數_T^3-0.0000000002*Last_Yr!偏心率參數_T^4+0.0000000003*Last_Yr!偏心率參數_T^5</definedName>
    <definedName name="地球繞日軌道偏心率" localSheetId="0">0.0167086342-0.0004203654*Mirror!偏心率參數_T-0.0000126734*Mirror!偏心率參數_T^2+0.0000001444*Mirror!偏心率參數_T^3-0.0000000002*Mirror!偏心率參數_T^4+0.0000000003*Mirror!偏心率參數_T^5</definedName>
    <definedName name="地球繞日軌道偏心率" localSheetId="1">0.0167086342-0.0004203654*Program!偏心率參數_T-0.0000126734*Program!偏心率參數_T^2+0.0000001444*Program!偏心率參數_T^3-0.0000000002*Program!偏心率參數_T^4+0.0000000003*Program!偏心率參數_T^5</definedName>
    <definedName name="地球繞日軌道偏心率" localSheetId="6">0.0167086342-0.0004203654*Worksheet!偏心率參數_T-0.0000126734*Worksheet!偏心率參數_T^2+0.0000001444*Worksheet!偏心率參數_T^3-0.0000000002*Worksheet!偏心率參數_T^4+0.0000000003*Worksheet!偏心率參數_T^5</definedName>
    <definedName name="地球繞日軌道偏心率">0.0167086342-0.0004203654*偏心率參數_T-0.0000126734*偏心率參數_T^2+0.0000001444*偏心率參數_T^3-0.0000000002*偏心率參數_T^4+0.0000000003*偏心率參數_T^5</definedName>
    <definedName name="天干" localSheetId="5">'Data (nextday)'!$B$2</definedName>
    <definedName name="天干" localSheetId="2">[1]Data!$B$2</definedName>
    <definedName name="天干" localSheetId="0">[1]Data!$B$2</definedName>
    <definedName name="天干" localSheetId="1">[1]Data!$B$2</definedName>
    <definedName name="天干" localSheetId="3">[1]Data!$B$2</definedName>
    <definedName name="天干" localSheetId="6">[1]Data!$B$2</definedName>
    <definedName name="天干">Data!$B$2</definedName>
    <definedName name="天干列" localSheetId="5">'Data (nextday)'!$V$1</definedName>
    <definedName name="天干列">Data!$V$1</definedName>
    <definedName name="小知识" localSheetId="5">'Data (nextday)'!$AP$1</definedName>
    <definedName name="小知识">Data!$AP$1</definedName>
    <definedName name="年" localSheetId="5">'Data (nextday)'!$B$24</definedName>
    <definedName name="年">Data!$B$24</definedName>
    <definedName name="年份" localSheetId="5">'Data (nextday)'!$B$34</definedName>
    <definedName name="年份" localSheetId="2">[1]Data!$B$34</definedName>
    <definedName name="年份" localSheetId="0">[1]Data!$B$34</definedName>
    <definedName name="年份" localSheetId="1">[1]Data!$B$34</definedName>
    <definedName name="年份" localSheetId="3">[1]Data!$B$34</definedName>
    <definedName name="年份" localSheetId="6">[1]Data!$B$34</definedName>
    <definedName name="年份">Data!$B$34</definedName>
    <definedName name="年份列表" localSheetId="5">'Data (nextday)'!$AJ$2:$AJ$152</definedName>
    <definedName name="年份列表" localSheetId="2">[1]Data!$AI$2:$AI$152</definedName>
    <definedName name="年份列表" localSheetId="0">[1]Data!$AI$2:$AI$152</definedName>
    <definedName name="年份列表" localSheetId="1">[1]Data!$AI$2:$AI$152</definedName>
    <definedName name="年份列表" localSheetId="3">[1]Data!$AI$2:$AI$152</definedName>
    <definedName name="年份列表" localSheetId="6">[1]Data!$AI$2:$AI$152</definedName>
    <definedName name="年份列表">Data!$AJ$2:$AJ$152</definedName>
    <definedName name="年号" localSheetId="5">'Data (nextday)'!$B$43</definedName>
    <definedName name="年号" localSheetId="2">[1]Data!$B$43</definedName>
    <definedName name="年号" localSheetId="0">[1]Data!$B$43</definedName>
    <definedName name="年号" localSheetId="1">[1]Data!$B$43</definedName>
    <definedName name="年号" localSheetId="3">[1]Data!$B$43</definedName>
    <definedName name="年号" localSheetId="6">[1]Data!$B$43</definedName>
    <definedName name="年号">Data!$B$43</definedName>
    <definedName name="年干" localSheetId="2">[1]Data!#REF!</definedName>
    <definedName name="年干" localSheetId="0">[1]Data!#REF!</definedName>
    <definedName name="年干" localSheetId="1">[1]Data!#REF!</definedName>
    <definedName name="年干" localSheetId="3">[1]Data!#REF!</definedName>
    <definedName name="年支" localSheetId="2">[1]Data!#REF!</definedName>
    <definedName name="年支" localSheetId="0">[1]Data!#REF!</definedName>
    <definedName name="年支" localSheetId="1">[1]Data!#REF!</definedName>
    <definedName name="年支" localSheetId="3">[1]Data!#REF!</definedName>
    <definedName name="当前日期" localSheetId="5">DATE('Data (nextday)'!年份,'Data (nextday)'!月份,#REF!)</definedName>
    <definedName name="当前日期" localSheetId="2">DATE(Last_Yr!年份,Last_Yr!月份,#REF!)</definedName>
    <definedName name="当前日期" localSheetId="0">DATE(Mirror!年份,Mirror!月份,#REF!)</definedName>
    <definedName name="当前日期" localSheetId="1">DATE(Program!年份,Program!月份,#REF!)</definedName>
    <definedName name="当前日期" localSheetId="3">DATE(This_Yr!年份,This_Yr!月份,#REF!)</definedName>
    <definedName name="当前日期" localSheetId="6">DATE(Worksheet!年份,Worksheet!月份,#REF!)</definedName>
    <definedName name="当前日期">DATE(年份,月份,#REF!)</definedName>
    <definedName name="待查年份" localSheetId="2">#REF!</definedName>
    <definedName name="待查年份" localSheetId="0">#REF!</definedName>
    <definedName name="待查年份" localSheetId="1">#REF!</definedName>
    <definedName name="待查年份" localSheetId="3">#REF!</definedName>
    <definedName name="待查年份">#REF!</definedName>
    <definedName name="待查日期" localSheetId="2">#REF!</definedName>
    <definedName name="待查日期" localSheetId="0">#REF!</definedName>
    <definedName name="待查日期" localSheetId="1">#REF!</definedName>
    <definedName name="待查日期" localSheetId="3">#REF!</definedName>
    <definedName name="待查日期">#REF!</definedName>
    <definedName name="待查月份" localSheetId="2">#REF!</definedName>
    <definedName name="待查月份" localSheetId="0">#REF!</definedName>
    <definedName name="待查月份" localSheetId="1">#REF!</definedName>
    <definedName name="待查月份" localSheetId="3">#REF!</definedName>
    <definedName name="待查月份">#REF!</definedName>
    <definedName name="待查钟点" localSheetId="2">#REF!</definedName>
    <definedName name="待查钟点" localSheetId="0">#REF!</definedName>
    <definedName name="待查钟点" localSheetId="1">#REF!</definedName>
    <definedName name="待查钟点" localSheetId="3">#REF!</definedName>
    <definedName name="待查钟点">#REF!</definedName>
    <definedName name="日" localSheetId="5">'Data (nextday)'!$B$26</definedName>
    <definedName name="日">Data!$B$26</definedName>
    <definedName name="日干" localSheetId="5">'Data (nextday)'!$F$2</definedName>
    <definedName name="日干" localSheetId="2">[1]Data!$F$2</definedName>
    <definedName name="日干" localSheetId="0">[1]Data!$F$2</definedName>
    <definedName name="日干" localSheetId="1">[1]Data!$F$2</definedName>
    <definedName name="日干" localSheetId="3">[1]Data!$F$2</definedName>
    <definedName name="日干" localSheetId="6">[1]Data!$F$2</definedName>
    <definedName name="日干">Data!$F$2</definedName>
    <definedName name="日支" localSheetId="5">'Data (nextday)'!$F$3</definedName>
    <definedName name="日支" localSheetId="2">[1]Data!$F$3</definedName>
    <definedName name="日支" localSheetId="0">[1]Data!$F$3</definedName>
    <definedName name="日支" localSheetId="1">[1]Data!$F$3</definedName>
    <definedName name="日支" localSheetId="3">[1]Data!$F$3</definedName>
    <definedName name="日支" localSheetId="6">[1]Data!$F$3</definedName>
    <definedName name="日支">Data!$F$3</definedName>
    <definedName name="日期" localSheetId="5">IF(#REF!&lt;=0,#REF!+'Data (nextday)'!上月天数,IF(#REF!&gt;'Data (nextday)'!本月天数,#REF!-'Data (nextday)'!本月天数,#REF!))</definedName>
    <definedName name="日期" localSheetId="2">IF(#REF!&lt;=0,#REF!+Last_Yr!上月天数,IF(#REF!&gt;Last_Yr!本月天数,#REF!-Last_Yr!本月天数,#REF!))</definedName>
    <definedName name="日期" localSheetId="0">IF(#REF!&lt;=0,#REF!+Mirror!上月天数,IF(#REF!&gt;Mirror!本月天数,#REF!-Mirror!本月天数,#REF!))</definedName>
    <definedName name="日期" localSheetId="1">IF(#REF!&lt;=0,#REF!+Program!上月天数,IF(#REF!&gt;Program!本月天数,#REF!-Program!本月天数,#REF!))</definedName>
    <definedName name="日期" localSheetId="3">IF(#REF!&lt;=0,#REF!+This_Yr!上月天数,IF(#REF!&gt;This_Yr!本月天数,#REF!-This_Yr!本月天数,#REF!))</definedName>
    <definedName name="日期" localSheetId="6">IF(#REF!&lt;=0,#REF!+Worksheet!上月天数,IF(#REF!&gt;Worksheet!本月天数,#REF!-Worksheet!本月天数,#REF!))</definedName>
    <definedName name="日期">IF(#REF!&lt;=0,#REF!+上月天数,IF(#REF!&gt;本月天数,#REF!-本月天数,#REF!))</definedName>
    <definedName name="日期列表" localSheetId="5">'Data (nextday)'!$O$33</definedName>
    <definedName name="日期列表" localSheetId="2">[1]Data!$O$33</definedName>
    <definedName name="日期列表" localSheetId="0">[1]Data!$O$33</definedName>
    <definedName name="日期列表" localSheetId="1">[1]Data!$O$33</definedName>
    <definedName name="日期列表" localSheetId="3">[1]Data!$O$33</definedName>
    <definedName name="日期列表" localSheetId="6">[1]Data!$O$33</definedName>
    <definedName name="日期列表">Data!$O$33</definedName>
    <definedName name="时" localSheetId="5">'Data (nextday)'!$B$27</definedName>
    <definedName name="时">Data!$B$27</definedName>
    <definedName name="时辰" localSheetId="5">'Data (nextday)'!$J$4</definedName>
    <definedName name="时辰" localSheetId="2">[1]Data!$J$4</definedName>
    <definedName name="时辰" localSheetId="0">[1]Data!$J$4</definedName>
    <definedName name="时辰" localSheetId="1">[1]Data!$J$4</definedName>
    <definedName name="时辰" localSheetId="3">[1]Data!$J$4</definedName>
    <definedName name="时辰" localSheetId="6">[1]Data!$J$4</definedName>
    <definedName name="时辰">Data!$J$4</definedName>
    <definedName name="时间列" localSheetId="5">'Data (nextday)'!$N$2:$N$25</definedName>
    <definedName name="时间列" localSheetId="2">[1]Data!$N$2:$N$25</definedName>
    <definedName name="时间列" localSheetId="0">[1]Data!$N$2:$N$25</definedName>
    <definedName name="时间列" localSheetId="1">[1]Data!$N$2:$N$25</definedName>
    <definedName name="时间列" localSheetId="3">[1]Data!$N$2:$N$25</definedName>
    <definedName name="时间列" localSheetId="6">[1]Data!$N$2:$N$25</definedName>
    <definedName name="时间列">Data!$N$2:$N$25</definedName>
    <definedName name="星期别" localSheetId="5">'Data (nextday)'!$AI$1</definedName>
    <definedName name="星期别">Data!$AI$1</definedName>
    <definedName name="显示月历插图" localSheetId="5">'Data (nextday)'!$B$32</definedName>
    <definedName name="显示月历插图" localSheetId="2">[1]Data!$B$32</definedName>
    <definedName name="显示月历插图" localSheetId="0">[1]Data!$B$32</definedName>
    <definedName name="显示月历插图" localSheetId="1">[1]Data!$B$32</definedName>
    <definedName name="显示月历插图" localSheetId="3">[1]Data!$B$32</definedName>
    <definedName name="显示月历插图" localSheetId="6">[1]Data!$B$32</definedName>
    <definedName name="显示月历插图">Data!$B$32</definedName>
    <definedName name="月" localSheetId="5">'Data (nextday)'!$B$25</definedName>
    <definedName name="月">Data!$B$25</definedName>
    <definedName name="月份" localSheetId="5">'Data (nextday)'!$B$35</definedName>
    <definedName name="月份" localSheetId="2">[1]Data!$B$35</definedName>
    <definedName name="月份" localSheetId="0">[1]Data!$B$35</definedName>
    <definedName name="月份" localSheetId="1">[1]Data!$B$35</definedName>
    <definedName name="月份" localSheetId="3">[1]Data!$B$35</definedName>
    <definedName name="月份" localSheetId="6">[1]Data!$B$35</definedName>
    <definedName name="月份">Data!$B$35</definedName>
    <definedName name="月份列" localSheetId="5">'Data (nextday)'!$Q$2:$Q$13</definedName>
    <definedName name="月份列" localSheetId="2">[1]Data!$Q$2:$Q$13</definedName>
    <definedName name="月份列" localSheetId="0">[1]Data!$Q$2:$Q$13</definedName>
    <definedName name="月份列" localSheetId="1">[1]Data!$Q$2:$Q$13</definedName>
    <definedName name="月份列" localSheetId="3">[1]Data!$Q$2:$Q$13</definedName>
    <definedName name="月份列" localSheetId="6">[1]Data!$Q$2:$Q$13</definedName>
    <definedName name="月份列">Data!$Q$2:$Q$13</definedName>
    <definedName name="月历图片" localSheetId="5">IF('Data (nextday)'!显示月历插图,OFFSET(#REF!,'Data (nextday)'!月份-1,'Data (nextday)'!What),农历知识)</definedName>
    <definedName name="月历图片" localSheetId="2">IF(Last_Yr!显示月历插图,OFFSET(#REF!,Last_Yr!月份-1,Last_Yr!What),Last_Yr!农历知识)</definedName>
    <definedName name="月历图片" localSheetId="0">IF(Mirror!显示月历插图,OFFSET(#REF!,Mirror!月份-1,Mirror!What),Mirror!农历知识)</definedName>
    <definedName name="月历图片" localSheetId="1">IF(Program!显示月历插图,OFFSET(#REF!,Program!月份-1,Program!What),Program!农历知识)</definedName>
    <definedName name="月历图片" localSheetId="3">IF(This_Yr!显示月历插图,OFFSET(#REF!,This_Yr!月份-1,This_Yr!What),This_Yr!农历知识)</definedName>
    <definedName name="月历图片" localSheetId="6">IF(Worksheet!显示月历插图,OFFSET(#REF!,Worksheet!月份-1,Worksheet!What),Worksheet!农历知识)</definedName>
    <definedName name="月历图片">IF(显示月历插图,OFFSET(#REF!,月份-1,What),Last_Yr!农历知识)</definedName>
    <definedName name="月干" localSheetId="5">'Data (nextday)'!$D$2</definedName>
    <definedName name="月干" localSheetId="2">[1]Data!$D$2</definedName>
    <definedName name="月干" localSheetId="0">[1]Data!$D$2</definedName>
    <definedName name="月干" localSheetId="1">[1]Data!$D$2</definedName>
    <definedName name="月干" localSheetId="3">[1]Data!$D$2</definedName>
    <definedName name="月干" localSheetId="6">[1]Data!$D$2</definedName>
    <definedName name="月干">Data!$D$2</definedName>
    <definedName name="月支" localSheetId="5">'Data (nextday)'!$D$3</definedName>
    <definedName name="月支" localSheetId="2">[1]Data!$D$3</definedName>
    <definedName name="月支" localSheetId="0">[1]Data!$D$3</definedName>
    <definedName name="月支" localSheetId="1">[1]Data!$D$3</definedName>
    <definedName name="月支" localSheetId="3">[1]Data!$D$3</definedName>
    <definedName name="月支" localSheetId="6">[1]Data!$D$3</definedName>
    <definedName name="月支">Data!$D$3</definedName>
    <definedName name="月首星期数" localSheetId="5">'Data (nextday)'!$B$10</definedName>
    <definedName name="月首星期数">Data!$B$10</definedName>
    <definedName name="朔望月" localSheetId="5">'Data (nextday)'!$B$23</definedName>
    <definedName name="朔望月">Data!$B$23</definedName>
    <definedName name="朝代起年" localSheetId="5">'Data (nextday)'!$AR$1</definedName>
    <definedName name="朝代起年">Data!$AR$1</definedName>
    <definedName name="本年生肖" localSheetId="2">[1]Data!#REF!</definedName>
    <definedName name="本年生肖" localSheetId="0">[1]Data!#REF!</definedName>
    <definedName name="本年生肖" localSheetId="1">[1]Data!#REF!</definedName>
    <definedName name="本年生肖" localSheetId="3">[1]Data!#REF!</definedName>
    <definedName name="本月天数" localSheetId="5">'Data (nextday)'!$B$8</definedName>
    <definedName name="本月天数" localSheetId="2">[1]Data!$B$8</definedName>
    <definedName name="本月天数" localSheetId="0">[1]Data!$B$8</definedName>
    <definedName name="本月天数" localSheetId="1">[1]Data!$B$8</definedName>
    <definedName name="本月天数" localSheetId="3">[1]Data!$B$8</definedName>
    <definedName name="本月天数" localSheetId="6">[1]Data!$B$8</definedName>
    <definedName name="本月天数">Data!$B$8</definedName>
    <definedName name="本月末">[1]Data!$B$49</definedName>
    <definedName name="本月首">[1]Data!$B$48</definedName>
    <definedName name="查询日期" localSheetId="5">DATE('Data (nextday)'!年份,'Data (nextday)'!查询月份,#REF!)</definedName>
    <definedName name="查询日期" localSheetId="2">#REF!</definedName>
    <definedName name="查询日期" localSheetId="0">#REF!</definedName>
    <definedName name="查询日期" localSheetId="1">#REF!</definedName>
    <definedName name="查询日期" localSheetId="3">#REF!</definedName>
    <definedName name="查询日期">DATE(年份,查询月份,#REF!)</definedName>
    <definedName name="查询月份" localSheetId="5">IF(#REF!&lt;1,'Data (nextday)'!月份-1,IF(#REF!&gt;'Data (nextday)'!本月天数,'Data (nextday)'!月份+1,'Data (nextday)'!月份))</definedName>
    <definedName name="查询月份" localSheetId="2">IF(#REF!&lt;1,Last_Yr!月份-1,IF(#REF!&gt;Last_Yr!本月天数,Last_Yr!月份+1,Last_Yr!月份))</definedName>
    <definedName name="查询月份" localSheetId="0">IF(#REF!&lt;1,Mirror!月份-1,IF(#REF!&gt;Mirror!本月天数,Mirror!月份+1,Mirror!月份))</definedName>
    <definedName name="查询月份" localSheetId="1">IF(#REF!&lt;1,Program!月份-1,IF(#REF!&gt;Program!本月天数,Program!月份+1,Program!月份))</definedName>
    <definedName name="查询月份" localSheetId="3">IF(#REF!&lt;1,This_Yr!月份-1,IF(#REF!&gt;This_Yr!本月天数,This_Yr!月份+1,This_Yr!月份))</definedName>
    <definedName name="查询月份" localSheetId="6">IF(#REF!&lt;1,Worksheet!月份-1,IF(#REF!&gt;Worksheet!本月天数,Worksheet!月份+1,Worksheet!月份))</definedName>
    <definedName name="查询月份">IF(#REF!&lt;1,月份-1,IF(#REF!&gt;本月天数,月份+1,月份))</definedName>
    <definedName name="查询状态" localSheetId="5">'Data (nextday)'!$B$33</definedName>
    <definedName name="查询状态" localSheetId="2">[1]Data!$B$33</definedName>
    <definedName name="查询状态" localSheetId="0">[1]Data!$B$33</definedName>
    <definedName name="查询状态" localSheetId="1">[1]Data!$B$33</definedName>
    <definedName name="查询状态" localSheetId="3">[1]Data!$B$33</definedName>
    <definedName name="查询状态" localSheetId="6">[1]Data!$B$33</definedName>
    <definedName name="查询状态">Data!$B$33</definedName>
    <definedName name="母亲节" localSheetId="5">IF(AND('Data (nextday)'!年份&gt;=1914,'Data (nextday)'!月份=5,INT((#REF!+IF('Data (nextday)'!月首星期数=1,7,'Data (nextday)'!月首星期数))/7)=2),"母亲节","")</definedName>
    <definedName name="母亲节" localSheetId="2">IF(AND(Last_Yr!待查年份&gt;=1914,Last_Yr!月份=5,INT(DAY(#REF!)/7)+1=2),"母亲节","")</definedName>
    <definedName name="母亲节" localSheetId="0">IF(AND(Mirror!待查年份&gt;=1914,Mirror!月份=5,INT(DAY(#REF!)/7)+1=2),"母亲节","")</definedName>
    <definedName name="母亲节" localSheetId="1">IF(AND(Program!待查年份&gt;=1914,Program!月份=5,INT(DAY(#REF!)/7)+1=2),"母亲节","")</definedName>
    <definedName name="母亲节" localSheetId="3">IF(AND(This_Yr!待查年份&gt;=1914,This_Yr!月份=5,INT(DAY(#REF!)/7)+1=2),"母亲节","")</definedName>
    <definedName name="母亲节" localSheetId="6">IF(AND([0]!待查年份&gt;=1914,Worksheet!月份=5,INT(DAY(#REF!)/7)+1=2),"母亲节","")</definedName>
    <definedName name="母亲节">IF(AND(年份&gt;=1914,月份=5,INT((#REF!+IF(月首星期数=1,7,月首星期数))/7)=2),"母亲节","")</definedName>
    <definedName name="每月天数" localSheetId="5">'Data (nextday)'!$R$1</definedName>
    <definedName name="每月天数">Data!$R$1</definedName>
    <definedName name="父亲节" localSheetId="5">IF(AND('Data (nextday)'!年份&gt;=1912,'Data (nextday)'!月份=6,INT((#REF!+IF('Data (nextday)'!月首星期数=1,7,'Data (nextday)'!月首星期数))/7)=3),"父亲节","")</definedName>
    <definedName name="父亲节" localSheetId="2">IF(AND(Last_Yr!待查年份&gt;=1912,Last_Yr!月份=6,INT(DAY(#REF!)/7)+1=3),"父亲节","")</definedName>
    <definedName name="父亲节" localSheetId="0">IF(AND(Mirror!待查年份&gt;=1912,Mirror!月份=6,INT(DAY(#REF!)/7)+1=3),"父亲节","")</definedName>
    <definedName name="父亲节" localSheetId="1">IF(AND(Program!待查年份&gt;=1912,Program!月份=6,INT(DAY(#REF!)/7)+1=3),"父亲节","")</definedName>
    <definedName name="父亲节" localSheetId="3">IF(AND(This_Yr!待查年份&gt;=1912,This_Yr!月份=6,INT(DAY(#REF!)/7)+1=3),"父亲节","")</definedName>
    <definedName name="父亲节" localSheetId="6">IF(AND([0]!待查年份&gt;=1912,Worksheet!月份=6,INT(DAY(#REF!)/7)+1=3),"父亲节","")</definedName>
    <definedName name="父亲节">IF(AND(年份&gt;=1912,月份=6,INT((#REF!+IF(月首星期数=1,7,月首星期数))/7)=3),"父亲节","")</definedName>
    <definedName name="特殊节日" localSheetId="5">IF('Data (nextday)'!月份=5,'Data (nextday)'!母亲节,IF('Data (nextday)'!月份=6,'Data (nextday)'!父亲节,'Data (nextday)'!公历节日))</definedName>
    <definedName name="特殊节日" localSheetId="2">Last_Yr!母亲节&amp;Last_Yr!父亲节</definedName>
    <definedName name="特殊节日" localSheetId="0">Mirror!母亲节&amp;Mirror!父亲节</definedName>
    <definedName name="特殊节日" localSheetId="1">Program!母亲节&amp;Program!父亲节</definedName>
    <definedName name="特殊节日" localSheetId="3">This_Yr!母亲节&amp;This_Yr!父亲节</definedName>
    <definedName name="特殊节日" localSheetId="6">Worksheet!母亲节&amp;Worksheet!父亲节</definedName>
    <definedName name="特殊节日">IF(月份=5,母亲节,IF(月份=6,父亲节,公历节日))</definedName>
    <definedName name="生肖" localSheetId="5">'Data (nextday)'!$B$4</definedName>
    <definedName name="生肖">Data!$B$4</definedName>
    <definedName name="生肖列" localSheetId="5">'Data (nextday)'!$T$1</definedName>
    <definedName name="生肖列">Data!$T$1</definedName>
    <definedName name="生肖图片" localSheetId="5">OFFSET(#REF!,'Data (nextday)'!$C$3-1,'Data (nextday)'!$C$4-1)</definedName>
    <definedName name="生肖图片" localSheetId="2">OFFSET(#REF!,[1]Data!$C$3-1,[1]Data!$C$4-1)</definedName>
    <definedName name="生肖图片" localSheetId="0">OFFSET(#REF!,[1]Data!$C$3-1,[1]Data!$C$4-1)</definedName>
    <definedName name="生肖图片" localSheetId="1">OFFSET(#REF!,[1]Data!$C$3-1,[1]Data!$C$4-1)</definedName>
    <definedName name="生肖图片" localSheetId="3">OFFSET(#REF!,[1]Data!$C$3-1,[1]Data!$C$4-1)</definedName>
    <definedName name="生肖图片" localSheetId="6">OFFSET(#REF!,[1]Data!$C$3-1,[1]Data!$C$4-1)</definedName>
    <definedName name="生肖图片">OFFSET(#REF!,Data!$C$3-1,Data!$C$4-1)</definedName>
    <definedName name="生肖图片组别" localSheetId="5">'Data (nextday)'!$AQ$2:$AQ$7</definedName>
    <definedName name="生肖图片组别">Data!$AQ$2:$AQ$7</definedName>
    <definedName name="系统误差" localSheetId="5">'Data (nextday)'!$B$16</definedName>
    <definedName name="系统误差">Data!$B$16</definedName>
    <definedName name="节日" localSheetId="5">IF(ISERROR('Data (nextday)'!阴历节日),IF(ISERROR('Data (nextday)'!公历节日),"",'Data (nextday)'!公历节日),'Data (nextday)'!阴历节日)</definedName>
    <definedName name="节日" localSheetId="2">IF(ISERROR(Last_Yr!阴历节日),IF(ISERROR(Last_Yr!公历节日),"",Last_Yr!公历节日),Last_Yr!阴历节日)</definedName>
    <definedName name="节日" localSheetId="0">IF(ISERROR(Mirror!阴历节日),IF(ISERROR(Mirror!公历节日),"",Mirror!公历节日),Mirror!阴历节日)</definedName>
    <definedName name="节日" localSheetId="1">IF(ISERROR(Program!阴历节日),IF(ISERROR(Program!公历节日),"",Program!公历节日),Program!阴历节日)</definedName>
    <definedName name="节日" localSheetId="3">IF(ISERROR(This_Yr!阴历节日),IF(ISERROR(This_Yr!公历节日),"",This_Yr!公历节日),This_Yr!阴历节日)</definedName>
    <definedName name="节日" localSheetId="6">IF(ISERROR(Worksheet!阴历节日),IF(ISERROR(Worksheet!公历节日),"",Worksheet!公历节日),Worksheet!阴历节日)</definedName>
    <definedName name="节日">IF(ISERROR(阴历节日),IF(ISERROR(公历节日),"",公历节日),阴历节日)</definedName>
    <definedName name="节气" localSheetId="5">IF(#REF!='Data (nextday)'!节气日期1,'Data (nextday)'!节气1,IF(#REF!='Data (nextday)'!节气日期2,'Data (nextday)'!节气2,""))</definedName>
    <definedName name="节气" localSheetId="2">IF(#REF!=Last_Yr!节气日期1,Last_Yr!节气1,IF(#REF!=Last_Yr!节气日期2,Last_Yr!节气2,""))</definedName>
    <definedName name="节气" localSheetId="0">IF(#REF!=Mirror!节气日期1,Mirror!节气1,IF(#REF!=Mirror!节气日期2,Mirror!节气2,""))</definedName>
    <definedName name="节气" localSheetId="1">IF(#REF!=Program!节气日期1,Program!节气1,IF(#REF!=Program!节气日期2,Program!节气2,""))</definedName>
    <definedName name="节气" localSheetId="3">IF(#REF!=This_Yr!节气日期1,This_Yr!节气1,IF(#REF!=This_Yr!节气日期2,This_Yr!节气2,""))</definedName>
    <definedName name="节气" localSheetId="6">IF(#REF!=Worksheet!节气日期1,Worksheet!节气1,IF(#REF!=Worksheet!节气日期2,Worksheet!节气2,""))</definedName>
    <definedName name="节气">IF(#REF!=节气日期1,节气1,IF(#REF!=节气日期2,节气2,""))</definedName>
    <definedName name="节气1" localSheetId="5">'Data (nextday)'!$B$46</definedName>
    <definedName name="节气1" localSheetId="2">[1]Data!$B$46</definedName>
    <definedName name="节气1" localSheetId="0">[1]Data!$B$46</definedName>
    <definedName name="节气1" localSheetId="1">[1]Data!$B$46</definedName>
    <definedName name="节气1" localSheetId="3">[1]Data!$B$46</definedName>
    <definedName name="节气1" localSheetId="6">[1]Data!$B$46</definedName>
    <definedName name="节气1">Data!$B$46</definedName>
    <definedName name="节气2" localSheetId="5">'Data (nextday)'!$B$47</definedName>
    <definedName name="节气2" localSheetId="2">[1]Data!$B$47</definedName>
    <definedName name="节气2" localSheetId="0">[1]Data!$B$47</definedName>
    <definedName name="节气2" localSheetId="1">[1]Data!$B$47</definedName>
    <definedName name="节气2" localSheetId="3">[1]Data!$B$47</definedName>
    <definedName name="节气2" localSheetId="6">[1]Data!$B$47</definedName>
    <definedName name="节气2">Data!$B$47</definedName>
    <definedName name="节气初始时刻" localSheetId="5">'Data (nextday)'!$B$17</definedName>
    <definedName name="节气初始时刻">Data!$B$17</definedName>
    <definedName name="节气名称" localSheetId="5">'Data (nextday)'!$X$1</definedName>
    <definedName name="节气名称">Data!$X$1</definedName>
    <definedName name="节气日期1" localSheetId="5">'Data (nextday)'!$C$46</definedName>
    <definedName name="节气日期1" localSheetId="2">[1]Data!$C$46</definedName>
    <definedName name="节气日期1" localSheetId="0">[1]Data!$C$46</definedName>
    <definedName name="节气日期1" localSheetId="1">[1]Data!$C$46</definedName>
    <definedName name="节气日期1" localSheetId="3">[1]Data!$C$46</definedName>
    <definedName name="节气日期1" localSheetId="6">[1]Data!$C$46</definedName>
    <definedName name="节气日期1">Data!$C$46</definedName>
    <definedName name="节气日期2" localSheetId="5">'Data (nextday)'!$C$47</definedName>
    <definedName name="节气日期2" localSheetId="2">[1]Data!$C$47</definedName>
    <definedName name="节气日期2" localSheetId="0">[1]Data!$C$47</definedName>
    <definedName name="节气日期2" localSheetId="1">[1]Data!$C$47</definedName>
    <definedName name="节气日期2" localSheetId="3">[1]Data!$C$47</definedName>
    <definedName name="节气日期2" localSheetId="6">[1]Data!$C$47</definedName>
    <definedName name="节气日期2">Data!$C$47</definedName>
    <definedName name="节气跨度" localSheetId="5">'Data (nextday)'!$B$18</definedName>
    <definedName name="节气跨度">Data!$B$18</definedName>
    <definedName name="英文月份" localSheetId="5">'Data (nextday)'!$B$11</definedName>
    <definedName name="英文月份" localSheetId="2">[1]Data!$B$11</definedName>
    <definedName name="英文月份" localSheetId="0">[1]Data!$B$11</definedName>
    <definedName name="英文月份" localSheetId="1">[1]Data!$B$11</definedName>
    <definedName name="英文月份" localSheetId="3">[1]Data!$B$11</definedName>
    <definedName name="英文月份" localSheetId="6">[1]Data!$B$11</definedName>
    <definedName name="英文月份">Data!$B$11</definedName>
    <definedName name="问候" localSheetId="5">'Data (nextday)'!$AM$2</definedName>
    <definedName name="问候" localSheetId="2">[1]Data!$AL$2</definedName>
    <definedName name="问候" localSheetId="0">[1]Data!$AL$2</definedName>
    <definedName name="问候" localSheetId="1">[1]Data!$AL$2</definedName>
    <definedName name="问候" localSheetId="3">[1]Data!$AL$2</definedName>
    <definedName name="问候" localSheetId="6">[1]Data!$AL$2</definedName>
    <definedName name="问候">Data!$AM$2</definedName>
    <definedName name="闰年否" localSheetId="5">'Data (nextday)'!$B$6</definedName>
    <definedName name="闰年否">Data!$B$6</definedName>
    <definedName name="阴历" localSheetId="5">IF(ISERROR('Data (nextday)'!阴历初X),"",'Data (nextday)'!阴历初X)</definedName>
    <definedName name="阴历" localSheetId="2">IF(Last_Yr!阴历月首&lt;&gt;"",Last_Yr!阴历月首,IF(ISERROR(Last_Yr!阴历初X),"",Last_Yr!阴历初X))</definedName>
    <definedName name="阴历" localSheetId="0">IF(Mirror!阴历月首&lt;&gt;"",Mirror!阴历月首,IF(ISERROR(Mirror!阴历初X),"",Mirror!阴历初X))</definedName>
    <definedName name="阴历" localSheetId="1">IF(Program!阴历月首&lt;&gt;"",Program!阴历月首,IF(ISERROR(Program!阴历初X),"",Program!阴历初X))</definedName>
    <definedName name="阴历" localSheetId="3">IF(This_Yr!阴历月首&lt;&gt;"",This_Yr!阴历月首,IF(ISERROR(This_Yr!阴历初X),"",This_Yr!阴历初X))</definedName>
    <definedName name="阴历" localSheetId="6">IF(Worksheet!阴历月首&lt;&gt;"",Worksheet!阴历月首,IF(ISERROR(Worksheet!阴历初X),"",Worksheet!阴历初X))</definedName>
    <definedName name="阴历">IF(ISERROR(阴历初X),"",阴历初X)</definedName>
    <definedName name="阴历下下月" localSheetId="5">'Data (nextday)'!$B$31</definedName>
    <definedName name="阴历下下月" localSheetId="2">[1]Data!$B$31</definedName>
    <definedName name="阴历下下月" localSheetId="0">[1]Data!$B$31</definedName>
    <definedName name="阴历下下月" localSheetId="1">[1]Data!$B$31</definedName>
    <definedName name="阴历下下月" localSheetId="3">[1]Data!$B$31</definedName>
    <definedName name="阴历下下月" localSheetId="6">[1]Data!$B$31</definedName>
    <definedName name="阴历下下月">Data!$B$31</definedName>
    <definedName name="阴历下月" localSheetId="5">'Data (nextday)'!$B$30</definedName>
    <definedName name="阴历下月" localSheetId="2">[1]Data!$B$30</definedName>
    <definedName name="阴历下月" localSheetId="0">[1]Data!$B$30</definedName>
    <definedName name="阴历下月" localSheetId="1">[1]Data!$B$30</definedName>
    <definedName name="阴历下月" localSheetId="3">[1]Data!$B$30</definedName>
    <definedName name="阴历下月" localSheetId="6">[1]Data!$B$30</definedName>
    <definedName name="阴历下月">Data!$B$30</definedName>
    <definedName name="阴历初Start" localSheetId="5">'Data (nextday)'!$AH$2</definedName>
    <definedName name="阴历初Start" localSheetId="2">[1]Data!$AG$2</definedName>
    <definedName name="阴历初Start" localSheetId="0">[1]Data!$AG$2</definedName>
    <definedName name="阴历初Start" localSheetId="1">[1]Data!$AG$2</definedName>
    <definedName name="阴历初Start" localSheetId="3">[1]Data!$AG$2</definedName>
    <definedName name="阴历初Start" localSheetId="6">[1]Data!$AG$2</definedName>
    <definedName name="阴历初Start">Data!$AH$2</definedName>
    <definedName name="阴历初X" localSheetId="5">IF('Data (nextday)'!Display_Year&lt;=1899,"",OFFSET('Data (nextday)'!阴历初Start,'Data (nextday)'!OffsetX,0))</definedName>
    <definedName name="阴历初X" localSheetId="2">IF(Last_Yr!Display_Year&lt;=1899,"",OFFSET(Last_Yr!阴历初Start,Last_Yr!OffsetX,0))</definedName>
    <definedName name="阴历初X" localSheetId="0">IF(Mirror!Display_Year&lt;=1899,"",OFFSET(Mirror!阴历初Start,Mirror!OffsetX,0))</definedName>
    <definedName name="阴历初X" localSheetId="1">IF(Program!Display_Year&lt;=1899,"",OFFSET(Program!阴历初Start,Program!OffsetX,0))</definedName>
    <definedName name="阴历初X" localSheetId="3">IF(This_Yr!Display_Year&lt;=1899,"",OFFSET(This_Yr!阴历初Start,This_Yr!OffsetX,0))</definedName>
    <definedName name="阴历初X" localSheetId="6">IF(Worksheet!Display_Year&lt;=1899,"",OFFSET(Worksheet!阴历初Start,Worksheet!OffsetX,0))</definedName>
    <definedName name="阴历初X">IF(Display_Year&lt;=1899,"",OFFSET(阴历初Start,OffsetX,0))</definedName>
    <definedName name="阴历年" localSheetId="5">'Data (nextday)'!$F$29</definedName>
    <definedName name="阴历年">Data!$F$29</definedName>
    <definedName name="阴历月" localSheetId="5">'Data (nextday)'!$F$30</definedName>
    <definedName name="阴历月">Data!$F$30</definedName>
    <definedName name="阴历月pnt" localSheetId="5">'Data (nextday)'!$AN$1</definedName>
    <definedName name="阴历月pnt">Data!$AN$1</definedName>
    <definedName name="阴历月表" localSheetId="5">'Data (nextday)'!$AN$1:$AO$1967</definedName>
    <definedName name="阴历月表">Data!$AN$1:$AO$1967</definedName>
    <definedName name="阴历月首" localSheetId="5">IF('Data (nextday)'!查询日期='Data (nextday)'!阴历本月,'Data (nextday)'!$C$29,IF('Data (nextday)'!查询日期='Data (nextday)'!阴历下月,'Data (nextday)'!$C$30,IF('Data (nextday)'!查询日期='Data (nextday)'!阴历下下月,'Data (nextday)'!$C$31,"")))</definedName>
    <definedName name="阴历月首" localSheetId="2">IF(Last_Yr!查询日期=Last_Yr!阴历本月,[1]Data!$C$29,IF(Last_Yr!查询日期=Last_Yr!阴历下月,[1]Data!$C$30,IF(Last_Yr!查询日期=Last_Yr!阴历下下月,[1]Data!$C$31,"")))</definedName>
    <definedName name="阴历月首" localSheetId="0">IF(Mirror!查询日期=Mirror!阴历本月,[1]Data!$C$29,IF(Mirror!查询日期=Mirror!阴历下月,[1]Data!$C$30,IF(Mirror!查询日期=Mirror!阴历下下月,[1]Data!$C$31,"")))</definedName>
    <definedName name="阴历月首" localSheetId="1">IF(Program!查询日期=Program!阴历本月,[1]Data!$C$29,IF(Program!查询日期=Program!阴历下月,[1]Data!$C$30,IF(Program!查询日期=Program!阴历下下月,[1]Data!$C$31,"")))</definedName>
    <definedName name="阴历月首" localSheetId="3">IF(This_Yr!查询日期=This_Yr!阴历本月,[1]Data!$C$29,IF(This_Yr!查询日期=This_Yr!阴历下月,[1]Data!$C$30,IF(This_Yr!查询日期=This_Yr!阴历下下月,[1]Data!$C$31,"")))</definedName>
    <definedName name="阴历月首" localSheetId="6">IF([0]!查询日期=Worksheet!阴历本月,[1]Data!$C$29,IF([0]!查询日期=Worksheet!阴历下月,[1]Data!$C$30,IF([0]!查询日期=Worksheet!阴历下下月,[1]Data!$C$31,"")))</definedName>
    <definedName name="阴历月首">IF(查询日期=阴历本月,Data!$C$29,IF(查询日期=阴历下月,Data!$C$30,IF(查询日期=阴历下下月,Data!$C$31,"")))</definedName>
    <definedName name="阴历本月" localSheetId="5">'Data (nextday)'!$B$29</definedName>
    <definedName name="阴历本月" localSheetId="2">[1]Data!$B$29</definedName>
    <definedName name="阴历本月" localSheetId="0">[1]Data!$B$29</definedName>
    <definedName name="阴历本月" localSheetId="1">[1]Data!$B$29</definedName>
    <definedName name="阴历本月" localSheetId="3">[1]Data!$B$29</definedName>
    <definedName name="阴历本月" localSheetId="6">[1]Data!$B$29</definedName>
    <definedName name="阴历本月">Data!$B$29</definedName>
    <definedName name="阴历节日" localSheetId="5">IF(OR(#REF!&lt;=0,#REF!&gt;'Data (nextday)'!本月天数),1/0,VLOOKUP(IF('Data (nextday)'!阴历节日_Date&lt;'Data (nextday)'!阴历下月,'Data (nextday)'!$D$29,'Data (nextday)'!$D$30)*100+IF('Data (nextday)'!阴历节日_Date&gt;='Data (nextday)'!阴历下月,'Data (nextday)'!阴历节日_Date-'Data (nextday)'!阴历下月,'Data (nextday)'!阴历节日_Date-'Data (nextday)'!阴历本月)+1,'Data (nextday)'!农历节日清单,2,0))</definedName>
    <definedName name="阴历节日" localSheetId="2">IF(OR(#REF!&lt;=本月首,#REF!&gt;本月末),1/0,VLOOKUP(IF(Last_Yr!阴历节日_Date&lt;Last_Yr!阴历下月,[1]Data!$D$29,[1]Data!$D$30)*100+IF(Last_Yr!阴历节日_Date&gt;=Last_Yr!阴历下月,Last_Yr!阴历节日_Date-Last_Yr!阴历下月,Last_Yr!阴历节日_Date-Last_Yr!阴历本月)+1,Last_Yr!农历节日清单,2,0))</definedName>
    <definedName name="阴历节日" localSheetId="0">IF(OR(#REF!&lt;=本月首,#REF!&gt;本月末),1/0,VLOOKUP(IF(Mirror!阴历节日_Date&lt;Mirror!阴历下月,[1]Data!$D$29,[1]Data!$D$30)*100+IF(Mirror!阴历节日_Date&gt;=Mirror!阴历下月,Mirror!阴历节日_Date-Mirror!阴历下月,Mirror!阴历节日_Date-Mirror!阴历本月)+1,Mirror!农历节日清单,2,0))</definedName>
    <definedName name="阴历节日" localSheetId="1">IF(OR(#REF!&lt;=本月首,#REF!&gt;本月末),1/0,VLOOKUP(IF(Program!阴历节日_Date&lt;Program!阴历下月,[1]Data!$D$29,[1]Data!$D$30)*100+IF(Program!阴历节日_Date&gt;=Program!阴历下月,Program!阴历节日_Date-Program!阴历下月,Program!阴历节日_Date-Program!阴历本月)+1,Program!农历节日清单,2,0))</definedName>
    <definedName name="阴历节日" localSheetId="3">IF(OR(#REF!&lt;=本月首,#REF!&gt;本月末),1/0,VLOOKUP(IF(This_Yr!阴历节日_Date&lt;This_Yr!阴历下月,[1]Data!$D$29,[1]Data!$D$30)*100+IF(This_Yr!阴历节日_Date&gt;=This_Yr!阴历下月,This_Yr!阴历节日_Date-This_Yr!阴历下月,This_Yr!阴历节日_Date-This_Yr!阴历本月)+1,This_Yr!农历节日清单,2,0))</definedName>
    <definedName name="阴历节日" localSheetId="6">IF(OR(#REF!&lt;=本月首,#REF!&gt;本月末),1/0,VLOOKUP(IF([0]!阴历节日_Date&lt;Worksheet!阴历下月,[1]Data!$D$29,[1]Data!$D$30)*100+IF([0]!阴历节日_Date&gt;=Worksheet!阴历下月,[0]!阴历节日_Date-Worksheet!阴历下月,[0]!阴历节日_Date-Worksheet!阴历本月)+1,Worksheet!农历节日清单,2,0))</definedName>
    <definedName name="阴历节日">IF(OR(#REF!&lt;=0,#REF!&gt;本月天数),1/0,VLOOKUP(IF(阴历节日_Date&lt;阴历下月,Data!$D$29,Data!$D$30)*100+IF(阴历节日_Date&gt;=阴历下月,阴历节日_Date-阴历下月,阴历节日_Date-阴历本月)+1,农历节日清单,2,0))</definedName>
    <definedName name="阴历节日_Date" localSheetId="5">DATE('Data (nextday)'!年份,'Data (nextday)'!月份,#REF!)</definedName>
    <definedName name="阴历节日_Date" localSheetId="2">#REF!</definedName>
    <definedName name="阴历节日_Date" localSheetId="0">#REF!</definedName>
    <definedName name="阴历节日_Date" localSheetId="1">#REF!</definedName>
    <definedName name="阴历节日_Date" localSheetId="3">#REF!</definedName>
    <definedName name="阴历节日_Date">DATE(年份,月份,#REF!)</definedName>
  </definedNames>
  <calcPr calcId="191028"/>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11" l="1"/>
  <c r="K2" i="10"/>
  <c r="K2" i="9"/>
  <c r="I2" i="11"/>
  <c r="I2" i="10"/>
  <c r="I2" i="9"/>
  <c r="G2" i="11"/>
  <c r="G2" i="10"/>
  <c r="E2" i="11"/>
  <c r="E2" i="10"/>
  <c r="B2" i="11"/>
  <c r="B2" i="10"/>
  <c r="AR48" i="12"/>
  <c r="AS47" i="12"/>
  <c r="B40" i="12"/>
  <c r="B39" i="12"/>
  <c r="B28" i="12"/>
  <c r="B27" i="12"/>
  <c r="AL2" i="12"/>
  <c r="B26" i="12"/>
  <c r="B25" i="12"/>
  <c r="B24" i="12"/>
  <c r="B16" i="12"/>
  <c r="B13" i="12"/>
  <c r="B12" i="12"/>
  <c r="C4" i="12"/>
  <c r="S3" i="12"/>
  <c r="M18" i="10"/>
  <c r="M18" i="11"/>
  <c r="B25" i="10"/>
  <c r="C25" i="10"/>
  <c r="D25" i="10"/>
  <c r="E25" i="10"/>
  <c r="F25" i="10"/>
  <c r="G25" i="10"/>
  <c r="H25" i="10"/>
  <c r="I25" i="10"/>
  <c r="J25" i="10"/>
  <c r="K25" i="10"/>
  <c r="L25" i="10"/>
  <c r="M25" i="10"/>
  <c r="N25" i="10"/>
  <c r="O25" i="10"/>
  <c r="P25" i="10"/>
  <c r="Q25" i="10"/>
  <c r="R25" i="10"/>
  <c r="S25" i="10"/>
  <c r="B13" i="10"/>
  <c r="C13" i="10"/>
  <c r="D13" i="10"/>
  <c r="E13" i="10"/>
  <c r="F13" i="10"/>
  <c r="G13" i="10"/>
  <c r="H13" i="10"/>
  <c r="I13" i="10"/>
  <c r="J13" i="10"/>
  <c r="K13" i="10"/>
  <c r="L13" i="10"/>
  <c r="M13" i="10"/>
  <c r="N13" i="10"/>
  <c r="O13" i="10"/>
  <c r="P13" i="10"/>
  <c r="Q13" i="10"/>
  <c r="R13" i="10"/>
  <c r="S13" i="10"/>
  <c r="B19" i="10"/>
  <c r="B19" i="11"/>
  <c r="C19" i="10"/>
  <c r="C19" i="11"/>
  <c r="D19" i="10"/>
  <c r="D19" i="11"/>
  <c r="E19" i="10"/>
  <c r="E19" i="11"/>
  <c r="F19" i="10"/>
  <c r="F19" i="11"/>
  <c r="G19" i="10"/>
  <c r="G19" i="11"/>
  <c r="H19" i="10"/>
  <c r="H19" i="11"/>
  <c r="I19" i="10"/>
  <c r="J19" i="10"/>
  <c r="K19" i="10"/>
  <c r="L19" i="10"/>
  <c r="N19" i="10"/>
  <c r="N19" i="11"/>
  <c r="O19" i="10"/>
  <c r="O19" i="11"/>
  <c r="P19" i="10"/>
  <c r="P19" i="11"/>
  <c r="Q19" i="10"/>
  <c r="Q19" i="11"/>
  <c r="R19" i="10"/>
  <c r="R19" i="11"/>
  <c r="S19" i="10"/>
  <c r="S19" i="11"/>
  <c r="I18" i="10"/>
  <c r="J18" i="10"/>
  <c r="K18" i="10"/>
  <c r="L18" i="10"/>
  <c r="J6" i="10"/>
  <c r="J6" i="9"/>
  <c r="N6" i="10"/>
  <c r="N6" i="9"/>
  <c r="AG3" i="9"/>
  <c r="N8" i="10"/>
  <c r="N8" i="11"/>
  <c r="O8" i="10"/>
  <c r="O8" i="11"/>
  <c r="P8" i="10"/>
  <c r="P8" i="11"/>
  <c r="Q8" i="10"/>
  <c r="Q8" i="11"/>
  <c r="R8" i="10"/>
  <c r="R8" i="11"/>
  <c r="N9" i="10"/>
  <c r="N9" i="11"/>
  <c r="O9" i="10"/>
  <c r="O9" i="11"/>
  <c r="S9" i="10"/>
  <c r="S9" i="11"/>
  <c r="N10" i="10"/>
  <c r="N10" i="11"/>
  <c r="O10" i="10"/>
  <c r="O10" i="11"/>
  <c r="N11" i="10"/>
  <c r="N11" i="11"/>
  <c r="O11" i="10"/>
  <c r="O11" i="11"/>
  <c r="N12" i="10"/>
  <c r="N12" i="11"/>
  <c r="O12" i="10"/>
  <c r="O12" i="11"/>
  <c r="N14" i="10"/>
  <c r="N14" i="11"/>
  <c r="O14" i="10"/>
  <c r="O14" i="11"/>
  <c r="P14" i="10"/>
  <c r="P14" i="11"/>
  <c r="Q14" i="10"/>
  <c r="Q14" i="11"/>
  <c r="R14" i="10"/>
  <c r="R14" i="11"/>
  <c r="N15" i="10"/>
  <c r="N15" i="11"/>
  <c r="O15" i="10"/>
  <c r="O15" i="11"/>
  <c r="S15" i="10"/>
  <c r="S15" i="11"/>
  <c r="N16" i="10"/>
  <c r="N16" i="11"/>
  <c r="O16" i="10"/>
  <c r="O16" i="11"/>
  <c r="N17" i="10"/>
  <c r="N17" i="11"/>
  <c r="O17" i="10"/>
  <c r="O17" i="11"/>
  <c r="N18" i="10"/>
  <c r="N18" i="11"/>
  <c r="O18" i="10"/>
  <c r="O18" i="11"/>
  <c r="P18" i="10"/>
  <c r="P18" i="11"/>
  <c r="S18" i="10"/>
  <c r="S18" i="11"/>
  <c r="N20" i="10"/>
  <c r="N20" i="11"/>
  <c r="O20" i="10"/>
  <c r="O20" i="11"/>
  <c r="P20" i="10"/>
  <c r="P20" i="11"/>
  <c r="Q20" i="10"/>
  <c r="Q20" i="11"/>
  <c r="R20" i="10"/>
  <c r="R20" i="11"/>
  <c r="N21" i="10"/>
  <c r="N21" i="11"/>
  <c r="O21" i="10"/>
  <c r="O21" i="11"/>
  <c r="S21" i="10"/>
  <c r="S21" i="11"/>
  <c r="N22" i="10"/>
  <c r="N22" i="11"/>
  <c r="O22" i="10"/>
  <c r="O22" i="11"/>
  <c r="N23" i="10"/>
  <c r="N23" i="11"/>
  <c r="O23" i="10"/>
  <c r="O23" i="11"/>
  <c r="N24" i="10"/>
  <c r="N24" i="11"/>
  <c r="O24" i="10"/>
  <c r="O24" i="11"/>
  <c r="H8" i="10"/>
  <c r="H8" i="11"/>
  <c r="I8" i="10"/>
  <c r="I8" i="11"/>
  <c r="J8" i="10"/>
  <c r="J8" i="11"/>
  <c r="K8" i="10"/>
  <c r="K8" i="11"/>
  <c r="L8" i="10"/>
  <c r="L8" i="11"/>
  <c r="H9" i="10"/>
  <c r="H9" i="11"/>
  <c r="I9" i="10"/>
  <c r="I9" i="11"/>
  <c r="M9" i="10"/>
  <c r="M9" i="11"/>
  <c r="H10" i="10"/>
  <c r="H10" i="11"/>
  <c r="I10" i="10"/>
  <c r="I10" i="11"/>
  <c r="H11" i="10"/>
  <c r="H11" i="11"/>
  <c r="I11" i="10"/>
  <c r="I11" i="11"/>
  <c r="H12" i="10"/>
  <c r="H12" i="11"/>
  <c r="I12" i="10"/>
  <c r="I12" i="11"/>
  <c r="J12" i="10"/>
  <c r="J12" i="11"/>
  <c r="M12" i="10"/>
  <c r="M12" i="11"/>
  <c r="B14" i="10"/>
  <c r="B14" i="11"/>
  <c r="C14" i="10"/>
  <c r="C14" i="11"/>
  <c r="D14" i="10"/>
  <c r="D14" i="11"/>
  <c r="E14" i="10"/>
  <c r="E14" i="11"/>
  <c r="F14" i="10"/>
  <c r="F14" i="11"/>
  <c r="B15" i="10"/>
  <c r="B15" i="11"/>
  <c r="C15" i="10"/>
  <c r="C15" i="11"/>
  <c r="G15" i="10"/>
  <c r="G15" i="11"/>
  <c r="B16" i="10"/>
  <c r="B16" i="11"/>
  <c r="C16" i="10"/>
  <c r="C16" i="11"/>
  <c r="B17" i="10"/>
  <c r="B17" i="11"/>
  <c r="C17" i="10"/>
  <c r="C17" i="11"/>
  <c r="B18" i="10"/>
  <c r="B18" i="11"/>
  <c r="C18" i="10"/>
  <c r="C18" i="11"/>
  <c r="D18" i="10"/>
  <c r="D18" i="11"/>
  <c r="G18" i="10"/>
  <c r="G18" i="11"/>
  <c r="B20" i="10"/>
  <c r="B20" i="11"/>
  <c r="C20" i="10"/>
  <c r="C20" i="11"/>
  <c r="D20" i="10"/>
  <c r="D20" i="11"/>
  <c r="E20" i="10"/>
  <c r="E20" i="11"/>
  <c r="F20" i="10"/>
  <c r="F20" i="11"/>
  <c r="B21" i="10"/>
  <c r="B21" i="11"/>
  <c r="C21" i="10"/>
  <c r="C21" i="11"/>
  <c r="G21" i="10"/>
  <c r="G21" i="11"/>
  <c r="B22" i="10"/>
  <c r="B22" i="11"/>
  <c r="C22" i="10"/>
  <c r="C22" i="11"/>
  <c r="B23" i="10"/>
  <c r="B23" i="11"/>
  <c r="C23" i="10"/>
  <c r="C23" i="11"/>
  <c r="B24" i="10"/>
  <c r="B24" i="11"/>
  <c r="C24" i="10"/>
  <c r="C24" i="11"/>
  <c r="H20" i="10"/>
  <c r="H20" i="11"/>
  <c r="I20" i="10"/>
  <c r="I20" i="11"/>
  <c r="J20" i="10"/>
  <c r="J20" i="11"/>
  <c r="K20" i="10"/>
  <c r="K20" i="11"/>
  <c r="L20" i="10"/>
  <c r="L20" i="11"/>
  <c r="H21" i="10"/>
  <c r="H21" i="11"/>
  <c r="I21" i="10"/>
  <c r="I21" i="11"/>
  <c r="M21" i="10"/>
  <c r="M21" i="11"/>
  <c r="H22" i="10"/>
  <c r="H22" i="11"/>
  <c r="I22" i="10"/>
  <c r="I22" i="11"/>
  <c r="H23" i="10"/>
  <c r="H23" i="11"/>
  <c r="I23" i="10"/>
  <c r="I23" i="11"/>
  <c r="H24" i="10"/>
  <c r="H24" i="11"/>
  <c r="I24" i="10"/>
  <c r="I24" i="11"/>
  <c r="J24" i="10"/>
  <c r="J24" i="11"/>
  <c r="M24" i="10"/>
  <c r="M24" i="11"/>
  <c r="B8" i="10"/>
  <c r="B8" i="11"/>
  <c r="C8" i="10"/>
  <c r="C8" i="11"/>
  <c r="D8" i="10"/>
  <c r="D8" i="11"/>
  <c r="E8" i="10"/>
  <c r="E8" i="11"/>
  <c r="F8" i="10"/>
  <c r="F8" i="11"/>
  <c r="B9" i="10"/>
  <c r="B9" i="11"/>
  <c r="C9" i="10"/>
  <c r="C9" i="11"/>
  <c r="G9" i="10"/>
  <c r="G9" i="11"/>
  <c r="B10" i="10"/>
  <c r="B10" i="11"/>
  <c r="C10" i="10"/>
  <c r="C10" i="11"/>
  <c r="B11" i="10"/>
  <c r="B11" i="11"/>
  <c r="C11" i="10"/>
  <c r="C11" i="11"/>
  <c r="B12" i="10"/>
  <c r="B12" i="11"/>
  <c r="C12" i="10"/>
  <c r="C12" i="11"/>
  <c r="E5" i="11"/>
  <c r="O5" i="10"/>
  <c r="O5" i="11"/>
  <c r="P5" i="10"/>
  <c r="P5" i="11"/>
  <c r="B7" i="10"/>
  <c r="B7" i="11"/>
  <c r="C7" i="10"/>
  <c r="D7" i="10"/>
  <c r="D7" i="11"/>
  <c r="E7" i="10"/>
  <c r="E7" i="11"/>
  <c r="F7" i="10"/>
  <c r="F7" i="11"/>
  <c r="G7" i="10"/>
  <c r="G7" i="11"/>
  <c r="H7" i="10"/>
  <c r="H7" i="11"/>
  <c r="I7" i="10"/>
  <c r="I7" i="11"/>
  <c r="J7" i="10"/>
  <c r="J7" i="11"/>
  <c r="K7" i="10"/>
  <c r="K7" i="11"/>
  <c r="L7" i="10"/>
  <c r="L7" i="11"/>
  <c r="M7" i="10"/>
  <c r="M7" i="11"/>
  <c r="N7" i="10"/>
  <c r="N7" i="11"/>
  <c r="O7" i="10"/>
  <c r="O7" i="11"/>
  <c r="P7" i="10"/>
  <c r="P7" i="11"/>
  <c r="Q7" i="10"/>
  <c r="Q7" i="11"/>
  <c r="R7" i="10"/>
  <c r="R7" i="11"/>
  <c r="S7" i="10"/>
  <c r="S7" i="11"/>
  <c r="T7" i="10"/>
  <c r="T7" i="11"/>
  <c r="T10" i="10"/>
  <c r="T10" i="11"/>
  <c r="T11" i="10"/>
  <c r="T11" i="11"/>
  <c r="T12" i="10"/>
  <c r="T12" i="11"/>
  <c r="H14" i="10"/>
  <c r="H14" i="11"/>
  <c r="T13" i="10"/>
  <c r="T13" i="11"/>
  <c r="H15" i="10"/>
  <c r="H15" i="11"/>
  <c r="T14" i="10"/>
  <c r="T14" i="11"/>
  <c r="T15" i="10"/>
  <c r="T15" i="11"/>
  <c r="H17" i="10"/>
  <c r="H17" i="11"/>
  <c r="M17" i="10"/>
  <c r="M17" i="11"/>
  <c r="T16" i="10"/>
  <c r="T16" i="11"/>
  <c r="T17" i="10"/>
  <c r="T17" i="11"/>
  <c r="T18" i="10"/>
  <c r="T18" i="11"/>
  <c r="T19" i="10"/>
  <c r="T19" i="11"/>
  <c r="T20" i="10"/>
  <c r="T20" i="11"/>
  <c r="T21" i="10"/>
  <c r="T21" i="11"/>
  <c r="T22" i="10"/>
  <c r="T22" i="11"/>
  <c r="T3" i="10"/>
  <c r="T3" i="11"/>
  <c r="T4" i="10"/>
  <c r="T4" i="11"/>
  <c r="T5" i="10"/>
  <c r="T5" i="11"/>
  <c r="T6" i="10"/>
  <c r="T6" i="11"/>
  <c r="B6" i="10"/>
  <c r="B6" i="11"/>
  <c r="C6" i="10"/>
  <c r="C6" i="11"/>
  <c r="D6" i="10"/>
  <c r="D6" i="11"/>
  <c r="E6" i="10"/>
  <c r="E6" i="11"/>
  <c r="G6" i="10"/>
  <c r="G6" i="11"/>
  <c r="H6" i="10"/>
  <c r="H6" i="11"/>
  <c r="I6" i="10"/>
  <c r="I6" i="11"/>
  <c r="K6" i="10"/>
  <c r="K6" i="11"/>
  <c r="L6" i="10"/>
  <c r="L6" i="11"/>
  <c r="M6" i="10"/>
  <c r="M6" i="11"/>
  <c r="O6" i="10"/>
  <c r="O6" i="11"/>
  <c r="P6" i="10"/>
  <c r="P6" i="11"/>
  <c r="Q6" i="10"/>
  <c r="Q6" i="11"/>
  <c r="R6" i="10"/>
  <c r="R6" i="11"/>
  <c r="S6" i="10"/>
  <c r="S6" i="11"/>
  <c r="I14" i="10"/>
  <c r="J14" i="10"/>
  <c r="K14" i="10"/>
  <c r="L14" i="10"/>
  <c r="I15" i="10"/>
  <c r="J15" i="10"/>
  <c r="K15" i="10"/>
  <c r="L15" i="10"/>
  <c r="I16" i="10"/>
  <c r="J16" i="10"/>
  <c r="K16" i="10"/>
  <c r="L16" i="10"/>
  <c r="I17" i="10"/>
  <c r="J17" i="10"/>
  <c r="K17" i="10"/>
  <c r="L17" i="10"/>
  <c r="Q5" i="10"/>
  <c r="Q5" i="11"/>
  <c r="S5" i="10"/>
  <c r="G5" i="10"/>
  <c r="G5" i="11"/>
  <c r="H5" i="10"/>
  <c r="H5" i="11"/>
  <c r="I5" i="10"/>
  <c r="J5" i="10"/>
  <c r="K5" i="10"/>
  <c r="K5" i="11"/>
  <c r="L5" i="10"/>
  <c r="L5" i="11"/>
  <c r="M5" i="10"/>
  <c r="N5" i="10"/>
  <c r="E5" i="10"/>
  <c r="A21" i="10"/>
  <c r="A21" i="11"/>
  <c r="A20" i="10"/>
  <c r="A20" i="11"/>
  <c r="A19" i="10"/>
  <c r="A19" i="11"/>
  <c r="A18" i="10"/>
  <c r="A18" i="11"/>
  <c r="A17" i="10"/>
  <c r="A17" i="11"/>
  <c r="A16" i="10"/>
  <c r="A16" i="11"/>
  <c r="A15" i="10"/>
  <c r="A15" i="11"/>
  <c r="A14" i="10"/>
  <c r="A14" i="11"/>
  <c r="A13" i="10"/>
  <c r="A13" i="11"/>
  <c r="A12" i="10"/>
  <c r="A12" i="11"/>
  <c r="A11" i="10"/>
  <c r="A11" i="11"/>
  <c r="A10" i="10"/>
  <c r="A10" i="11"/>
  <c r="A9" i="10"/>
  <c r="A9" i="11"/>
  <c r="A8" i="10"/>
  <c r="A8" i="11"/>
  <c r="A7" i="10"/>
  <c r="A7" i="11"/>
  <c r="A6" i="10"/>
  <c r="A6" i="11"/>
  <c r="A5" i="10"/>
  <c r="A5" i="11"/>
  <c r="Q4" i="10"/>
  <c r="Q4" i="11"/>
  <c r="P4" i="10"/>
  <c r="P4" i="11"/>
  <c r="O4" i="10"/>
  <c r="O4" i="11"/>
  <c r="B4" i="10"/>
  <c r="B4" i="11"/>
  <c r="A4" i="10"/>
  <c r="A4" i="11"/>
  <c r="Q3" i="10"/>
  <c r="Q3" i="11"/>
  <c r="P3" i="10"/>
  <c r="P3" i="11"/>
  <c r="O3" i="10"/>
  <c r="O3" i="11"/>
  <c r="N3" i="10"/>
  <c r="N3" i="11"/>
  <c r="M3" i="10"/>
  <c r="M3" i="11"/>
  <c r="L3" i="10"/>
  <c r="L3" i="11"/>
  <c r="I3" i="10"/>
  <c r="I3" i="11"/>
  <c r="H3" i="10"/>
  <c r="H3" i="11"/>
  <c r="G3" i="10"/>
  <c r="F3" i="10"/>
  <c r="B3" i="10"/>
  <c r="B3" i="11"/>
  <c r="A3" i="10"/>
  <c r="A3" i="11"/>
  <c r="T2" i="10"/>
  <c r="T2" i="11"/>
  <c r="Q2" i="10"/>
  <c r="Q2" i="11"/>
  <c r="P2" i="10"/>
  <c r="P2" i="11"/>
  <c r="J2" i="10"/>
  <c r="J2" i="11"/>
  <c r="H2" i="10"/>
  <c r="D2" i="10"/>
  <c r="D2" i="11"/>
  <c r="A2" i="10"/>
  <c r="A2" i="11"/>
  <c r="T1" i="10"/>
  <c r="T1" i="11"/>
  <c r="S1" i="10"/>
  <c r="S1" i="11"/>
  <c r="R1" i="10"/>
  <c r="R1" i="11"/>
  <c r="Q1" i="10"/>
  <c r="Q1" i="11"/>
  <c r="P1" i="10"/>
  <c r="P1" i="11"/>
  <c r="O1" i="10"/>
  <c r="O1" i="11"/>
  <c r="N1" i="10"/>
  <c r="N1" i="11"/>
  <c r="M1" i="10"/>
  <c r="M1" i="11"/>
  <c r="L1" i="10"/>
  <c r="L1" i="11"/>
  <c r="K1" i="10"/>
  <c r="K1" i="11"/>
  <c r="J1" i="10"/>
  <c r="J1" i="11"/>
  <c r="I1" i="10"/>
  <c r="H1" i="10"/>
  <c r="G1" i="10"/>
  <c r="F1" i="10"/>
  <c r="E1" i="10"/>
  <c r="D1" i="10"/>
  <c r="C1" i="10"/>
  <c r="B1" i="10"/>
  <c r="K3" i="10"/>
  <c r="J3" i="10"/>
  <c r="E3" i="10"/>
  <c r="O2" i="10"/>
  <c r="N2" i="10"/>
  <c r="L2" i="10"/>
  <c r="F2" i="10"/>
  <c r="A1" i="10"/>
  <c r="C3" i="11"/>
  <c r="C4" i="11"/>
  <c r="E4" i="11"/>
  <c r="G4" i="11"/>
  <c r="H4" i="11"/>
  <c r="I4" i="11"/>
  <c r="L4" i="11"/>
  <c r="M4" i="11"/>
  <c r="N4" i="11"/>
  <c r="C2" i="10"/>
  <c r="S2" i="10"/>
  <c r="C3" i="10"/>
  <c r="S3" i="10"/>
  <c r="C4" i="10"/>
  <c r="E4" i="10"/>
  <c r="G4" i="10"/>
  <c r="H4" i="10"/>
  <c r="I4" i="10"/>
  <c r="J4" i="10"/>
  <c r="K4" i="10"/>
  <c r="L4" i="10"/>
  <c r="M4" i="10"/>
  <c r="N4" i="10"/>
  <c r="S4" i="10"/>
  <c r="FK4" i="9"/>
  <c r="FK14" i="9"/>
  <c r="FH5" i="9"/>
  <c r="FG5" i="9"/>
  <c r="FF5" i="9"/>
  <c r="FE5" i="9"/>
  <c r="FD5" i="9"/>
  <c r="FC5" i="9"/>
  <c r="FB5" i="9"/>
  <c r="FA5" i="9"/>
  <c r="FK5" i="9"/>
  <c r="FL5" i="9"/>
  <c r="FM5" i="9"/>
  <c r="FN5" i="9"/>
  <c r="FO5" i="9"/>
  <c r="FP5" i="9"/>
  <c r="FG6" i="9"/>
  <c r="FF6" i="9"/>
  <c r="FE6" i="9"/>
  <c r="FD6" i="9"/>
  <c r="FC6" i="9"/>
  <c r="FB6" i="9"/>
  <c r="FA6" i="9"/>
  <c r="FI6" i="9"/>
  <c r="FK6" i="9"/>
  <c r="FL6" i="9"/>
  <c r="FM6" i="9"/>
  <c r="FN6" i="9"/>
  <c r="FO6" i="9"/>
  <c r="FP6" i="9"/>
  <c r="FQ6" i="9"/>
  <c r="FS6" i="9"/>
  <c r="FF7" i="9"/>
  <c r="FE7" i="9"/>
  <c r="FD7" i="9"/>
  <c r="FC7" i="9"/>
  <c r="FB7" i="9"/>
  <c r="FA7" i="9"/>
  <c r="FI7" i="9"/>
  <c r="FH7" i="9"/>
  <c r="FK7" i="9"/>
  <c r="FL7" i="9"/>
  <c r="FM7" i="9"/>
  <c r="FN7" i="9"/>
  <c r="FO7" i="9"/>
  <c r="FP7" i="9"/>
  <c r="FR7" i="9"/>
  <c r="FS7" i="9"/>
  <c r="FE8" i="9"/>
  <c r="FD8" i="9"/>
  <c r="FC8" i="9"/>
  <c r="FB8" i="9"/>
  <c r="FA8" i="9"/>
  <c r="FI8" i="9"/>
  <c r="FH8" i="9"/>
  <c r="FG8" i="9"/>
  <c r="FK8" i="9"/>
  <c r="FL8" i="9"/>
  <c r="FM8" i="9"/>
  <c r="FN8" i="9"/>
  <c r="FO8" i="9"/>
  <c r="FQ8" i="9"/>
  <c r="FR8" i="9"/>
  <c r="FS8" i="9"/>
  <c r="FD9" i="9"/>
  <c r="FC9" i="9"/>
  <c r="FB9" i="9"/>
  <c r="FA9" i="9"/>
  <c r="FI9" i="9"/>
  <c r="FH9" i="9"/>
  <c r="FG9" i="9"/>
  <c r="FF9" i="9"/>
  <c r="FK9" i="9"/>
  <c r="FL9" i="9"/>
  <c r="FM9" i="9"/>
  <c r="FN9" i="9"/>
  <c r="FP9" i="9"/>
  <c r="FQ9" i="9"/>
  <c r="FR9" i="9"/>
  <c r="FS9" i="9"/>
  <c r="FC10" i="9"/>
  <c r="FB10" i="9"/>
  <c r="FA10" i="9"/>
  <c r="FI10" i="9"/>
  <c r="FH10" i="9"/>
  <c r="FG10" i="9"/>
  <c r="FF10" i="9"/>
  <c r="FE10" i="9"/>
  <c r="FK10" i="9"/>
  <c r="FL10" i="9"/>
  <c r="FM10" i="9"/>
  <c r="FO10" i="9"/>
  <c r="FP10" i="9"/>
  <c r="FQ10" i="9"/>
  <c r="FR10" i="9"/>
  <c r="FS10" i="9"/>
  <c r="FB11" i="9"/>
  <c r="FA11" i="9"/>
  <c r="FI11" i="9"/>
  <c r="FH11" i="9"/>
  <c r="FG11" i="9"/>
  <c r="FF11" i="9"/>
  <c r="FE11" i="9"/>
  <c r="FD11" i="9"/>
  <c r="FK11" i="9"/>
  <c r="FL11" i="9"/>
  <c r="FN11" i="9"/>
  <c r="FO11" i="9"/>
  <c r="FP11" i="9"/>
  <c r="FQ11" i="9"/>
  <c r="FR11" i="9"/>
  <c r="FS11" i="9"/>
  <c r="FA12" i="9"/>
  <c r="FI12" i="9"/>
  <c r="FH12" i="9"/>
  <c r="FG12" i="9"/>
  <c r="FF12" i="9"/>
  <c r="FE12" i="9"/>
  <c r="FD12" i="9"/>
  <c r="FC12" i="9"/>
  <c r="FK12" i="9"/>
  <c r="FM12" i="9"/>
  <c r="FN12" i="9"/>
  <c r="FO12" i="9"/>
  <c r="FP12" i="9"/>
  <c r="FQ12" i="9"/>
  <c r="FR12" i="9"/>
  <c r="FS12" i="9"/>
  <c r="FI13" i="9"/>
  <c r="FH13" i="9"/>
  <c r="FG13" i="9"/>
  <c r="FF13" i="9"/>
  <c r="FE13" i="9"/>
  <c r="FD13" i="9"/>
  <c r="FC13" i="9"/>
  <c r="FB13" i="9"/>
  <c r="FR13" i="9"/>
  <c r="FS13" i="9"/>
  <c r="FA14" i="9"/>
  <c r="FB14" i="9"/>
  <c r="FC14" i="9"/>
  <c r="FD14" i="9"/>
  <c r="FE14" i="9"/>
  <c r="FF14" i="9"/>
  <c r="FG14" i="9"/>
  <c r="FH14" i="9"/>
  <c r="FI14" i="9"/>
  <c r="FJ14" i="9"/>
  <c r="D2" i="7"/>
  <c r="D3" i="7"/>
  <c r="D4" i="7"/>
  <c r="D5" i="7"/>
  <c r="D6" i="7"/>
  <c r="D7" i="7"/>
  <c r="D8" i="7"/>
  <c r="D9" i="7"/>
  <c r="D10" i="7"/>
  <c r="D11" i="7"/>
  <c r="D12" i="7"/>
  <c r="D13" i="7"/>
  <c r="AR13" i="7"/>
  <c r="AS13" i="7"/>
  <c r="AT13" i="7"/>
  <c r="AU13" i="7"/>
  <c r="AV13" i="7"/>
  <c r="AW13" i="7"/>
  <c r="AX13" i="7"/>
  <c r="AY13" i="7"/>
  <c r="AZ13" i="7"/>
  <c r="BA13" i="7"/>
  <c r="BB13" i="7"/>
  <c r="BC13" i="7"/>
  <c r="BD13" i="7"/>
  <c r="BE13" i="7"/>
  <c r="BF13" i="7"/>
  <c r="BG13" i="7"/>
  <c r="BH13" i="7"/>
  <c r="BI13" i="7"/>
  <c r="BJ13" i="7"/>
  <c r="BK13" i="7"/>
  <c r="BL13" i="7"/>
  <c r="BM13" i="7"/>
  <c r="BN13" i="7"/>
  <c r="BO13" i="7"/>
  <c r="BP13" i="7"/>
  <c r="BQ13" i="7"/>
  <c r="BR13" i="7"/>
  <c r="BS13" i="7"/>
  <c r="BT13" i="7"/>
  <c r="BU13" i="7"/>
  <c r="BV13" i="7"/>
  <c r="BW13" i="7"/>
  <c r="BX13" i="7"/>
  <c r="BY13" i="7"/>
  <c r="BZ13" i="7"/>
  <c r="CA13" i="7"/>
  <c r="CB13" i="7"/>
  <c r="CC13" i="7"/>
  <c r="CD13" i="7"/>
  <c r="CE13" i="7"/>
  <c r="CF13" i="7"/>
  <c r="CG13" i="7"/>
  <c r="CH13" i="7"/>
  <c r="CI13" i="7"/>
  <c r="CJ13" i="7"/>
  <c r="CK13" i="7"/>
  <c r="CL13" i="7"/>
  <c r="CM13" i="7"/>
  <c r="D14" i="7"/>
  <c r="D15" i="7"/>
  <c r="D16" i="7"/>
  <c r="D17" i="7"/>
  <c r="D18" i="7"/>
  <c r="D19" i="7"/>
  <c r="D20" i="7"/>
  <c r="D21" i="7"/>
  <c r="D22" i="7"/>
  <c r="D23" i="7"/>
  <c r="D24" i="7"/>
  <c r="D25" i="7"/>
  <c r="D2" i="6"/>
  <c r="D3" i="6"/>
  <c r="D4" i="6"/>
  <c r="D5" i="6"/>
  <c r="D6" i="6"/>
  <c r="D7" i="6"/>
  <c r="D8" i="6"/>
  <c r="D9" i="6"/>
  <c r="D10" i="6"/>
  <c r="D11" i="6"/>
  <c r="D12" i="6"/>
  <c r="D13" i="6"/>
  <c r="AR13" i="6"/>
  <c r="AS13" i="6"/>
  <c r="AT13" i="6"/>
  <c r="AU13" i="6"/>
  <c r="AV13" i="6"/>
  <c r="AW13" i="6"/>
  <c r="AX13" i="6"/>
  <c r="AY13" i="6"/>
  <c r="AZ13" i="6"/>
  <c r="BA13" i="6"/>
  <c r="BB13" i="6"/>
  <c r="BC13" i="6"/>
  <c r="BD13" i="6"/>
  <c r="BE13" i="6"/>
  <c r="BF13" i="6"/>
  <c r="BG13" i="6"/>
  <c r="BH13" i="6"/>
  <c r="BI13" i="6"/>
  <c r="BJ13" i="6"/>
  <c r="BK13" i="6"/>
  <c r="BL13" i="6"/>
  <c r="BM13" i="6"/>
  <c r="BN13" i="6"/>
  <c r="BO13" i="6"/>
  <c r="BP13" i="6"/>
  <c r="BQ13" i="6"/>
  <c r="BR13" i="6"/>
  <c r="BS13" i="6"/>
  <c r="BT13" i="6"/>
  <c r="BU13" i="6"/>
  <c r="BV13" i="6"/>
  <c r="BW13" i="6"/>
  <c r="BX13" i="6"/>
  <c r="BY13" i="6"/>
  <c r="BZ13" i="6"/>
  <c r="CA13" i="6"/>
  <c r="CB13" i="6"/>
  <c r="CC13" i="6"/>
  <c r="CD13" i="6"/>
  <c r="CE13" i="6"/>
  <c r="CF13" i="6"/>
  <c r="CG13" i="6"/>
  <c r="CH13" i="6"/>
  <c r="CI13" i="6"/>
  <c r="CJ13" i="6"/>
  <c r="CK13" i="6"/>
  <c r="CL13" i="6"/>
  <c r="CM13" i="6"/>
  <c r="D14" i="6"/>
  <c r="D15" i="6"/>
  <c r="D16" i="6"/>
  <c r="D17" i="6"/>
  <c r="D18" i="6"/>
  <c r="D19" i="6"/>
  <c r="D20" i="6"/>
  <c r="D21" i="6"/>
  <c r="D22" i="6"/>
  <c r="D23" i="6"/>
  <c r="D24" i="6"/>
  <c r="D25" i="6"/>
  <c r="B25" i="5"/>
  <c r="B24" i="5"/>
  <c r="AR48" i="5"/>
  <c r="AS47" i="5"/>
  <c r="B16" i="5"/>
  <c r="B26" i="5"/>
  <c r="B40" i="5"/>
  <c r="B39" i="5"/>
  <c r="B27" i="5"/>
  <c r="AL2" i="5"/>
  <c r="S3" i="5"/>
  <c r="B28" i="5"/>
  <c r="B13" i="5"/>
  <c r="B12" i="5"/>
  <c r="C4" i="5"/>
  <c r="FL4" i="9"/>
  <c r="FM4" i="9"/>
  <c r="FN4" i="9"/>
  <c r="FL14" i="9"/>
  <c r="FM14" i="9"/>
  <c r="FN14" i="9"/>
  <c r="FO4" i="9"/>
  <c r="FP4" i="9"/>
  <c r="FO14" i="9"/>
  <c r="FQ4" i="9"/>
  <c r="FP14" i="9"/>
  <c r="FQ14" i="9"/>
  <c r="FR4" i="9"/>
  <c r="FR14" i="9"/>
  <c r="FS4" i="9"/>
  <c r="FS14" i="9"/>
  <c r="FR5" i="9"/>
  <c r="FQ5" i="9"/>
  <c r="FS5" i="9"/>
  <c r="AG12" i="9"/>
  <c r="G20" i="9"/>
  <c r="G20" i="10"/>
  <c r="G20" i="11"/>
  <c r="AG10" i="9"/>
  <c r="S20" i="9"/>
  <c r="S20" i="10"/>
  <c r="S20" i="11"/>
  <c r="AG7" i="9"/>
  <c r="G14" i="9"/>
  <c r="G14" i="10"/>
  <c r="G14" i="11"/>
  <c r="AG13" i="9"/>
  <c r="M8" i="9"/>
  <c r="M8" i="10"/>
  <c r="M8" i="11"/>
  <c r="AG9" i="9"/>
  <c r="AG6" i="9"/>
  <c r="S8" i="9"/>
  <c r="S8" i="10"/>
  <c r="S8" i="11"/>
  <c r="AG5" i="9"/>
  <c r="M20" i="9"/>
  <c r="M20" i="10"/>
  <c r="M20" i="11"/>
  <c r="AG11" i="9"/>
  <c r="S14" i="9"/>
  <c r="S14" i="10"/>
  <c r="S14" i="11"/>
  <c r="AG8" i="9"/>
  <c r="G8" i="9"/>
  <c r="G8" i="10"/>
  <c r="G8" i="11"/>
  <c r="B2" i="9"/>
  <c r="B34" i="5"/>
  <c r="B6" i="5"/>
  <c r="R3" i="5"/>
  <c r="B34" i="12"/>
  <c r="C7" i="12"/>
  <c r="B7" i="12"/>
  <c r="AM7" i="5"/>
  <c r="AM8" i="5"/>
  <c r="AM4" i="5"/>
  <c r="AM10" i="5"/>
  <c r="AM6" i="12"/>
  <c r="AM7" i="12"/>
  <c r="AM4" i="12"/>
  <c r="AM5" i="12"/>
  <c r="AM9" i="12"/>
  <c r="AM3" i="12"/>
  <c r="AM8" i="12"/>
  <c r="AM10" i="12"/>
  <c r="G2" i="9"/>
  <c r="B36" i="5"/>
  <c r="B36" i="12"/>
  <c r="AM6" i="5"/>
  <c r="C7" i="5"/>
  <c r="B7" i="5"/>
  <c r="AM3" i="5"/>
  <c r="AM5" i="5"/>
  <c r="DT5" i="9"/>
  <c r="DT6" i="9"/>
  <c r="DT4" i="9"/>
  <c r="DT10" i="9"/>
  <c r="DT12" i="9"/>
  <c r="DT7" i="9"/>
  <c r="DT15" i="9"/>
  <c r="DT16" i="9"/>
  <c r="DT14" i="9"/>
  <c r="DT9" i="9"/>
  <c r="DT11" i="9"/>
  <c r="DT8" i="9"/>
  <c r="DT13" i="9"/>
  <c r="B35" i="5"/>
  <c r="E2" i="9"/>
  <c r="B35" i="12"/>
  <c r="B6" i="12"/>
  <c r="R3" i="12"/>
  <c r="B42" i="12"/>
  <c r="AM9" i="5"/>
  <c r="B42" i="5"/>
  <c r="B38" i="12"/>
  <c r="S4" i="5"/>
  <c r="S5" i="5"/>
  <c r="S6" i="5"/>
  <c r="S7" i="5"/>
  <c r="S8" i="5"/>
  <c r="S9" i="5"/>
  <c r="S10" i="5"/>
  <c r="S11" i="5"/>
  <c r="S12" i="5"/>
  <c r="S13" i="5"/>
  <c r="S14" i="5"/>
  <c r="R14" i="5"/>
  <c r="B1" i="7"/>
  <c r="B1" i="6"/>
  <c r="AM2" i="5"/>
  <c r="AM2" i="12"/>
  <c r="B44" i="5"/>
  <c r="B43" i="5"/>
  <c r="B45" i="5"/>
  <c r="F31" i="5"/>
  <c r="C43" i="5"/>
  <c r="D43" i="5"/>
  <c r="M2" i="9"/>
  <c r="M2" i="10"/>
  <c r="M2" i="11"/>
  <c r="F31" i="12"/>
  <c r="C43" i="12"/>
  <c r="D43" i="12"/>
  <c r="B44" i="12"/>
  <c r="B43" i="12"/>
  <c r="B45" i="12"/>
  <c r="B18" i="5"/>
  <c r="AA2" i="5"/>
  <c r="B47" i="5"/>
  <c r="B9" i="5"/>
  <c r="B11" i="5"/>
  <c r="I3" i="5"/>
  <c r="B8" i="5"/>
  <c r="O30" i="5"/>
  <c r="B46" i="5"/>
  <c r="B10" i="5"/>
  <c r="B38" i="5"/>
  <c r="R14" i="12"/>
  <c r="S4" i="12"/>
  <c r="S5" i="12"/>
  <c r="S6" i="12"/>
  <c r="S7" i="12"/>
  <c r="S8" i="12"/>
  <c r="S9" i="12"/>
  <c r="S10" i="12"/>
  <c r="S11" i="12"/>
  <c r="S12" i="12"/>
  <c r="S13" i="12"/>
  <c r="S14" i="12"/>
  <c r="B8" i="12"/>
  <c r="O30" i="12"/>
  <c r="B47" i="12"/>
  <c r="B46" i="12"/>
  <c r="B11" i="12"/>
  <c r="B9" i="12"/>
  <c r="B18" i="12"/>
  <c r="AA2" i="12"/>
  <c r="B10" i="12"/>
  <c r="I3" i="12"/>
  <c r="H3" i="12"/>
  <c r="G3" i="12"/>
  <c r="F3" i="12"/>
  <c r="W2" i="9"/>
  <c r="Z11" i="9"/>
  <c r="AS27" i="6"/>
  <c r="BU20" i="6"/>
  <c r="AW20" i="6"/>
  <c r="BZ17" i="6"/>
  <c r="BB17" i="6"/>
  <c r="AZ27" i="6"/>
  <c r="BE29" i="6"/>
  <c r="BG27" i="6"/>
  <c r="CL20" i="6"/>
  <c r="BN20" i="6"/>
  <c r="CE28" i="6"/>
  <c r="BG28" i="6"/>
  <c r="CC18" i="6"/>
  <c r="BE18" i="6"/>
  <c r="CL26" i="6"/>
  <c r="BN26" i="6"/>
  <c r="BZ23" i="6"/>
  <c r="BB23" i="6"/>
  <c r="CI21" i="6"/>
  <c r="BK21" i="6"/>
  <c r="CB14" i="6"/>
  <c r="BD14" i="6"/>
  <c r="CF19" i="6"/>
  <c r="BH19" i="6"/>
  <c r="BU17" i="6"/>
  <c r="AW17" i="6"/>
  <c r="BK29" i="6"/>
  <c r="CF16" i="6"/>
  <c r="BH16" i="6"/>
  <c r="CA19" i="6"/>
  <c r="BC19" i="6"/>
  <c r="CB19" i="6"/>
  <c r="BD19" i="6"/>
  <c r="CL23" i="6"/>
  <c r="BN23" i="6"/>
  <c r="CH16" i="6"/>
  <c r="BJ16" i="6"/>
  <c r="CE26" i="6"/>
  <c r="BG26" i="6"/>
  <c r="CF14" i="6"/>
  <c r="BH14" i="6"/>
  <c r="AY12" i="6"/>
  <c r="CK16" i="6"/>
  <c r="BM16" i="6"/>
  <c r="BV14" i="6"/>
  <c r="AX14" i="6"/>
  <c r="BU16" i="6"/>
  <c r="AW16" i="6"/>
  <c r="CG25" i="6"/>
  <c r="BI25" i="6"/>
  <c r="CL24" i="6"/>
  <c r="BN24" i="6"/>
  <c r="CC19" i="6"/>
  <c r="BE19" i="6"/>
  <c r="BX22" i="6"/>
  <c r="AZ22" i="6"/>
  <c r="BP26" i="6"/>
  <c r="AR26" i="6"/>
  <c r="CA24" i="6"/>
  <c r="BC24" i="6"/>
  <c r="CC23" i="6"/>
  <c r="BE23" i="6"/>
  <c r="BV26" i="6"/>
  <c r="AX26" i="6"/>
  <c r="BG12" i="6"/>
  <c r="CH24" i="6"/>
  <c r="BJ24" i="6"/>
  <c r="CC24" i="6"/>
  <c r="BE24" i="6"/>
  <c r="BP16" i="6"/>
  <c r="AR16" i="6"/>
  <c r="BS18" i="6"/>
  <c r="AU18" i="6"/>
  <c r="AZ29" i="6"/>
  <c r="BP21" i="6"/>
  <c r="AR21" i="6"/>
  <c r="BH29" i="6"/>
  <c r="CJ19" i="6"/>
  <c r="BL19" i="6"/>
  <c r="BD27" i="6"/>
  <c r="BX18" i="6"/>
  <c r="AZ18" i="6"/>
  <c r="CI23" i="6"/>
  <c r="BK23" i="6"/>
  <c r="CJ20" i="6"/>
  <c r="BL20" i="6"/>
  <c r="CH18" i="6"/>
  <c r="BJ18" i="6"/>
  <c r="CM17" i="6"/>
  <c r="BO17" i="6"/>
  <c r="CC26" i="6"/>
  <c r="BE26" i="6"/>
  <c r="BY16" i="6"/>
  <c r="BA16" i="6"/>
  <c r="BU18" i="6"/>
  <c r="AW18" i="6"/>
  <c r="CG22" i="6"/>
  <c r="BI22" i="6"/>
  <c r="BS16" i="6"/>
  <c r="AU16" i="6"/>
  <c r="CL14" i="6"/>
  <c r="BN14" i="6"/>
  <c r="CJ22" i="6"/>
  <c r="BL22" i="6"/>
  <c r="CH23" i="6"/>
  <c r="BJ23" i="6"/>
  <c r="BV21" i="6"/>
  <c r="AX21" i="6"/>
  <c r="CM28" i="6"/>
  <c r="BO28" i="6"/>
  <c r="CH19" i="6"/>
  <c r="BJ19" i="6"/>
  <c r="BY18" i="6"/>
  <c r="BA18" i="6"/>
  <c r="CC25" i="6"/>
  <c r="BE25" i="6"/>
  <c r="BX20" i="6"/>
  <c r="AZ20" i="6"/>
  <c r="CD18" i="6"/>
  <c r="BF18" i="6"/>
  <c r="BP18" i="6"/>
  <c r="AR18" i="6"/>
  <c r="BR14" i="6"/>
  <c r="AT14" i="6"/>
  <c r="BP24" i="6"/>
  <c r="AR24" i="6"/>
  <c r="BS19" i="6"/>
  <c r="AU19" i="6"/>
  <c r="CF21" i="6"/>
  <c r="BH21" i="6"/>
  <c r="CF23" i="6"/>
  <c r="BH23" i="6"/>
  <c r="CB25" i="6"/>
  <c r="BD25" i="6"/>
  <c r="CJ21" i="6"/>
  <c r="BL21" i="6"/>
  <c r="CE25" i="6"/>
  <c r="BG25" i="6"/>
  <c r="BW19" i="6"/>
  <c r="AY19" i="6"/>
  <c r="CA15" i="6"/>
  <c r="BC15" i="6"/>
  <c r="CI15" i="6"/>
  <c r="BK15" i="6"/>
  <c r="CH28" i="6"/>
  <c r="BJ28" i="6"/>
  <c r="CL19" i="6"/>
  <c r="BN19" i="6"/>
  <c r="CM14" i="6"/>
  <c r="BO14" i="6"/>
  <c r="BB29" i="6"/>
  <c r="CG16" i="6"/>
  <c r="BI16" i="6"/>
  <c r="CC14" i="6"/>
  <c r="BE14" i="6"/>
  <c r="BI12" i="6"/>
  <c r="BY21" i="6"/>
  <c r="BA21" i="6"/>
  <c r="BQ24" i="6"/>
  <c r="AS24" i="6"/>
  <c r="CE16" i="6"/>
  <c r="BG16" i="6"/>
  <c r="CM16" i="6"/>
  <c r="BO16" i="6"/>
  <c r="BX28" i="6"/>
  <c r="AZ28" i="6"/>
  <c r="CK14" i="6"/>
  <c r="BM14" i="6"/>
  <c r="CB20" i="6"/>
  <c r="BD20" i="6"/>
  <c r="BT23" i="6"/>
  <c r="AV23" i="6"/>
  <c r="BC27" i="6"/>
  <c r="BZ24" i="6"/>
  <c r="BB24" i="6"/>
  <c r="BZ19" i="6"/>
  <c r="BB19" i="6"/>
  <c r="CF28" i="6"/>
  <c r="BH28" i="6"/>
  <c r="BK12" i="6"/>
  <c r="BU19" i="6"/>
  <c r="AW19" i="6"/>
  <c r="CK19" i="6"/>
  <c r="BM19" i="6"/>
  <c r="BS20" i="6"/>
  <c r="AU20" i="6"/>
  <c r="CG23" i="6"/>
  <c r="BI23" i="6"/>
  <c r="CB18" i="6"/>
  <c r="BD18" i="6"/>
  <c r="CG18" i="6"/>
  <c r="BI18" i="6"/>
  <c r="CB15" i="6"/>
  <c r="BD15" i="6"/>
  <c r="BY15" i="6"/>
  <c r="BA15" i="6"/>
  <c r="AR27" i="6"/>
  <c r="BS14" i="6"/>
  <c r="AU14" i="6"/>
  <c r="CJ28" i="6"/>
  <c r="BL28" i="6"/>
  <c r="BQ28" i="6"/>
  <c r="AS28" i="6"/>
  <c r="BU15" i="6"/>
  <c r="AW15" i="6"/>
  <c r="BV22" i="6"/>
  <c r="AX22" i="6"/>
  <c r="CD21" i="6"/>
  <c r="BF21" i="6"/>
  <c r="BX19" i="6"/>
  <c r="AZ19" i="6"/>
  <c r="BA27" i="6"/>
  <c r="AW27" i="6"/>
  <c r="CE15" i="6"/>
  <c r="BG15" i="6"/>
  <c r="AR12" i="6"/>
  <c r="CA20" i="6"/>
  <c r="BC20" i="6"/>
  <c r="CG14" i="6"/>
  <c r="BI14" i="6"/>
  <c r="BA12" i="6"/>
  <c r="BR26" i="6"/>
  <c r="AT26" i="6"/>
  <c r="BU14" i="6"/>
  <c r="AW14" i="6"/>
  <c r="BU28" i="6"/>
  <c r="AW28" i="6"/>
  <c r="BU26" i="6"/>
  <c r="AW26" i="6"/>
  <c r="BP22" i="6"/>
  <c r="AR22" i="6"/>
  <c r="BZ20" i="6"/>
  <c r="BB20" i="6"/>
  <c r="BR20" i="6"/>
  <c r="AT20" i="6"/>
  <c r="AU29" i="6"/>
  <c r="BU21" i="6"/>
  <c r="AW21" i="6"/>
  <c r="BN27" i="6"/>
  <c r="CD28" i="6"/>
  <c r="BF28" i="6"/>
  <c r="BZ25" i="6"/>
  <c r="BB25" i="6"/>
  <c r="CH14" i="6"/>
  <c r="BJ14" i="6"/>
  <c r="BX24" i="6"/>
  <c r="AZ24" i="6"/>
  <c r="CA21" i="6"/>
  <c r="BC21" i="6"/>
  <c r="AT27" i="6"/>
  <c r="CD14" i="6"/>
  <c r="BF14" i="6"/>
  <c r="CA26" i="6"/>
  <c r="BC26" i="6"/>
  <c r="CB28" i="6"/>
  <c r="BD28" i="6"/>
  <c r="CC28" i="6"/>
  <c r="BE28" i="6"/>
  <c r="CB26" i="6"/>
  <c r="BD26" i="6"/>
  <c r="BV18" i="6"/>
  <c r="AX18" i="6"/>
  <c r="CH17" i="6"/>
  <c r="BJ17" i="6"/>
  <c r="CJ23" i="6"/>
  <c r="BL23" i="6"/>
  <c r="CH25" i="6"/>
  <c r="BJ25" i="6"/>
  <c r="BV16" i="6"/>
  <c r="AX16" i="6"/>
  <c r="CF18" i="6"/>
  <c r="BH18" i="6"/>
  <c r="BY25" i="6"/>
  <c r="BA25" i="6"/>
  <c r="CE21" i="6"/>
  <c r="BG21" i="6"/>
  <c r="BZ14" i="6"/>
  <c r="BB14" i="6"/>
  <c r="BV28" i="6"/>
  <c r="AX28" i="6"/>
  <c r="BG29" i="6"/>
  <c r="CA18" i="6"/>
  <c r="BC18" i="6"/>
  <c r="CG21" i="6"/>
  <c r="BI21" i="6"/>
  <c r="CG15" i="6"/>
  <c r="BI15" i="6"/>
  <c r="CM26" i="6"/>
  <c r="BO26" i="6"/>
  <c r="BI29" i="6"/>
  <c r="CA28" i="6"/>
  <c r="BC28" i="6"/>
  <c r="CJ18" i="6"/>
  <c r="BL18" i="6"/>
  <c r="AY29" i="6"/>
  <c r="AW12" i="6"/>
  <c r="BF27" i="6"/>
  <c r="AX29" i="6"/>
  <c r="CE20" i="6"/>
  <c r="BG20" i="6"/>
  <c r="BP23" i="6"/>
  <c r="AR23" i="6"/>
  <c r="CC22" i="6"/>
  <c r="BE22" i="6"/>
  <c r="CA22" i="6"/>
  <c r="BC22" i="6"/>
  <c r="BR21" i="6"/>
  <c r="AT21" i="6"/>
  <c r="BQ18" i="6"/>
  <c r="AS18" i="6"/>
  <c r="CK24" i="6"/>
  <c r="BM24" i="6"/>
  <c r="CL18" i="6"/>
  <c r="BN18" i="6"/>
  <c r="BW25" i="6"/>
  <c r="AY25" i="6"/>
  <c r="BY20" i="6"/>
  <c r="BA20" i="6"/>
  <c r="CK18" i="6"/>
  <c r="BM18" i="6"/>
  <c r="CD23" i="6"/>
  <c r="BF23" i="6"/>
  <c r="CJ17" i="6"/>
  <c r="BL17" i="6"/>
  <c r="BR17" i="6"/>
  <c r="AT17" i="6"/>
  <c r="AX12" i="6"/>
  <c r="BR15" i="6"/>
  <c r="AT15" i="6"/>
  <c r="BJ27" i="6"/>
  <c r="CD20" i="6"/>
  <c r="BF20" i="6"/>
  <c r="CF15" i="6"/>
  <c r="BH15" i="6"/>
  <c r="CE18" i="6"/>
  <c r="BG18" i="6"/>
  <c r="CM24" i="6"/>
  <c r="BO24" i="6"/>
  <c r="CM18" i="6"/>
  <c r="BO18" i="6"/>
  <c r="BT20" i="6"/>
  <c r="AV20" i="6"/>
  <c r="BX25" i="6"/>
  <c r="AZ25" i="6"/>
  <c r="BY28" i="6"/>
  <c r="BA28" i="6"/>
  <c r="B5" i="6"/>
  <c r="CE22" i="6"/>
  <c r="BG22" i="6"/>
  <c r="CE24" i="6"/>
  <c r="BG24" i="6"/>
  <c r="AY27" i="6"/>
  <c r="CI26" i="6"/>
  <c r="BK26" i="6"/>
  <c r="BV23" i="6"/>
  <c r="AX23" i="6"/>
  <c r="BQ14" i="6"/>
  <c r="AS14" i="6"/>
  <c r="BP20" i="6"/>
  <c r="AR20" i="6"/>
  <c r="BS28" i="6"/>
  <c r="AU28" i="6"/>
  <c r="BM27" i="6"/>
  <c r="BX21" i="6"/>
  <c r="AZ21" i="6"/>
  <c r="BT17" i="6"/>
  <c r="AV17" i="6"/>
  <c r="BU23" i="6"/>
  <c r="AW23" i="6"/>
  <c r="BX23" i="6"/>
  <c r="AZ23" i="6"/>
  <c r="BC29" i="6"/>
  <c r="BO27" i="6"/>
  <c r="BR23" i="6"/>
  <c r="AT23" i="6"/>
  <c r="BZ18" i="6"/>
  <c r="BB18" i="6"/>
  <c r="CK21" i="6"/>
  <c r="BM21" i="6"/>
  <c r="BZ28" i="6"/>
  <c r="BB28" i="6"/>
  <c r="BW16" i="6"/>
  <c r="AY16" i="6"/>
  <c r="BW22" i="6"/>
  <c r="AY22" i="6"/>
  <c r="BR19" i="6"/>
  <c r="AT19" i="6"/>
  <c r="BX26" i="6"/>
  <c r="AZ26" i="6"/>
  <c r="BY17" i="6"/>
  <c r="BA17" i="6"/>
  <c r="BO12" i="6"/>
  <c r="CJ26" i="6"/>
  <c r="BL26" i="6"/>
  <c r="BR16" i="6"/>
  <c r="AT16" i="6"/>
  <c r="BL12" i="6"/>
  <c r="BO29" i="6"/>
  <c r="CB23" i="6"/>
  <c r="BD23" i="6"/>
  <c r="BW24" i="6"/>
  <c r="AY24" i="6"/>
  <c r="BR24" i="6"/>
  <c r="AT24" i="6"/>
  <c r="BU22" i="6"/>
  <c r="AW22" i="6"/>
  <c r="CJ25" i="6"/>
  <c r="BL25" i="6"/>
  <c r="CE23" i="6"/>
  <c r="BG23" i="6"/>
  <c r="BV15" i="6"/>
  <c r="AX15" i="6"/>
  <c r="CF24" i="6"/>
  <c r="BH24" i="6"/>
  <c r="CH21" i="6"/>
  <c r="BJ21" i="6"/>
  <c r="BT15" i="6"/>
  <c r="AV15" i="6"/>
  <c r="BT19" i="6"/>
  <c r="AV19" i="6"/>
  <c r="CF17" i="6"/>
  <c r="BH17" i="6"/>
  <c r="BY14" i="6"/>
  <c r="BA14" i="6"/>
  <c r="AZ12" i="6"/>
  <c r="N22" i="6"/>
  <c r="BB12" i="6"/>
  <c r="BH27" i="6"/>
  <c r="BQ25" i="6"/>
  <c r="AS25" i="6"/>
  <c r="BT24" i="6"/>
  <c r="AV24" i="6"/>
  <c r="BP25" i="6"/>
  <c r="AR25" i="6"/>
  <c r="CF22" i="6"/>
  <c r="BH22" i="6"/>
  <c r="BC12" i="6"/>
  <c r="N25" i="6"/>
  <c r="CM25" i="6"/>
  <c r="BO25" i="6"/>
  <c r="B4" i="6"/>
  <c r="BX15" i="6"/>
  <c r="AZ15" i="6"/>
  <c r="BB27" i="6"/>
  <c r="CI20" i="6"/>
  <c r="BK20" i="6"/>
  <c r="BU24" i="6"/>
  <c r="AW24" i="6"/>
  <c r="CE17" i="6"/>
  <c r="BG17" i="6"/>
  <c r="CK26" i="6"/>
  <c r="BM26" i="6"/>
  <c r="BW18" i="6"/>
  <c r="AY18" i="6"/>
  <c r="CC20" i="6"/>
  <c r="BE20" i="6"/>
  <c r="CM23" i="6"/>
  <c r="BO23" i="6"/>
  <c r="BY19" i="6"/>
  <c r="BA19" i="6"/>
  <c r="BS15" i="6"/>
  <c r="AU15" i="6"/>
  <c r="CA14" i="6"/>
  <c r="BC14" i="6"/>
  <c r="BA29" i="6"/>
  <c r="CG20" i="6"/>
  <c r="BI20" i="6"/>
  <c r="CI17" i="6"/>
  <c r="BK17" i="6"/>
  <c r="CK15" i="6"/>
  <c r="BM15" i="6"/>
  <c r="BV20" i="6"/>
  <c r="AX20" i="6"/>
  <c r="BY24" i="6"/>
  <c r="BA24" i="6"/>
  <c r="CJ14" i="6"/>
  <c r="BL14" i="6"/>
  <c r="BQ23" i="6"/>
  <c r="AS23" i="6"/>
  <c r="AV29" i="6"/>
  <c r="BQ19" i="6"/>
  <c r="AS19" i="6"/>
  <c r="CB16" i="6"/>
  <c r="BD16" i="6"/>
  <c r="BR25" i="6"/>
  <c r="AT25" i="6"/>
  <c r="CH26" i="6"/>
  <c r="BJ26" i="6"/>
  <c r="CC16" i="6"/>
  <c r="BE16" i="6"/>
  <c r="CK23" i="6"/>
  <c r="BM23" i="6"/>
  <c r="BR28" i="6"/>
  <c r="AT28" i="6"/>
  <c r="BX16" i="6"/>
  <c r="AZ16" i="6"/>
  <c r="BE27" i="6"/>
  <c r="CF26" i="6"/>
  <c r="BH26" i="6"/>
  <c r="BL27" i="6"/>
  <c r="CD15" i="6"/>
  <c r="BF15" i="6"/>
  <c r="BS25" i="6"/>
  <c r="AU25" i="6"/>
  <c r="BW28" i="6"/>
  <c r="AY28" i="6"/>
  <c r="BV19" i="6"/>
  <c r="AX19" i="6"/>
  <c r="BZ15" i="6"/>
  <c r="BB15" i="6"/>
  <c r="BT22" i="6"/>
  <c r="AV22" i="6"/>
  <c r="BN29" i="6"/>
  <c r="CI22" i="6"/>
  <c r="BK22" i="6"/>
  <c r="BP17" i="6"/>
  <c r="AR17" i="6"/>
  <c r="CD16" i="6"/>
  <c r="BF16" i="6"/>
  <c r="CG19" i="6"/>
  <c r="BI19" i="6"/>
  <c r="BQ15" i="6"/>
  <c r="AS15" i="6"/>
  <c r="CK25" i="6"/>
  <c r="BM25" i="6"/>
  <c r="BQ22" i="6"/>
  <c r="AS22" i="6"/>
  <c r="CL22" i="6"/>
  <c r="BN22" i="6"/>
  <c r="BT14" i="6"/>
  <c r="AV14" i="6"/>
  <c r="BW23" i="6"/>
  <c r="AY23" i="6"/>
  <c r="BZ16" i="6"/>
  <c r="BB16" i="6"/>
  <c r="BJ29" i="6"/>
  <c r="BT25" i="6"/>
  <c r="AV25" i="6"/>
  <c r="CC17" i="6"/>
  <c r="BE17" i="6"/>
  <c r="CH22" i="6"/>
  <c r="BJ22" i="6"/>
  <c r="BK27" i="6"/>
  <c r="BW14" i="6"/>
  <c r="AY14" i="6"/>
  <c r="BV24" i="6"/>
  <c r="AX24" i="6"/>
  <c r="CB22" i="6"/>
  <c r="BD22" i="6"/>
  <c r="BQ17" i="6"/>
  <c r="AS17" i="6"/>
  <c r="AT12" i="6"/>
  <c r="BP28" i="6"/>
  <c r="AR28" i="6"/>
  <c r="CL28" i="6"/>
  <c r="BN28" i="6"/>
  <c r="BQ21" i="6"/>
  <c r="AS21" i="6"/>
  <c r="CK20" i="6"/>
  <c r="BM20" i="6"/>
  <c r="BE12" i="6"/>
  <c r="N27" i="6"/>
  <c r="CI24" i="6"/>
  <c r="BK24" i="6"/>
  <c r="BZ26" i="6"/>
  <c r="BB26" i="6"/>
  <c r="BT26" i="6"/>
  <c r="AV26" i="6"/>
  <c r="CB21" i="6"/>
  <c r="BD21" i="6"/>
  <c r="BS26" i="6"/>
  <c r="AU26" i="6"/>
  <c r="CA16" i="6"/>
  <c r="BC16" i="6"/>
  <c r="BV25" i="6"/>
  <c r="AX25" i="6"/>
  <c r="AU27" i="6"/>
  <c r="CJ16" i="6"/>
  <c r="BL16" i="6"/>
  <c r="CH15" i="6"/>
  <c r="BJ15" i="6"/>
  <c r="CG26" i="6"/>
  <c r="BI26" i="6"/>
  <c r="CG24" i="6"/>
  <c r="BI24" i="6"/>
  <c r="BY26" i="6"/>
  <c r="BA26" i="6"/>
  <c r="BY22" i="6"/>
  <c r="BA22" i="6"/>
  <c r="BI27" i="6"/>
  <c r="CF20" i="6"/>
  <c r="BH20" i="6"/>
  <c r="BU25" i="6"/>
  <c r="AW25" i="6"/>
  <c r="CB17" i="6"/>
  <c r="BD17" i="6"/>
  <c r="BX14" i="6"/>
  <c r="AZ14" i="6"/>
  <c r="BD29" i="6"/>
  <c r="BF12" i="6"/>
  <c r="BT21" i="6"/>
  <c r="AV21" i="6"/>
  <c r="AV12" i="6"/>
  <c r="CD24" i="6"/>
  <c r="BF24" i="6"/>
  <c r="BP14" i="6"/>
  <c r="AR14" i="6"/>
  <c r="BZ21" i="6"/>
  <c r="BB21" i="6"/>
  <c r="BZ22" i="6"/>
  <c r="BB22" i="6"/>
  <c r="BT16" i="6"/>
  <c r="AV16" i="6"/>
  <c r="BN12" i="6"/>
  <c r="BD12" i="6"/>
  <c r="CA25" i="6"/>
  <c r="BC25" i="6"/>
  <c r="AX27" i="6"/>
  <c r="BY23" i="6"/>
  <c r="BA23" i="6"/>
  <c r="BW21" i="6"/>
  <c r="AY21" i="6"/>
  <c r="BW26" i="6"/>
  <c r="AY26" i="6"/>
  <c r="BS23" i="6"/>
  <c r="AU23" i="6"/>
  <c r="CI18" i="6"/>
  <c r="BK18" i="6"/>
  <c r="B6" i="6"/>
  <c r="AV27" i="6"/>
  <c r="CJ24" i="6"/>
  <c r="BL24" i="6"/>
  <c r="BR18" i="6"/>
  <c r="AT18" i="6"/>
  <c r="BR22" i="6"/>
  <c r="AT22" i="6"/>
  <c r="BX17" i="6"/>
  <c r="AZ17" i="6"/>
  <c r="BP15" i="6"/>
  <c r="AR15" i="6"/>
  <c r="CK28" i="6"/>
  <c r="BM28" i="6"/>
  <c r="AS12" i="6"/>
  <c r="BL29" i="6"/>
  <c r="CI16" i="6"/>
  <c r="BK16" i="6"/>
  <c r="CL16" i="6"/>
  <c r="BN16" i="6"/>
  <c r="CI14" i="6"/>
  <c r="BK14" i="6"/>
  <c r="BV17" i="6"/>
  <c r="AX17" i="6"/>
  <c r="BS22" i="6"/>
  <c r="AU22" i="6"/>
  <c r="CL17" i="6"/>
  <c r="BN17" i="6"/>
  <c r="CL21" i="6"/>
  <c r="BN21" i="6"/>
  <c r="CM15" i="6"/>
  <c r="BO15" i="6"/>
  <c r="CM20" i="6"/>
  <c r="BO20" i="6"/>
  <c r="CA17" i="6"/>
  <c r="BC17" i="6"/>
  <c r="CH20" i="6"/>
  <c r="BJ20" i="6"/>
  <c r="BQ16" i="6"/>
  <c r="AS16" i="6"/>
  <c r="BS21" i="6"/>
  <c r="AU21" i="6"/>
  <c r="CB24" i="6"/>
  <c r="BD24" i="6"/>
  <c r="BS24" i="6"/>
  <c r="AU24" i="6"/>
  <c r="AT29" i="6"/>
  <c r="N16" i="6"/>
  <c r="B3" i="6"/>
  <c r="CL15" i="6"/>
  <c r="BN15" i="6"/>
  <c r="CI25" i="6"/>
  <c r="BK25" i="6"/>
  <c r="CK22" i="6"/>
  <c r="BM22" i="6"/>
  <c r="CA23" i="6"/>
  <c r="BC23" i="6"/>
  <c r="B2" i="6"/>
  <c r="CM21" i="6"/>
  <c r="BO21" i="6"/>
  <c r="CK17" i="6"/>
  <c r="BM17" i="6"/>
  <c r="CI19" i="6"/>
  <c r="BK19" i="6"/>
  <c r="BH12" i="6"/>
  <c r="BM12" i="6"/>
  <c r="CC21" i="6"/>
  <c r="BE21" i="6"/>
  <c r="AR29" i="6"/>
  <c r="CD19" i="6"/>
  <c r="BF19" i="6"/>
  <c r="CM22" i="6"/>
  <c r="BO22" i="6"/>
  <c r="CE14" i="6"/>
  <c r="BG14" i="6"/>
  <c r="CM19" i="6"/>
  <c r="BO19" i="6"/>
  <c r="BM29" i="6"/>
  <c r="CG17" i="6"/>
  <c r="BI17" i="6"/>
  <c r="BQ26" i="6"/>
  <c r="AS26" i="6"/>
  <c r="CI28" i="6"/>
  <c r="BK28" i="6"/>
  <c r="BT28" i="6"/>
  <c r="AV28" i="6"/>
  <c r="AS29" i="6"/>
  <c r="CE19" i="6"/>
  <c r="BG19" i="6"/>
  <c r="AW29" i="6"/>
  <c r="CL25" i="6"/>
  <c r="BN25" i="6"/>
  <c r="CD22" i="6"/>
  <c r="BF22" i="6"/>
  <c r="BF29" i="6"/>
  <c r="CF25" i="6"/>
  <c r="BH25" i="6"/>
  <c r="CD26" i="6"/>
  <c r="BF26" i="6"/>
  <c r="N28" i="6"/>
  <c r="BT18" i="6"/>
  <c r="AV18" i="6"/>
  <c r="BS17" i="6"/>
  <c r="AU17" i="6"/>
  <c r="BW20" i="6"/>
  <c r="AY20" i="6"/>
  <c r="CD25" i="6"/>
  <c r="BF25" i="6"/>
  <c r="CJ15" i="6"/>
  <c r="BL15" i="6"/>
  <c r="AU12" i="6"/>
  <c r="BJ12" i="6"/>
  <c r="BP19" i="6"/>
  <c r="AR19" i="6"/>
  <c r="CD17" i="6"/>
  <c r="BF17" i="6"/>
  <c r="BQ20" i="6"/>
  <c r="AS20" i="6"/>
  <c r="BW15" i="6"/>
  <c r="AY15" i="6"/>
  <c r="CC15" i="6"/>
  <c r="BE15" i="6"/>
  <c r="BW17" i="6"/>
  <c r="AY17" i="6"/>
  <c r="CG28" i="6"/>
  <c r="BI28" i="6"/>
  <c r="CB21" i="7"/>
  <c r="BD21" i="7"/>
  <c r="AY12" i="7"/>
  <c r="CH20" i="7"/>
  <c r="BJ20" i="7"/>
  <c r="AV29" i="7"/>
  <c r="CE22" i="7"/>
  <c r="BG22" i="7"/>
  <c r="BT15" i="7"/>
  <c r="AV15" i="7"/>
  <c r="CC16" i="7"/>
  <c r="BE16" i="7"/>
  <c r="CK19" i="7"/>
  <c r="BM19" i="7"/>
  <c r="BQ17" i="7"/>
  <c r="AS17" i="7"/>
  <c r="CJ24" i="7"/>
  <c r="BL24" i="7"/>
  <c r="CD19" i="7"/>
  <c r="BF19" i="7"/>
  <c r="CC26" i="7"/>
  <c r="BE26" i="7"/>
  <c r="CC19" i="7"/>
  <c r="BE19" i="7"/>
  <c r="CL16" i="7"/>
  <c r="BN16" i="7"/>
  <c r="BY20" i="7"/>
  <c r="BA20" i="7"/>
  <c r="CJ17" i="7"/>
  <c r="BL17" i="7"/>
  <c r="CL18" i="7"/>
  <c r="BN18" i="7"/>
  <c r="CC28" i="7"/>
  <c r="BE28" i="7"/>
  <c r="CB25" i="7"/>
  <c r="BD25" i="7"/>
  <c r="BC12" i="7"/>
  <c r="CF16" i="7"/>
  <c r="BH16" i="7"/>
  <c r="BY16" i="7"/>
  <c r="BA16" i="7"/>
  <c r="BS24" i="7"/>
  <c r="AU24" i="7"/>
  <c r="BX23" i="7"/>
  <c r="AZ23" i="7"/>
  <c r="CH23" i="7"/>
  <c r="BJ23" i="7"/>
  <c r="BS28" i="7"/>
  <c r="AU28" i="7"/>
  <c r="BX18" i="7"/>
  <c r="AZ18" i="7"/>
  <c r="BV28" i="7"/>
  <c r="AX28" i="7"/>
  <c r="CD21" i="7"/>
  <c r="BF21" i="7"/>
  <c r="BT14" i="7"/>
  <c r="AV14" i="7"/>
  <c r="BZ16" i="7"/>
  <c r="BB16" i="7"/>
  <c r="CD14" i="7"/>
  <c r="BF14" i="7"/>
  <c r="CF26" i="7"/>
  <c r="BH26" i="7"/>
  <c r="AS29" i="7"/>
  <c r="BW16" i="7"/>
  <c r="AY16" i="7"/>
  <c r="BP23" i="7"/>
  <c r="AR23" i="7"/>
  <c r="BX21" i="7"/>
  <c r="AZ21" i="7"/>
  <c r="CA18" i="7"/>
  <c r="BC18" i="7"/>
  <c r="BX26" i="7"/>
  <c r="AZ26" i="7"/>
  <c r="CF19" i="7"/>
  <c r="BH19" i="7"/>
  <c r="CM24" i="7"/>
  <c r="BO24" i="7"/>
  <c r="CG25" i="7"/>
  <c r="BI25" i="7"/>
  <c r="CA20" i="7"/>
  <c r="BC20" i="7"/>
  <c r="CF28" i="7"/>
  <c r="BH28" i="7"/>
  <c r="BZ23" i="7"/>
  <c r="BB23" i="7"/>
  <c r="BL27" i="7"/>
  <c r="CA14" i="7"/>
  <c r="BC14" i="7"/>
  <c r="AS27" i="7"/>
  <c r="CG17" i="7"/>
  <c r="BI17" i="7"/>
  <c r="BV21" i="7"/>
  <c r="AX21" i="7"/>
  <c r="BS14" i="7"/>
  <c r="AU14" i="7"/>
  <c r="BD27" i="7"/>
  <c r="CB15" i="7"/>
  <c r="BD15" i="7"/>
  <c r="CD26" i="7"/>
  <c r="BF26" i="7"/>
  <c r="CE25" i="7"/>
  <c r="BG25" i="7"/>
  <c r="BW25" i="7"/>
  <c r="AY25" i="7"/>
  <c r="BP19" i="7"/>
  <c r="AR19" i="7"/>
  <c r="CM28" i="7"/>
  <c r="BO28" i="7"/>
  <c r="AV27" i="7"/>
  <c r="CE15" i="7"/>
  <c r="BG15" i="7"/>
  <c r="CE26" i="7"/>
  <c r="BG26" i="7"/>
  <c r="BY25" i="7"/>
  <c r="BA25" i="7"/>
  <c r="BV22" i="7"/>
  <c r="AX22" i="7"/>
  <c r="CF21" i="7"/>
  <c r="BH21" i="7"/>
  <c r="BS19" i="7"/>
  <c r="AU19" i="7"/>
  <c r="CH19" i="7"/>
  <c r="BJ19" i="7"/>
  <c r="BU28" i="7"/>
  <c r="AW28" i="7"/>
  <c r="CK18" i="7"/>
  <c r="BM18" i="7"/>
  <c r="CA19" i="7"/>
  <c r="BC19" i="7"/>
  <c r="BU15" i="7"/>
  <c r="AW15" i="7"/>
  <c r="BR14" i="7"/>
  <c r="AT14" i="7"/>
  <c r="CG26" i="7"/>
  <c r="BI26" i="7"/>
  <c r="BY26" i="7"/>
  <c r="BA26" i="7"/>
  <c r="AR29" i="7"/>
  <c r="CI19" i="7"/>
  <c r="BK19" i="7"/>
  <c r="CK20" i="7"/>
  <c r="BM20" i="7"/>
  <c r="CH24" i="7"/>
  <c r="BJ24" i="7"/>
  <c r="BZ28" i="7"/>
  <c r="BB28" i="7"/>
  <c r="CM21" i="7"/>
  <c r="BO21" i="7"/>
  <c r="CK22" i="7"/>
  <c r="BM22" i="7"/>
  <c r="BX17" i="7"/>
  <c r="AZ17" i="7"/>
  <c r="CB17" i="7"/>
  <c r="BD17" i="7"/>
  <c r="BS25" i="7"/>
  <c r="AU25" i="7"/>
  <c r="CC20" i="7"/>
  <c r="BE20" i="7"/>
  <c r="BW17" i="7"/>
  <c r="AY17" i="7"/>
  <c r="B5" i="7"/>
  <c r="BW15" i="7"/>
  <c r="AY15" i="7"/>
  <c r="BW26" i="7"/>
  <c r="AY26" i="7"/>
  <c r="BX14" i="7"/>
  <c r="AZ14" i="7"/>
  <c r="AX27" i="7"/>
  <c r="CL22" i="7"/>
  <c r="BN22" i="7"/>
  <c r="AY29" i="7"/>
  <c r="BW20" i="7"/>
  <c r="AY20" i="7"/>
  <c r="CI22" i="7"/>
  <c r="BK22" i="7"/>
  <c r="CI14" i="7"/>
  <c r="BK14" i="7"/>
  <c r="CI20" i="7"/>
  <c r="BK20" i="7"/>
  <c r="CK25" i="7"/>
  <c r="BM25" i="7"/>
  <c r="AW29" i="7"/>
  <c r="CE14" i="7"/>
  <c r="BG14" i="7"/>
  <c r="BP14" i="7"/>
  <c r="AR14" i="7"/>
  <c r="CB28" i="7"/>
  <c r="BD28" i="7"/>
  <c r="CM15" i="7"/>
  <c r="BO15" i="7"/>
  <c r="CC23" i="7"/>
  <c r="BE23" i="7"/>
  <c r="CI25" i="7"/>
  <c r="BK25" i="7"/>
  <c r="CA24" i="7"/>
  <c r="BC24" i="7"/>
  <c r="CJ20" i="7"/>
  <c r="BL20" i="7"/>
  <c r="BT17" i="7"/>
  <c r="AV17" i="7"/>
  <c r="BR18" i="7"/>
  <c r="AT18" i="7"/>
  <c r="BR21" i="7"/>
  <c r="AT21" i="7"/>
  <c r="CB20" i="7"/>
  <c r="BD20" i="7"/>
  <c r="BV24" i="7"/>
  <c r="AX24" i="7"/>
  <c r="BX15" i="7"/>
  <c r="AZ15" i="7"/>
  <c r="BY28" i="7"/>
  <c r="BA28" i="7"/>
  <c r="CG15" i="7"/>
  <c r="BI15" i="7"/>
  <c r="BM29" i="7"/>
  <c r="BT21" i="7"/>
  <c r="AV21" i="7"/>
  <c r="BQ28" i="7"/>
  <c r="AS28" i="7"/>
  <c r="BP21" i="7"/>
  <c r="AR21" i="7"/>
  <c r="CD24" i="7"/>
  <c r="BF24" i="7"/>
  <c r="BU24" i="7"/>
  <c r="AW24" i="7"/>
  <c r="B4" i="7"/>
  <c r="CD16" i="7"/>
  <c r="BF16" i="7"/>
  <c r="CC25" i="7"/>
  <c r="BE25" i="7"/>
  <c r="CF25" i="7"/>
  <c r="BH25" i="7"/>
  <c r="BR16" i="7"/>
  <c r="AT16" i="7"/>
  <c r="BT25" i="7"/>
  <c r="AV25" i="7"/>
  <c r="CL28" i="7"/>
  <c r="BN28" i="7"/>
  <c r="BY14" i="7"/>
  <c r="BA14" i="7"/>
  <c r="BU22" i="7"/>
  <c r="AW22" i="7"/>
  <c r="BD29" i="7"/>
  <c r="AX29" i="7"/>
  <c r="CI28" i="7"/>
  <c r="BK28" i="7"/>
  <c r="BX25" i="7"/>
  <c r="AZ25" i="7"/>
  <c r="BK29" i="7"/>
  <c r="BR15" i="7"/>
  <c r="AT15" i="7"/>
  <c r="CK16" i="7"/>
  <c r="BM16" i="7"/>
  <c r="CH14" i="7"/>
  <c r="BJ14" i="7"/>
  <c r="CM18" i="7"/>
  <c r="BO18" i="7"/>
  <c r="CB19" i="7"/>
  <c r="BD19" i="7"/>
  <c r="BE12" i="7"/>
  <c r="BA27" i="7"/>
  <c r="CD23" i="7"/>
  <c r="BF23" i="7"/>
  <c r="CH18" i="7"/>
  <c r="BJ18" i="7"/>
  <c r="BC29" i="7"/>
  <c r="BK27" i="7"/>
  <c r="CH21" i="7"/>
  <c r="BJ21" i="7"/>
  <c r="BV16" i="7"/>
  <c r="AX16" i="7"/>
  <c r="BP28" i="7"/>
  <c r="AR28" i="7"/>
  <c r="BG12" i="7"/>
  <c r="BQ22" i="7"/>
  <c r="AS22" i="7"/>
  <c r="BX19" i="7"/>
  <c r="AZ19" i="7"/>
  <c r="AU27" i="7"/>
  <c r="BU16" i="7"/>
  <c r="AW16" i="7"/>
  <c r="CG18" i="7"/>
  <c r="BI18" i="7"/>
  <c r="CE24" i="7"/>
  <c r="BG24" i="7"/>
  <c r="BZ18" i="7"/>
  <c r="BB18" i="7"/>
  <c r="BS21" i="7"/>
  <c r="AU21" i="7"/>
  <c r="BY24" i="7"/>
  <c r="BA24" i="7"/>
  <c r="BS26" i="7"/>
  <c r="AU26" i="7"/>
  <c r="CF22" i="7"/>
  <c r="BH22" i="7"/>
  <c r="CC14" i="7"/>
  <c r="BE14" i="7"/>
  <c r="CL17" i="7"/>
  <c r="BN17" i="7"/>
  <c r="BS20" i="7"/>
  <c r="AU20" i="7"/>
  <c r="CD15" i="7"/>
  <c r="BF15" i="7"/>
  <c r="BF12" i="7"/>
  <c r="CL26" i="7"/>
  <c r="BN26" i="7"/>
  <c r="CJ26" i="7"/>
  <c r="BL26" i="7"/>
  <c r="BO27" i="7"/>
  <c r="BV23" i="7"/>
  <c r="AX23" i="7"/>
  <c r="BS17" i="7"/>
  <c r="AU17" i="7"/>
  <c r="BU21" i="7"/>
  <c r="AW21" i="7"/>
  <c r="BZ15" i="7"/>
  <c r="BB15" i="7"/>
  <c r="AZ29" i="7"/>
  <c r="BV19" i="7"/>
  <c r="AX19" i="7"/>
  <c r="BH29" i="7"/>
  <c r="BY22" i="7"/>
  <c r="BA22" i="7"/>
  <c r="CM14" i="7"/>
  <c r="BO14" i="7"/>
  <c r="CH26" i="7"/>
  <c r="BJ26" i="7"/>
  <c r="BT19" i="7"/>
  <c r="AV19" i="7"/>
  <c r="CB16" i="7"/>
  <c r="BD16" i="7"/>
  <c r="BL12" i="7"/>
  <c r="CM23" i="7"/>
  <c r="BO23" i="7"/>
  <c r="BY23" i="7"/>
  <c r="BA23" i="7"/>
  <c r="BP26" i="7"/>
  <c r="AR26" i="7"/>
  <c r="BZ17" i="7"/>
  <c r="BB17" i="7"/>
  <c r="BT26" i="7"/>
  <c r="AV26" i="7"/>
  <c r="BW21" i="7"/>
  <c r="AY21" i="7"/>
  <c r="CJ23" i="7"/>
  <c r="BL23" i="7"/>
  <c r="AT29" i="7"/>
  <c r="BQ25" i="7"/>
  <c r="AS25" i="7"/>
  <c r="BZ14" i="7"/>
  <c r="BB14" i="7"/>
  <c r="CC18" i="7"/>
  <c r="BE18" i="7"/>
  <c r="BN12" i="7"/>
  <c r="CF23" i="7"/>
  <c r="BH23" i="7"/>
  <c r="CG28" i="7"/>
  <c r="BI28" i="7"/>
  <c r="BQ23" i="7"/>
  <c r="AS23" i="7"/>
  <c r="BW19" i="7"/>
  <c r="AY19" i="7"/>
  <c r="CK23" i="7"/>
  <c r="BM23" i="7"/>
  <c r="BQ15" i="7"/>
  <c r="AS15" i="7"/>
  <c r="CC21" i="7"/>
  <c r="BE21" i="7"/>
  <c r="CK26" i="7"/>
  <c r="BM26" i="7"/>
  <c r="CI15" i="7"/>
  <c r="BK15" i="7"/>
  <c r="CL23" i="7"/>
  <c r="BN23" i="7"/>
  <c r="BH12" i="7"/>
  <c r="CH25" i="7"/>
  <c r="BJ25" i="7"/>
  <c r="CM19" i="7"/>
  <c r="BO19" i="7"/>
  <c r="BY18" i="7"/>
  <c r="BA18" i="7"/>
  <c r="BN27" i="7"/>
  <c r="CD25" i="7"/>
  <c r="BF25" i="7"/>
  <c r="CM16" i="7"/>
  <c r="BO16" i="7"/>
  <c r="BT18" i="7"/>
  <c r="AV18" i="7"/>
  <c r="BR26" i="7"/>
  <c r="AT26" i="7"/>
  <c r="CA22" i="7"/>
  <c r="BC22" i="7"/>
  <c r="BS18" i="7"/>
  <c r="AU18" i="7"/>
  <c r="CE19" i="7"/>
  <c r="BG19" i="7"/>
  <c r="BG27" i="7"/>
  <c r="BC27" i="7"/>
  <c r="BY15" i="7"/>
  <c r="BA15" i="7"/>
  <c r="B6" i="7"/>
  <c r="BY17" i="7"/>
  <c r="BA17" i="7"/>
  <c r="AZ27" i="7"/>
  <c r="CJ25" i="7"/>
  <c r="BL25" i="7"/>
  <c r="AW12" i="7"/>
  <c r="BN29" i="7"/>
  <c r="BM12" i="7"/>
  <c r="CJ19" i="7"/>
  <c r="BL19" i="7"/>
  <c r="BP22" i="7"/>
  <c r="AR22" i="7"/>
  <c r="CD28" i="7"/>
  <c r="BF28" i="7"/>
  <c r="BV20" i="7"/>
  <c r="AX20" i="7"/>
  <c r="CE28" i="7"/>
  <c r="BG28" i="7"/>
  <c r="CG14" i="7"/>
  <c r="BI14" i="7"/>
  <c r="CI23" i="7"/>
  <c r="BK23" i="7"/>
  <c r="CE23" i="7"/>
  <c r="BG23" i="7"/>
  <c r="BZ20" i="7"/>
  <c r="BB20" i="7"/>
  <c r="BA12" i="7"/>
  <c r="BG29" i="7"/>
  <c r="BP17" i="7"/>
  <c r="AR17" i="7"/>
  <c r="AX12" i="7"/>
  <c r="CD17" i="7"/>
  <c r="BF17" i="7"/>
  <c r="BW24" i="7"/>
  <c r="AY24" i="7"/>
  <c r="CE18" i="7"/>
  <c r="BG18" i="7"/>
  <c r="CC17" i="7"/>
  <c r="BE17" i="7"/>
  <c r="CK21" i="7"/>
  <c r="BM21" i="7"/>
  <c r="CG19" i="7"/>
  <c r="BI19" i="7"/>
  <c r="CM26" i="7"/>
  <c r="BO26" i="7"/>
  <c r="BP16" i="7"/>
  <c r="AR16" i="7"/>
  <c r="CI26" i="7"/>
  <c r="BK26" i="7"/>
  <c r="CA21" i="7"/>
  <c r="BC21" i="7"/>
  <c r="BF29" i="7"/>
  <c r="BR22" i="7"/>
  <c r="AT22" i="7"/>
  <c r="BP15" i="7"/>
  <c r="AR15" i="7"/>
  <c r="BZ19" i="7"/>
  <c r="BB19" i="7"/>
  <c r="BV17" i="7"/>
  <c r="AX17" i="7"/>
  <c r="BW23" i="7"/>
  <c r="AY23" i="7"/>
  <c r="CH28" i="7"/>
  <c r="BJ28" i="7"/>
  <c r="CM17" i="7"/>
  <c r="BO17" i="7"/>
  <c r="CH17" i="7"/>
  <c r="BJ17" i="7"/>
  <c r="CB14" i="7"/>
  <c r="BD14" i="7"/>
  <c r="CL21" i="7"/>
  <c r="BN21" i="7"/>
  <c r="AT12" i="7"/>
  <c r="BU23" i="7"/>
  <c r="AW23" i="7"/>
  <c r="BX20" i="7"/>
  <c r="AZ20" i="7"/>
  <c r="CK24" i="7"/>
  <c r="BM24" i="7"/>
  <c r="BP18" i="7"/>
  <c r="AR18" i="7"/>
  <c r="BR24" i="7"/>
  <c r="AT24" i="7"/>
  <c r="BP24" i="7"/>
  <c r="AR24" i="7"/>
  <c r="CC24" i="7"/>
  <c r="BE24" i="7"/>
  <c r="BS23" i="7"/>
  <c r="AU23" i="7"/>
  <c r="BQ18" i="7"/>
  <c r="AS18" i="7"/>
  <c r="BJ12" i="7"/>
  <c r="CK17" i="7"/>
  <c r="BM17" i="7"/>
  <c r="AY27" i="7"/>
  <c r="CJ28" i="7"/>
  <c r="BL28" i="7"/>
  <c r="BI27" i="7"/>
  <c r="BW22" i="7"/>
  <c r="AY22" i="7"/>
  <c r="CB22" i="7"/>
  <c r="BD22" i="7"/>
  <c r="BB27" i="7"/>
  <c r="BO29" i="7"/>
  <c r="CK14" i="7"/>
  <c r="BM14" i="7"/>
  <c r="CA25" i="7"/>
  <c r="BC25" i="7"/>
  <c r="BZ24" i="7"/>
  <c r="BB24" i="7"/>
  <c r="BD12" i="7"/>
  <c r="CH15" i="7"/>
  <c r="BJ15" i="7"/>
  <c r="CH22" i="7"/>
  <c r="BJ22" i="7"/>
  <c r="BU26" i="7"/>
  <c r="AW26" i="7"/>
  <c r="BU18" i="7"/>
  <c r="AW18" i="7"/>
  <c r="BU20" i="7"/>
  <c r="AW20" i="7"/>
  <c r="B3" i="7"/>
  <c r="B7" i="7"/>
  <c r="B8" i="7"/>
  <c r="BQ21" i="7"/>
  <c r="AS21" i="7"/>
  <c r="CG23" i="7"/>
  <c r="BI23" i="7"/>
  <c r="BX24" i="7"/>
  <c r="AZ24" i="7"/>
  <c r="CB24" i="7"/>
  <c r="BD24" i="7"/>
  <c r="CJ21" i="7"/>
  <c r="BL21" i="7"/>
  <c r="BA29" i="7"/>
  <c r="AU12" i="7"/>
  <c r="CL20" i="7"/>
  <c r="BN20" i="7"/>
  <c r="BQ26" i="7"/>
  <c r="AS26" i="7"/>
  <c r="BT20" i="7"/>
  <c r="AV20" i="7"/>
  <c r="CD22" i="7"/>
  <c r="BF22" i="7"/>
  <c r="BY21" i="7"/>
  <c r="BA21" i="7"/>
  <c r="BF27" i="7"/>
  <c r="CL19" i="7"/>
  <c r="BN19" i="7"/>
  <c r="CA23" i="7"/>
  <c r="BC23" i="7"/>
  <c r="BX22" i="7"/>
  <c r="AZ22" i="7"/>
  <c r="AW27" i="7"/>
  <c r="BQ14" i="7"/>
  <c r="AS14" i="7"/>
  <c r="CC22" i="7"/>
  <c r="BE22" i="7"/>
  <c r="BL29" i="7"/>
  <c r="CD20" i="7"/>
  <c r="BF20" i="7"/>
  <c r="BH27" i="7"/>
  <c r="BS22" i="7"/>
  <c r="AU22" i="7"/>
  <c r="BV25" i="7"/>
  <c r="AX25" i="7"/>
  <c r="AS12" i="7"/>
  <c r="N15" i="7"/>
  <c r="AR12" i="7"/>
  <c r="N14" i="7"/>
  <c r="CL25" i="7"/>
  <c r="BN25" i="7"/>
  <c r="BT28" i="7"/>
  <c r="AV28" i="7"/>
  <c r="BT16" i="7"/>
  <c r="AV16" i="7"/>
  <c r="AT27" i="7"/>
  <c r="CJ14" i="7"/>
  <c r="BL14" i="7"/>
  <c r="BK12" i="7"/>
  <c r="BW28" i="7"/>
  <c r="AY28" i="7"/>
  <c r="BZ21" i="7"/>
  <c r="BB21" i="7"/>
  <c r="BV15" i="7"/>
  <c r="AX15" i="7"/>
  <c r="CM20" i="7"/>
  <c r="BO20" i="7"/>
  <c r="CF15" i="7"/>
  <c r="BH15" i="7"/>
  <c r="CM22" i="7"/>
  <c r="BO22" i="7"/>
  <c r="CC15" i="7"/>
  <c r="BE15" i="7"/>
  <c r="CB26" i="7"/>
  <c r="BD26" i="7"/>
  <c r="BX28" i="7"/>
  <c r="AZ28" i="7"/>
  <c r="BJ27" i="7"/>
  <c r="B2" i="7"/>
  <c r="BT22" i="7"/>
  <c r="AV22" i="7"/>
  <c r="AV12" i="7"/>
  <c r="CE21" i="7"/>
  <c r="BG21" i="7"/>
  <c r="BU19" i="7"/>
  <c r="AW19" i="7"/>
  <c r="BQ20" i="7"/>
  <c r="AS20" i="7"/>
  <c r="AU29" i="7"/>
  <c r="CL24" i="7"/>
  <c r="BN24" i="7"/>
  <c r="AZ12" i="7"/>
  <c r="N22" i="7"/>
  <c r="CI17" i="7"/>
  <c r="BK17" i="7"/>
  <c r="CA17" i="7"/>
  <c r="BC17" i="7"/>
  <c r="BR23" i="7"/>
  <c r="AT23" i="7"/>
  <c r="CL15" i="7"/>
  <c r="BN15" i="7"/>
  <c r="CI21" i="7"/>
  <c r="BK21" i="7"/>
  <c r="BW14" i="7"/>
  <c r="AY14" i="7"/>
  <c r="BB12" i="7"/>
  <c r="CF18" i="7"/>
  <c r="BH18" i="7"/>
  <c r="BR28" i="7"/>
  <c r="AT28" i="7"/>
  <c r="CF14" i="7"/>
  <c r="BH14" i="7"/>
  <c r="BU25" i="7"/>
  <c r="AW25" i="7"/>
  <c r="BQ16" i="7"/>
  <c r="AS16" i="7"/>
  <c r="BS16" i="7"/>
  <c r="AU16" i="7"/>
  <c r="CI24" i="7"/>
  <c r="BK24" i="7"/>
  <c r="CE20" i="7"/>
  <c r="BG20" i="7"/>
  <c r="CE16" i="7"/>
  <c r="BG16" i="7"/>
  <c r="CD18" i="7"/>
  <c r="BF18" i="7"/>
  <c r="BR25" i="7"/>
  <c r="AT25" i="7"/>
  <c r="CI18" i="7"/>
  <c r="BK18" i="7"/>
  <c r="BP25" i="7"/>
  <c r="AR25" i="7"/>
  <c r="BR17" i="7"/>
  <c r="AT17" i="7"/>
  <c r="CF20" i="7"/>
  <c r="BH20" i="7"/>
  <c r="BJ29" i="7"/>
  <c r="CM25" i="7"/>
  <c r="BO25" i="7"/>
  <c r="BE27" i="7"/>
  <c r="BY19" i="7"/>
  <c r="BA19" i="7"/>
  <c r="BV18" i="7"/>
  <c r="AX18" i="7"/>
  <c r="CA28" i="7"/>
  <c r="BC28" i="7"/>
  <c r="CL14" i="7"/>
  <c r="BN14" i="7"/>
  <c r="CG20" i="7"/>
  <c r="BI20" i="7"/>
  <c r="CJ22" i="7"/>
  <c r="BL22" i="7"/>
  <c r="AR27" i="7"/>
  <c r="BV26" i="7"/>
  <c r="AX26" i="7"/>
  <c r="BE29" i="7"/>
  <c r="N27" i="7"/>
  <c r="CJ18" i="7"/>
  <c r="BL18" i="7"/>
  <c r="BU17" i="7"/>
  <c r="AW17" i="7"/>
  <c r="BZ26" i="7"/>
  <c r="BB26" i="7"/>
  <c r="CA26" i="7"/>
  <c r="BC26" i="7"/>
  <c r="N25" i="7"/>
  <c r="BI29" i="7"/>
  <c r="BP20" i="7"/>
  <c r="AR20" i="7"/>
  <c r="BZ22" i="7"/>
  <c r="BB22" i="7"/>
  <c r="BB29" i="7"/>
  <c r="BU14" i="7"/>
  <c r="AW14" i="7"/>
  <c r="CH16" i="7"/>
  <c r="BJ16" i="7"/>
  <c r="BM27" i="7"/>
  <c r="CJ15" i="7"/>
  <c r="BL15" i="7"/>
  <c r="BQ19" i="7"/>
  <c r="AS19" i="7"/>
  <c r="CK15" i="7"/>
  <c r="BM15" i="7"/>
  <c r="CA16" i="7"/>
  <c r="BC16" i="7"/>
  <c r="CB23" i="7"/>
  <c r="BD23" i="7"/>
  <c r="CJ16" i="7"/>
  <c r="BL16" i="7"/>
  <c r="CF24" i="7"/>
  <c r="BH24" i="7"/>
  <c r="CA15" i="7"/>
  <c r="BC15" i="7"/>
  <c r="BO12" i="7"/>
  <c r="CK28" i="7"/>
  <c r="BM28" i="7"/>
  <c r="BV14" i="7"/>
  <c r="AX14" i="7"/>
  <c r="CF17" i="7"/>
  <c r="BH17" i="7"/>
  <c r="BR20" i="7"/>
  <c r="AT20" i="7"/>
  <c r="CG24" i="7"/>
  <c r="BI24" i="7"/>
  <c r="CG22" i="7"/>
  <c r="BI22" i="7"/>
  <c r="BX16" i="7"/>
  <c r="AZ16" i="7"/>
  <c r="BT24" i="7"/>
  <c r="AV24" i="7"/>
  <c r="BI12" i="7"/>
  <c r="N31" i="7"/>
  <c r="BT23" i="7"/>
  <c r="AV23" i="7"/>
  <c r="CI16" i="7"/>
  <c r="BK16" i="7"/>
  <c r="CG21" i="7"/>
  <c r="BI21" i="7"/>
  <c r="BQ24" i="7"/>
  <c r="AS24" i="7"/>
  <c r="BR19" i="7"/>
  <c r="AT19" i="7"/>
  <c r="BS15" i="7"/>
  <c r="AU15" i="7"/>
  <c r="BZ25" i="7"/>
  <c r="BB25" i="7"/>
  <c r="CB18" i="7"/>
  <c r="BD18" i="7"/>
  <c r="BW18" i="7"/>
  <c r="AY18" i="7"/>
  <c r="CE17" i="7"/>
  <c r="BG17" i="7"/>
  <c r="CG16" i="7"/>
  <c r="BI16" i="7"/>
  <c r="B7" i="6"/>
  <c r="B8" i="6"/>
  <c r="AA3" i="5"/>
  <c r="W2" i="5"/>
  <c r="Y9" i="9"/>
  <c r="Z9" i="9"/>
  <c r="AA4" i="9"/>
  <c r="H2" i="12"/>
  <c r="G2" i="12"/>
  <c r="E31" i="5"/>
  <c r="C38" i="5"/>
  <c r="W2" i="12"/>
  <c r="AA3" i="12"/>
  <c r="O31" i="5"/>
  <c r="O32" i="5"/>
  <c r="P12" i="9"/>
  <c r="P12" i="10"/>
  <c r="P12" i="11"/>
  <c r="AC12" i="9"/>
  <c r="D12" i="9"/>
  <c r="D12" i="10"/>
  <c r="D12" i="11"/>
  <c r="D24" i="9"/>
  <c r="D24" i="10"/>
  <c r="D24" i="11"/>
  <c r="P24" i="9"/>
  <c r="P24" i="10"/>
  <c r="P24" i="11"/>
  <c r="E31" i="12"/>
  <c r="C38" i="12"/>
  <c r="O31" i="12"/>
  <c r="O32" i="12"/>
  <c r="H3" i="5"/>
  <c r="G3" i="5"/>
  <c r="F3" i="5"/>
  <c r="H2" i="5"/>
  <c r="G2" i="5"/>
  <c r="N20" i="6"/>
  <c r="N35" i="6"/>
  <c r="N30" i="6"/>
  <c r="N36" i="6"/>
  <c r="N23" i="6"/>
  <c r="N19" i="7"/>
  <c r="N35" i="7"/>
  <c r="N32" i="6"/>
  <c r="N19" i="6"/>
  <c r="N23" i="7"/>
  <c r="N37" i="7"/>
  <c r="N18" i="7"/>
  <c r="N20" i="7"/>
  <c r="N33" i="7"/>
  <c r="N34" i="7"/>
  <c r="N16" i="7"/>
  <c r="N30" i="7"/>
  <c r="N17" i="6"/>
  <c r="N34" i="6"/>
  <c r="N21" i="6"/>
  <c r="N18" i="6"/>
  <c r="I16" i="7"/>
  <c r="I19" i="7"/>
  <c r="I31" i="7"/>
  <c r="I24" i="7"/>
  <c r="J24" i="7"/>
  <c r="I35" i="7"/>
  <c r="I18" i="7"/>
  <c r="J31" i="7"/>
  <c r="I15" i="7"/>
  <c r="I20" i="7"/>
  <c r="J20" i="7"/>
  <c r="I28" i="7"/>
  <c r="J28" i="7"/>
  <c r="I22" i="7"/>
  <c r="J22" i="7"/>
  <c r="I37" i="7"/>
  <c r="J37" i="7"/>
  <c r="I33" i="7"/>
  <c r="J33" i="7"/>
  <c r="J19" i="7"/>
  <c r="J35" i="7"/>
  <c r="J15" i="7"/>
  <c r="I30" i="7"/>
  <c r="J30" i="7"/>
  <c r="I29" i="7"/>
  <c r="J29" i="7"/>
  <c r="I36" i="7"/>
  <c r="J36" i="7"/>
  <c r="I17" i="7"/>
  <c r="J17" i="7"/>
  <c r="I23" i="7"/>
  <c r="I21" i="7"/>
  <c r="J21" i="7"/>
  <c r="J16" i="7"/>
  <c r="I27" i="7"/>
  <c r="J27" i="7"/>
  <c r="I32" i="7"/>
  <c r="J32" i="7"/>
  <c r="I26" i="7"/>
  <c r="J26" i="7"/>
  <c r="I14" i="7"/>
  <c r="J14" i="7"/>
  <c r="K14" i="7"/>
  <c r="I34" i="7"/>
  <c r="J34" i="7"/>
  <c r="I25" i="7"/>
  <c r="J25" i="7"/>
  <c r="J18" i="7"/>
  <c r="J23" i="7"/>
  <c r="K23" i="7"/>
  <c r="N17" i="7"/>
  <c r="N15" i="6"/>
  <c r="N26" i="6"/>
  <c r="N31" i="6"/>
  <c r="N29" i="6"/>
  <c r="N24" i="7"/>
  <c r="N26" i="7"/>
  <c r="N32" i="7"/>
  <c r="N21" i="7"/>
  <c r="I27" i="6"/>
  <c r="I25" i="6"/>
  <c r="J25" i="6"/>
  <c r="I30" i="6"/>
  <c r="J30" i="6"/>
  <c r="I32" i="6"/>
  <c r="J32" i="6"/>
  <c r="I24" i="6"/>
  <c r="I33" i="6"/>
  <c r="I34" i="6"/>
  <c r="J34" i="6"/>
  <c r="I18" i="6"/>
  <c r="J18" i="6"/>
  <c r="I28" i="6"/>
  <c r="I31" i="6"/>
  <c r="J31" i="6"/>
  <c r="I23" i="6"/>
  <c r="I17" i="6"/>
  <c r="J17" i="6"/>
  <c r="I26" i="6"/>
  <c r="I29" i="6"/>
  <c r="J29" i="6"/>
  <c r="I21" i="6"/>
  <c r="J21" i="6"/>
  <c r="I37" i="6"/>
  <c r="J37" i="6"/>
  <c r="I15" i="6"/>
  <c r="I16" i="6"/>
  <c r="J16" i="6"/>
  <c r="I20" i="6"/>
  <c r="I36" i="6"/>
  <c r="J36" i="6"/>
  <c r="I19" i="6"/>
  <c r="I14" i="6"/>
  <c r="J14" i="6"/>
  <c r="K14" i="6"/>
  <c r="I22" i="6"/>
  <c r="J22" i="6"/>
  <c r="I35" i="6"/>
  <c r="J35" i="6"/>
  <c r="N36" i="7"/>
  <c r="N28" i="7"/>
  <c r="N29" i="7"/>
  <c r="N37" i="6"/>
  <c r="N24" i="6"/>
  <c r="N14" i="6"/>
  <c r="N33" i="6"/>
  <c r="J27" i="6"/>
  <c r="J28" i="6"/>
  <c r="J23" i="6"/>
  <c r="J33" i="6"/>
  <c r="J24" i="6"/>
  <c r="J26" i="6"/>
  <c r="O33" i="5"/>
  <c r="J19" i="6"/>
  <c r="J20" i="6"/>
  <c r="J15" i="6"/>
  <c r="C31" i="12"/>
  <c r="D31" i="12"/>
  <c r="C29" i="12"/>
  <c r="D29" i="12"/>
  <c r="C30" i="12"/>
  <c r="D30" i="12"/>
  <c r="B30" i="12"/>
  <c r="B29" i="12"/>
  <c r="B31" i="12"/>
  <c r="B37" i="12"/>
  <c r="K3" i="12"/>
  <c r="W3" i="12"/>
  <c r="AA4" i="12"/>
  <c r="W9" i="9"/>
  <c r="R4" i="9"/>
  <c r="R4" i="10"/>
  <c r="R4" i="11"/>
  <c r="AC11" i="9"/>
  <c r="Y11" i="9"/>
  <c r="B31" i="5"/>
  <c r="B37" i="5"/>
  <c r="K3" i="5"/>
  <c r="C29" i="5"/>
  <c r="D29" i="5"/>
  <c r="B30" i="5"/>
  <c r="C30" i="5"/>
  <c r="D30" i="5"/>
  <c r="C31" i="5"/>
  <c r="D31" i="5"/>
  <c r="B29" i="5"/>
  <c r="I2" i="12"/>
  <c r="F2" i="12"/>
  <c r="DO4" i="9"/>
  <c r="DN3" i="9"/>
  <c r="DO5" i="9"/>
  <c r="DO28" i="9"/>
  <c r="DO29" i="9"/>
  <c r="AA4" i="5"/>
  <c r="W3" i="5"/>
  <c r="I2" i="5"/>
  <c r="F2" i="5"/>
  <c r="O33" i="12"/>
  <c r="C41" i="12"/>
  <c r="B41" i="12"/>
  <c r="AH16" i="9"/>
  <c r="K34" i="7"/>
  <c r="K27" i="7"/>
  <c r="S27" i="7"/>
  <c r="T27" i="7"/>
  <c r="Y34" i="7"/>
  <c r="AE34" i="7"/>
  <c r="AA34" i="7"/>
  <c r="AF34" i="7"/>
  <c r="X34" i="7"/>
  <c r="AH34" i="7"/>
  <c r="AJ34" i="7"/>
  <c r="AD34" i="7"/>
  <c r="AM34" i="7"/>
  <c r="Z34" i="7"/>
  <c r="V34" i="7"/>
  <c r="AG34" i="7"/>
  <c r="AK34" i="7"/>
  <c r="AL34" i="7"/>
  <c r="Q34" i="7"/>
  <c r="AB34" i="7"/>
  <c r="W34" i="7"/>
  <c r="AL27" i="7"/>
  <c r="K25" i="7"/>
  <c r="K30" i="7"/>
  <c r="AC30" i="7"/>
  <c r="F30" i="5"/>
  <c r="E3" i="5"/>
  <c r="D3" i="5"/>
  <c r="K18" i="7"/>
  <c r="K33" i="7"/>
  <c r="R33" i="7"/>
  <c r="AE30" i="7"/>
  <c r="U30" i="7"/>
  <c r="X30" i="7"/>
  <c r="Z30" i="7"/>
  <c r="AI30" i="7"/>
  <c r="W30" i="7"/>
  <c r="AK33" i="7"/>
  <c r="AE27" i="7"/>
  <c r="AJ27" i="7"/>
  <c r="K21" i="7"/>
  <c r="K29" i="7"/>
  <c r="K15" i="7"/>
  <c r="K37" i="7"/>
  <c r="W23" i="7"/>
  <c r="Z23" i="7"/>
  <c r="Q23" i="7"/>
  <c r="U23" i="7"/>
  <c r="AN23" i="7"/>
  <c r="AK23" i="7"/>
  <c r="S23" i="7"/>
  <c r="AI23" i="7"/>
  <c r="T23" i="7"/>
  <c r="AA23" i="7"/>
  <c r="AD23" i="7"/>
  <c r="Y23" i="7"/>
  <c r="AG23" i="7"/>
  <c r="AF23" i="7"/>
  <c r="X23" i="7"/>
  <c r="AM23" i="7"/>
  <c r="AH23" i="7"/>
  <c r="AJ23" i="7"/>
  <c r="AB23" i="7"/>
  <c r="R23" i="7"/>
  <c r="AE23" i="7"/>
  <c r="V23" i="7"/>
  <c r="AC23" i="7"/>
  <c r="AL23" i="7"/>
  <c r="AK14" i="7"/>
  <c r="AB14" i="7"/>
  <c r="V14" i="7"/>
  <c r="S14" i="7"/>
  <c r="U14" i="7"/>
  <c r="AF14" i="7"/>
  <c r="AC14" i="7"/>
  <c r="Q14" i="7"/>
  <c r="AG14" i="7"/>
  <c r="Y14" i="7"/>
  <c r="R14" i="7"/>
  <c r="X14" i="7"/>
  <c r="AH14" i="7"/>
  <c r="AJ14" i="7"/>
  <c r="AA14" i="7"/>
  <c r="AD14" i="7"/>
  <c r="T14" i="7"/>
  <c r="AI14" i="7"/>
  <c r="AL14" i="7"/>
  <c r="AE14" i="7"/>
  <c r="AM14" i="7"/>
  <c r="Z14" i="7"/>
  <c r="AN14" i="7"/>
  <c r="W14" i="7"/>
  <c r="K22" i="7"/>
  <c r="K35" i="7"/>
  <c r="K20" i="7"/>
  <c r="K26" i="7"/>
  <c r="K16" i="7"/>
  <c r="K19" i="7"/>
  <c r="K24" i="7"/>
  <c r="K32" i="7"/>
  <c r="K17" i="7"/>
  <c r="K36" i="7"/>
  <c r="K28" i="7"/>
  <c r="K31" i="7"/>
  <c r="K21" i="6"/>
  <c r="AE21" i="6"/>
  <c r="K26" i="6"/>
  <c r="W26" i="6"/>
  <c r="K34" i="6"/>
  <c r="AI34" i="6"/>
  <c r="F30" i="12"/>
  <c r="E3" i="12"/>
  <c r="D3" i="12"/>
  <c r="K25" i="6"/>
  <c r="AN25" i="6"/>
  <c r="K15" i="6"/>
  <c r="V15" i="6"/>
  <c r="AD26" i="6"/>
  <c r="AG15" i="6"/>
  <c r="AC15" i="6"/>
  <c r="K18" i="6"/>
  <c r="K24" i="6"/>
  <c r="K22" i="6"/>
  <c r="AF34" i="6"/>
  <c r="U34" i="6"/>
  <c r="AD34" i="6"/>
  <c r="AK34" i="6"/>
  <c r="AH34" i="6"/>
  <c r="X34" i="6"/>
  <c r="S34" i="6"/>
  <c r="R34" i="6"/>
  <c r="X14" i="6"/>
  <c r="R14" i="6"/>
  <c r="AH14" i="6"/>
  <c r="AN14" i="6"/>
  <c r="AL14" i="6"/>
  <c r="T14" i="6"/>
  <c r="AI14" i="6"/>
  <c r="AC14" i="6"/>
  <c r="U14" i="6"/>
  <c r="S14" i="6"/>
  <c r="Z14" i="6"/>
  <c r="AA14" i="6"/>
  <c r="AM14" i="6"/>
  <c r="Q14" i="6"/>
  <c r="Y14" i="6"/>
  <c r="W14" i="6"/>
  <c r="AF14" i="6"/>
  <c r="AG14" i="6"/>
  <c r="AE14" i="6"/>
  <c r="AK14" i="6"/>
  <c r="AJ14" i="6"/>
  <c r="AB14" i="6"/>
  <c r="AD14" i="6"/>
  <c r="V14" i="6"/>
  <c r="K17" i="6"/>
  <c r="K33" i="6"/>
  <c r="K23" i="6"/>
  <c r="K30" i="6"/>
  <c r="K35" i="6"/>
  <c r="K20" i="6"/>
  <c r="K19" i="6"/>
  <c r="K37" i="6"/>
  <c r="K32" i="6"/>
  <c r="K27" i="6"/>
  <c r="K29" i="6"/>
  <c r="K16" i="6"/>
  <c r="K36" i="6"/>
  <c r="K31" i="6"/>
  <c r="K28" i="6"/>
  <c r="F29" i="5"/>
  <c r="AA5" i="12"/>
  <c r="W4" i="12"/>
  <c r="K2" i="12"/>
  <c r="J2" i="12"/>
  <c r="J3" i="12"/>
  <c r="W4" i="5"/>
  <c r="AA5" i="5"/>
  <c r="J3" i="5"/>
  <c r="K2" i="5"/>
  <c r="J2" i="5"/>
  <c r="C41" i="5"/>
  <c r="B41" i="5"/>
  <c r="AH15" i="9"/>
  <c r="AG19" i="9"/>
  <c r="W11" i="9"/>
  <c r="M16" i="9"/>
  <c r="M16" i="10"/>
  <c r="M16" i="11"/>
  <c r="AB26" i="6"/>
  <c r="AJ15" i="6"/>
  <c r="AK21" i="6"/>
  <c r="AD15" i="6"/>
  <c r="T15" i="6"/>
  <c r="Z26" i="6"/>
  <c r="S26" i="6"/>
  <c r="AF27" i="7"/>
  <c r="AD27" i="7"/>
  <c r="AH27" i="7"/>
  <c r="AM27" i="7"/>
  <c r="Q15" i="6"/>
  <c r="AI15" i="6"/>
  <c r="X15" i="6"/>
  <c r="AJ26" i="6"/>
  <c r="AE26" i="6"/>
  <c r="U27" i="7"/>
  <c r="AG27" i="7"/>
  <c r="S30" i="7"/>
  <c r="T30" i="7"/>
  <c r="AJ30" i="7"/>
  <c r="AA30" i="7"/>
  <c r="AL30" i="7"/>
  <c r="AN30" i="7"/>
  <c r="AL34" i="6"/>
  <c r="AF30" i="7"/>
  <c r="F29" i="12"/>
  <c r="Q34" i="6"/>
  <c r="AN34" i="6"/>
  <c r="AJ34" i="6"/>
  <c r="AC34" i="6"/>
  <c r="AH30" i="7"/>
  <c r="R30" i="7"/>
  <c r="AB30" i="7"/>
  <c r="Q30" i="7"/>
  <c r="V30" i="7"/>
  <c r="AE34" i="6"/>
  <c r="T34" i="6"/>
  <c r="Z34" i="6"/>
  <c r="V34" i="6"/>
  <c r="AA34" i="6"/>
  <c r="U15" i="6"/>
  <c r="AA15" i="6"/>
  <c r="Q26" i="6"/>
  <c r="U26" i="6"/>
  <c r="AK27" i="7"/>
  <c r="AH33" i="7"/>
  <c r="AD30" i="7"/>
  <c r="AK30" i="7"/>
  <c r="AM30" i="7"/>
  <c r="AG30" i="7"/>
  <c r="Y30" i="7"/>
  <c r="W27" i="7"/>
  <c r="Y27" i="7"/>
  <c r="R27" i="7"/>
  <c r="AH15" i="6"/>
  <c r="Z15" i="6"/>
  <c r="AB15" i="6"/>
  <c r="AK15" i="6"/>
  <c r="AC26" i="6"/>
  <c r="Y26" i="6"/>
  <c r="R26" i="6"/>
  <c r="X26" i="6"/>
  <c r="AM26" i="6"/>
  <c r="AI27" i="7"/>
  <c r="AA27" i="7"/>
  <c r="X27" i="7"/>
  <c r="AB27" i="7"/>
  <c r="V27" i="7"/>
  <c r="Q27" i="7"/>
  <c r="AL15" i="6"/>
  <c r="AE15" i="6"/>
  <c r="W15" i="6"/>
  <c r="S15" i="6"/>
  <c r="AK26" i="6"/>
  <c r="AG26" i="6"/>
  <c r="AL26" i="6"/>
  <c r="AN26" i="6"/>
  <c r="V26" i="6"/>
  <c r="Z27" i="7"/>
  <c r="AC27" i="7"/>
  <c r="AN27" i="7"/>
  <c r="S34" i="7"/>
  <c r="AC34" i="7"/>
  <c r="AI34" i="7"/>
  <c r="U34" i="7"/>
  <c r="R34" i="7"/>
  <c r="AN34" i="7"/>
  <c r="T34" i="7"/>
  <c r="AF15" i="6"/>
  <c r="Y15" i="6"/>
  <c r="AM15" i="6"/>
  <c r="AN15" i="6"/>
  <c r="R15" i="6"/>
  <c r="AI26" i="6"/>
  <c r="AH26" i="6"/>
  <c r="T26" i="6"/>
  <c r="AA26" i="6"/>
  <c r="AF26" i="6"/>
  <c r="AC33" i="7"/>
  <c r="AJ25" i="7"/>
  <c r="X25" i="7"/>
  <c r="AC25" i="7"/>
  <c r="S25" i="7"/>
  <c r="V25" i="7"/>
  <c r="AL25" i="7"/>
  <c r="U25" i="7"/>
  <c r="AK25" i="7"/>
  <c r="AH25" i="7"/>
  <c r="AA25" i="7"/>
  <c r="Q25" i="7"/>
  <c r="AI25" i="7"/>
  <c r="AG25" i="7"/>
  <c r="Z25" i="7"/>
  <c r="Y25" i="7"/>
  <c r="AN25" i="7"/>
  <c r="AD25" i="7"/>
  <c r="R25" i="7"/>
  <c r="AF25" i="7"/>
  <c r="AB25" i="7"/>
  <c r="W25" i="7"/>
  <c r="AE25" i="7"/>
  <c r="T25" i="7"/>
  <c r="AM25" i="7"/>
  <c r="AB21" i="6"/>
  <c r="X33" i="7"/>
  <c r="AB33" i="7"/>
  <c r="Q33" i="7"/>
  <c r="AN21" i="6"/>
  <c r="W33" i="7"/>
  <c r="Z33" i="7"/>
  <c r="AN33" i="7"/>
  <c r="W21" i="6"/>
  <c r="Y21" i="6"/>
  <c r="AG25" i="6"/>
  <c r="AM34" i="6"/>
  <c r="Y34" i="6"/>
  <c r="AB34" i="6"/>
  <c r="W34" i="6"/>
  <c r="AG34" i="6"/>
  <c r="U21" i="6"/>
  <c r="AD33" i="7"/>
  <c r="AE33" i="7"/>
  <c r="V33" i="7"/>
  <c r="AD18" i="7"/>
  <c r="AK18" i="7"/>
  <c r="AA18" i="7"/>
  <c r="Z18" i="7"/>
  <c r="U18" i="7"/>
  <c r="AE18" i="7"/>
  <c r="AH18" i="7"/>
  <c r="Y18" i="7"/>
  <c r="R18" i="7"/>
  <c r="AG18" i="7"/>
  <c r="W18" i="7"/>
  <c r="AM18" i="7"/>
  <c r="AF18" i="7"/>
  <c r="V18" i="7"/>
  <c r="X18" i="7"/>
  <c r="AB18" i="7"/>
  <c r="AN18" i="7"/>
  <c r="S18" i="7"/>
  <c r="T18" i="7"/>
  <c r="AJ18" i="7"/>
  <c r="AI18" i="7"/>
  <c r="AC18" i="7"/>
  <c r="Q18" i="7"/>
  <c r="AL18" i="7"/>
  <c r="AC21" i="6"/>
  <c r="AJ21" i="6"/>
  <c r="Q21" i="6"/>
  <c r="AH25" i="6"/>
  <c r="AA33" i="7"/>
  <c r="Y33" i="7"/>
  <c r="U33" i="7"/>
  <c r="T33" i="7"/>
  <c r="S33" i="7"/>
  <c r="AG33" i="7"/>
  <c r="AJ25" i="6"/>
  <c r="AM21" i="6"/>
  <c r="Z21" i="6"/>
  <c r="AL21" i="6"/>
  <c r="AI33" i="7"/>
  <c r="AM33" i="7"/>
  <c r="AL33" i="7"/>
  <c r="AJ33" i="7"/>
  <c r="AF33" i="7"/>
  <c r="R17" i="7"/>
  <c r="AK17" i="7"/>
  <c r="AI17" i="7"/>
  <c r="Z17" i="7"/>
  <c r="Y17" i="7"/>
  <c r="S17" i="7"/>
  <c r="AB17" i="7"/>
  <c r="T17" i="7"/>
  <c r="AJ17" i="7"/>
  <c r="AH17" i="7"/>
  <c r="AL17" i="7"/>
  <c r="AF17" i="7"/>
  <c r="AD17" i="7"/>
  <c r="AC17" i="7"/>
  <c r="AN17" i="7"/>
  <c r="X17" i="7"/>
  <c r="U17" i="7"/>
  <c r="Q17" i="7"/>
  <c r="AM17" i="7"/>
  <c r="W17" i="7"/>
  <c r="AG17" i="7"/>
  <c r="V17" i="7"/>
  <c r="AA17" i="7"/>
  <c r="AE17" i="7"/>
  <c r="AN16" i="7"/>
  <c r="AM16" i="7"/>
  <c r="AE16" i="7"/>
  <c r="Z16" i="7"/>
  <c r="AL16" i="7"/>
  <c r="AB16" i="7"/>
  <c r="AC16" i="7"/>
  <c r="AI16" i="7"/>
  <c r="R16" i="7"/>
  <c r="AD16" i="7"/>
  <c r="AH16" i="7"/>
  <c r="V16" i="7"/>
  <c r="U16" i="7"/>
  <c r="Y16" i="7"/>
  <c r="AK16" i="7"/>
  <c r="AJ16" i="7"/>
  <c r="X16" i="7"/>
  <c r="AG16" i="7"/>
  <c r="W16" i="7"/>
  <c r="Q16" i="7"/>
  <c r="AF16" i="7"/>
  <c r="T16" i="7"/>
  <c r="AA16" i="7"/>
  <c r="S16" i="7"/>
  <c r="U22" i="7"/>
  <c r="AN22" i="7"/>
  <c r="AE22" i="7"/>
  <c r="AH22" i="7"/>
  <c r="AC22" i="7"/>
  <c r="AL22" i="7"/>
  <c r="AI22" i="7"/>
  <c r="R22" i="7"/>
  <c r="AM22" i="7"/>
  <c r="Q22" i="7"/>
  <c r="Z22" i="7"/>
  <c r="V22" i="7"/>
  <c r="AB22" i="7"/>
  <c r="Y22" i="7"/>
  <c r="S22" i="7"/>
  <c r="AG22" i="7"/>
  <c r="AJ22" i="7"/>
  <c r="T22" i="7"/>
  <c r="AD22" i="7"/>
  <c r="AF22" i="7"/>
  <c r="AK22" i="7"/>
  <c r="AA22" i="7"/>
  <c r="X22" i="7"/>
  <c r="W22" i="7"/>
  <c r="AG21" i="7"/>
  <c r="R21" i="7"/>
  <c r="AN21" i="7"/>
  <c r="AJ21" i="7"/>
  <c r="AA21" i="7"/>
  <c r="Z21" i="7"/>
  <c r="AH21" i="7"/>
  <c r="Q21" i="7"/>
  <c r="X21" i="7"/>
  <c r="AE21" i="7"/>
  <c r="S21" i="7"/>
  <c r="AB21" i="7"/>
  <c r="W21" i="7"/>
  <c r="U21" i="7"/>
  <c r="AD21" i="7"/>
  <c r="AL21" i="7"/>
  <c r="AM21" i="7"/>
  <c r="AC21" i="7"/>
  <c r="AK21" i="7"/>
  <c r="V21" i="7"/>
  <c r="AF21" i="7"/>
  <c r="Y21" i="7"/>
  <c r="AI21" i="7"/>
  <c r="T21" i="7"/>
  <c r="W31" i="7"/>
  <c r="AL31" i="7"/>
  <c r="AI31" i="7"/>
  <c r="AJ31" i="7"/>
  <c r="AH31" i="7"/>
  <c r="V31" i="7"/>
  <c r="S31" i="7"/>
  <c r="AG31" i="7"/>
  <c r="R31" i="7"/>
  <c r="AA31" i="7"/>
  <c r="AD31" i="7"/>
  <c r="Z31" i="7"/>
  <c r="U31" i="7"/>
  <c r="AK31" i="7"/>
  <c r="AN31" i="7"/>
  <c r="X31" i="7"/>
  <c r="Q31" i="7"/>
  <c r="AE31" i="7"/>
  <c r="AC31" i="7"/>
  <c r="AF31" i="7"/>
  <c r="T31" i="7"/>
  <c r="AM31" i="7"/>
  <c r="AB31" i="7"/>
  <c r="Y31" i="7"/>
  <c r="AF32" i="7"/>
  <c r="AG32" i="7"/>
  <c r="AN32" i="7"/>
  <c r="AC32" i="7"/>
  <c r="AL32" i="7"/>
  <c r="Y32" i="7"/>
  <c r="AK32" i="7"/>
  <c r="AA32" i="7"/>
  <c r="AH32" i="7"/>
  <c r="Q32" i="7"/>
  <c r="U32" i="7"/>
  <c r="AE32" i="7"/>
  <c r="W32" i="7"/>
  <c r="R32" i="7"/>
  <c r="AB32" i="7"/>
  <c r="AD32" i="7"/>
  <c r="AJ32" i="7"/>
  <c r="Z32" i="7"/>
  <c r="S32" i="7"/>
  <c r="T32" i="7"/>
  <c r="AM32" i="7"/>
  <c r="V32" i="7"/>
  <c r="AI32" i="7"/>
  <c r="X32" i="7"/>
  <c r="Q26" i="7"/>
  <c r="AF26" i="7"/>
  <c r="AG26" i="7"/>
  <c r="W26" i="7"/>
  <c r="AJ26" i="7"/>
  <c r="AE26" i="7"/>
  <c r="S26" i="7"/>
  <c r="AK26" i="7"/>
  <c r="T26" i="7"/>
  <c r="Y26" i="7"/>
  <c r="AD26" i="7"/>
  <c r="V26" i="7"/>
  <c r="R26" i="7"/>
  <c r="AN26" i="7"/>
  <c r="AC26" i="7"/>
  <c r="AL26" i="7"/>
  <c r="AI26" i="7"/>
  <c r="U26" i="7"/>
  <c r="AA26" i="7"/>
  <c r="AH26" i="7"/>
  <c r="X26" i="7"/>
  <c r="AM26" i="7"/>
  <c r="Z26" i="7"/>
  <c r="AB26" i="7"/>
  <c r="P14" i="7"/>
  <c r="M14" i="7"/>
  <c r="L14" i="7"/>
  <c r="O14" i="7"/>
  <c r="E2" i="7"/>
  <c r="AD37" i="7"/>
  <c r="S37" i="7"/>
  <c r="AK37" i="7"/>
  <c r="AM37" i="7"/>
  <c r="AC37" i="7"/>
  <c r="Z37" i="7"/>
  <c r="AG37" i="7"/>
  <c r="Y37" i="7"/>
  <c r="X37" i="7"/>
  <c r="V37" i="7"/>
  <c r="AE37" i="7"/>
  <c r="AL37" i="7"/>
  <c r="U37" i="7"/>
  <c r="R37" i="7"/>
  <c r="AI37" i="7"/>
  <c r="AB37" i="7"/>
  <c r="Q37" i="7"/>
  <c r="W37" i="7"/>
  <c r="AH37" i="7"/>
  <c r="AA37" i="7"/>
  <c r="T37" i="7"/>
  <c r="AJ37" i="7"/>
  <c r="AN37" i="7"/>
  <c r="AF37" i="7"/>
  <c r="P30" i="7"/>
  <c r="M30" i="7"/>
  <c r="L30" i="7"/>
  <c r="O30" i="7"/>
  <c r="E18" i="7"/>
  <c r="AH21" i="6"/>
  <c r="T21" i="6"/>
  <c r="V21" i="6"/>
  <c r="AD21" i="6"/>
  <c r="R21" i="6"/>
  <c r="X21" i="6"/>
  <c r="AD25" i="6"/>
  <c r="AB25" i="6"/>
  <c r="AB28" i="7"/>
  <c r="AC28" i="7"/>
  <c r="AL28" i="7"/>
  <c r="AK28" i="7"/>
  <c r="T28" i="7"/>
  <c r="AA28" i="7"/>
  <c r="X28" i="7"/>
  <c r="AE28" i="7"/>
  <c r="Y28" i="7"/>
  <c r="U28" i="7"/>
  <c r="AJ28" i="7"/>
  <c r="W28" i="7"/>
  <c r="AH28" i="7"/>
  <c r="AM28" i="7"/>
  <c r="R28" i="7"/>
  <c r="Z28" i="7"/>
  <c r="Q28" i="7"/>
  <c r="AI28" i="7"/>
  <c r="V28" i="7"/>
  <c r="AF28" i="7"/>
  <c r="AN28" i="7"/>
  <c r="AD28" i="7"/>
  <c r="AG28" i="7"/>
  <c r="S28" i="7"/>
  <c r="AE24" i="7"/>
  <c r="AJ24" i="7"/>
  <c r="Q24" i="7"/>
  <c r="AK24" i="7"/>
  <c r="S24" i="7"/>
  <c r="AL24" i="7"/>
  <c r="V24" i="7"/>
  <c r="AG24" i="7"/>
  <c r="AB24" i="7"/>
  <c r="AI24" i="7"/>
  <c r="AF24" i="7"/>
  <c r="AD24" i="7"/>
  <c r="U24" i="7"/>
  <c r="AC24" i="7"/>
  <c r="Y24" i="7"/>
  <c r="AH24" i="7"/>
  <c r="W24" i="7"/>
  <c r="AM24" i="7"/>
  <c r="T24" i="7"/>
  <c r="AA24" i="7"/>
  <c r="R24" i="7"/>
  <c r="X24" i="7"/>
  <c r="AN24" i="7"/>
  <c r="Z24" i="7"/>
  <c r="S20" i="7"/>
  <c r="AM20" i="7"/>
  <c r="U20" i="7"/>
  <c r="AA20" i="7"/>
  <c r="Z20" i="7"/>
  <c r="Q20" i="7"/>
  <c r="Y20" i="7"/>
  <c r="AI20" i="7"/>
  <c r="X20" i="7"/>
  <c r="R20" i="7"/>
  <c r="AD20" i="7"/>
  <c r="AC20" i="7"/>
  <c r="AK20" i="7"/>
  <c r="AG20" i="7"/>
  <c r="AB20" i="7"/>
  <c r="T20" i="7"/>
  <c r="AF20" i="7"/>
  <c r="V20" i="7"/>
  <c r="W20" i="7"/>
  <c r="AN20" i="7"/>
  <c r="AH20" i="7"/>
  <c r="AE20" i="7"/>
  <c r="AL20" i="7"/>
  <c r="AJ20" i="7"/>
  <c r="P23" i="7"/>
  <c r="M23" i="7"/>
  <c r="L23" i="7"/>
  <c r="O23" i="7"/>
  <c r="E11" i="7"/>
  <c r="Z15" i="7"/>
  <c r="S15" i="7"/>
  <c r="AA15" i="7"/>
  <c r="AB15" i="7"/>
  <c r="AM15" i="7"/>
  <c r="AK15" i="7"/>
  <c r="Q15" i="7"/>
  <c r="AF15" i="7"/>
  <c r="AL15" i="7"/>
  <c r="AN15" i="7"/>
  <c r="AE15" i="7"/>
  <c r="AD15" i="7"/>
  <c r="AI15" i="7"/>
  <c r="Y15" i="7"/>
  <c r="AC15" i="7"/>
  <c r="AG15" i="7"/>
  <c r="AJ15" i="7"/>
  <c r="W15" i="7"/>
  <c r="R15" i="7"/>
  <c r="X15" i="7"/>
  <c r="AH15" i="7"/>
  <c r="U15" i="7"/>
  <c r="T15" i="7"/>
  <c r="V15" i="7"/>
  <c r="P27" i="7"/>
  <c r="M27" i="7"/>
  <c r="L27" i="7"/>
  <c r="O27" i="7"/>
  <c r="E15" i="7"/>
  <c r="S21" i="6"/>
  <c r="AA21" i="6"/>
  <c r="AI21" i="6"/>
  <c r="AF21" i="6"/>
  <c r="AG21" i="6"/>
  <c r="V25" i="6"/>
  <c r="T36" i="7"/>
  <c r="Y36" i="7"/>
  <c r="AA36" i="7"/>
  <c r="Z36" i="7"/>
  <c r="AE36" i="7"/>
  <c r="W36" i="7"/>
  <c r="AG36" i="7"/>
  <c r="S36" i="7"/>
  <c r="X36" i="7"/>
  <c r="V36" i="7"/>
  <c r="AF36" i="7"/>
  <c r="R36" i="7"/>
  <c r="Q36" i="7"/>
  <c r="AL36" i="7"/>
  <c r="AH36" i="7"/>
  <c r="AD36" i="7"/>
  <c r="AJ36" i="7"/>
  <c r="U36" i="7"/>
  <c r="AM36" i="7"/>
  <c r="AK36" i="7"/>
  <c r="AI36" i="7"/>
  <c r="AN36" i="7"/>
  <c r="AC36" i="7"/>
  <c r="AB36" i="7"/>
  <c r="AK19" i="7"/>
  <c r="T19" i="7"/>
  <c r="AL19" i="7"/>
  <c r="S19" i="7"/>
  <c r="AC19" i="7"/>
  <c r="U19" i="7"/>
  <c r="Q19" i="7"/>
  <c r="Y19" i="7"/>
  <c r="AD19" i="7"/>
  <c r="AM19" i="7"/>
  <c r="AA19" i="7"/>
  <c r="V19" i="7"/>
  <c r="Z19" i="7"/>
  <c r="AF19" i="7"/>
  <c r="AG19" i="7"/>
  <c r="AB19" i="7"/>
  <c r="AN19" i="7"/>
  <c r="AH19" i="7"/>
  <c r="AJ19" i="7"/>
  <c r="AI19" i="7"/>
  <c r="AE19" i="7"/>
  <c r="X19" i="7"/>
  <c r="W19" i="7"/>
  <c r="R19" i="7"/>
  <c r="AL35" i="7"/>
  <c r="AK35" i="7"/>
  <c r="AI35" i="7"/>
  <c r="AM35" i="7"/>
  <c r="AJ35" i="7"/>
  <c r="T35" i="7"/>
  <c r="AH35" i="7"/>
  <c r="AE35" i="7"/>
  <c r="Z35" i="7"/>
  <c r="AA35" i="7"/>
  <c r="AN35" i="7"/>
  <c r="X35" i="7"/>
  <c r="U35" i="7"/>
  <c r="R35" i="7"/>
  <c r="Q35" i="7"/>
  <c r="S35" i="7"/>
  <c r="AG35" i="7"/>
  <c r="AB35" i="7"/>
  <c r="AD35" i="7"/>
  <c r="AF35" i="7"/>
  <c r="AC35" i="7"/>
  <c r="V35" i="7"/>
  <c r="Y35" i="7"/>
  <c r="W35" i="7"/>
  <c r="AK29" i="7"/>
  <c r="AJ29" i="7"/>
  <c r="AA29" i="7"/>
  <c r="R29" i="7"/>
  <c r="T29" i="7"/>
  <c r="AM29" i="7"/>
  <c r="AH29" i="7"/>
  <c r="U29" i="7"/>
  <c r="AF29" i="7"/>
  <c r="W29" i="7"/>
  <c r="AD29" i="7"/>
  <c r="AN29" i="7"/>
  <c r="V29" i="7"/>
  <c r="AL29" i="7"/>
  <c r="AE29" i="7"/>
  <c r="AC29" i="7"/>
  <c r="AB29" i="7"/>
  <c r="Z29" i="7"/>
  <c r="Q29" i="7"/>
  <c r="AI29" i="7"/>
  <c r="X29" i="7"/>
  <c r="AG29" i="7"/>
  <c r="S29" i="7"/>
  <c r="Y29" i="7"/>
  <c r="S25" i="6"/>
  <c r="T25" i="6"/>
  <c r="AA25" i="6"/>
  <c r="AF25" i="6"/>
  <c r="U25" i="6"/>
  <c r="AM25" i="6"/>
  <c r="Z25" i="6"/>
  <c r="W25" i="6"/>
  <c r="AE25" i="6"/>
  <c r="R25" i="6"/>
  <c r="AC25" i="6"/>
  <c r="X25" i="6"/>
  <c r="Y25" i="6"/>
  <c r="AI25" i="6"/>
  <c r="Q25" i="6"/>
  <c r="AK25" i="6"/>
  <c r="AL25" i="6"/>
  <c r="AN16" i="6"/>
  <c r="V16" i="6"/>
  <c r="AH16" i="6"/>
  <c r="AE16" i="6"/>
  <c r="AK16" i="6"/>
  <c r="R16" i="6"/>
  <c r="AA16" i="6"/>
  <c r="AD16" i="6"/>
  <c r="Q16" i="6"/>
  <c r="S16" i="6"/>
  <c r="AB16" i="6"/>
  <c r="U16" i="6"/>
  <c r="AC16" i="6"/>
  <c r="T16" i="6"/>
  <c r="AL16" i="6"/>
  <c r="AG16" i="6"/>
  <c r="AF16" i="6"/>
  <c r="Y16" i="6"/>
  <c r="Z16" i="6"/>
  <c r="AI16" i="6"/>
  <c r="X16" i="6"/>
  <c r="W16" i="6"/>
  <c r="AM16" i="6"/>
  <c r="AJ16" i="6"/>
  <c r="U32" i="6"/>
  <c r="AD32" i="6"/>
  <c r="AH32" i="6"/>
  <c r="AL32" i="6"/>
  <c r="AC32" i="6"/>
  <c r="Q32" i="6"/>
  <c r="AG32" i="6"/>
  <c r="Z32" i="6"/>
  <c r="AB32" i="6"/>
  <c r="AF32" i="6"/>
  <c r="Y32" i="6"/>
  <c r="V32" i="6"/>
  <c r="AK32" i="6"/>
  <c r="R32" i="6"/>
  <c r="W32" i="6"/>
  <c r="AJ32" i="6"/>
  <c r="S32" i="6"/>
  <c r="T32" i="6"/>
  <c r="AI32" i="6"/>
  <c r="AN32" i="6"/>
  <c r="AE32" i="6"/>
  <c r="AA32" i="6"/>
  <c r="AM32" i="6"/>
  <c r="X32" i="6"/>
  <c r="AC35" i="6"/>
  <c r="AE35" i="6"/>
  <c r="S35" i="6"/>
  <c r="Q35" i="6"/>
  <c r="AM35" i="6"/>
  <c r="AF35" i="6"/>
  <c r="AK35" i="6"/>
  <c r="Z35" i="6"/>
  <c r="AG35" i="6"/>
  <c r="AI35" i="6"/>
  <c r="Y35" i="6"/>
  <c r="U35" i="6"/>
  <c r="AL35" i="6"/>
  <c r="X35" i="6"/>
  <c r="T35" i="6"/>
  <c r="W35" i="6"/>
  <c r="V35" i="6"/>
  <c r="AD35" i="6"/>
  <c r="AH35" i="6"/>
  <c r="AN35" i="6"/>
  <c r="R35" i="6"/>
  <c r="AB35" i="6"/>
  <c r="AA35" i="6"/>
  <c r="AJ35" i="6"/>
  <c r="R17" i="6"/>
  <c r="AM17" i="6"/>
  <c r="AH17" i="6"/>
  <c r="AE17" i="6"/>
  <c r="AB17" i="6"/>
  <c r="Q17" i="6"/>
  <c r="U17" i="6"/>
  <c r="AD17" i="6"/>
  <c r="AG17" i="6"/>
  <c r="AA17" i="6"/>
  <c r="S17" i="6"/>
  <c r="AF17" i="6"/>
  <c r="W17" i="6"/>
  <c r="V17" i="6"/>
  <c r="AC17" i="6"/>
  <c r="AK17" i="6"/>
  <c r="AJ17" i="6"/>
  <c r="AN17" i="6"/>
  <c r="T17" i="6"/>
  <c r="X17" i="6"/>
  <c r="AI17" i="6"/>
  <c r="Y17" i="6"/>
  <c r="Z17" i="6"/>
  <c r="AL17" i="6"/>
  <c r="AB28" i="6"/>
  <c r="AH28" i="6"/>
  <c r="AE28" i="6"/>
  <c r="AJ28" i="6"/>
  <c r="U28" i="6"/>
  <c r="Z28" i="6"/>
  <c r="AA28" i="6"/>
  <c r="AM28" i="6"/>
  <c r="Y28" i="6"/>
  <c r="S28" i="6"/>
  <c r="X28" i="6"/>
  <c r="AG28" i="6"/>
  <c r="AK28" i="6"/>
  <c r="R28" i="6"/>
  <c r="AD28" i="6"/>
  <c r="AI28" i="6"/>
  <c r="T28" i="6"/>
  <c r="Q28" i="6"/>
  <c r="AL28" i="6"/>
  <c r="AC28" i="6"/>
  <c r="V28" i="6"/>
  <c r="W28" i="6"/>
  <c r="AN28" i="6"/>
  <c r="AF28" i="6"/>
  <c r="AI29" i="6"/>
  <c r="AA29" i="6"/>
  <c r="AK29" i="6"/>
  <c r="AF29" i="6"/>
  <c r="AJ29" i="6"/>
  <c r="U29" i="6"/>
  <c r="W29" i="6"/>
  <c r="Z29" i="6"/>
  <c r="AL29" i="6"/>
  <c r="AH29" i="6"/>
  <c r="Q29" i="6"/>
  <c r="AB29" i="6"/>
  <c r="AG29" i="6"/>
  <c r="AE29" i="6"/>
  <c r="AD29" i="6"/>
  <c r="V29" i="6"/>
  <c r="R29" i="6"/>
  <c r="AC29" i="6"/>
  <c r="T29" i="6"/>
  <c r="Y29" i="6"/>
  <c r="AN29" i="6"/>
  <c r="AM29" i="6"/>
  <c r="S29" i="6"/>
  <c r="X29" i="6"/>
  <c r="AD37" i="6"/>
  <c r="X37" i="6"/>
  <c r="AN37" i="6"/>
  <c r="AC37" i="6"/>
  <c r="AL37" i="6"/>
  <c r="AK37" i="6"/>
  <c r="AM37" i="6"/>
  <c r="T37" i="6"/>
  <c r="AB37" i="6"/>
  <c r="W37" i="6"/>
  <c r="S37" i="6"/>
  <c r="Y37" i="6"/>
  <c r="AE37" i="6"/>
  <c r="AJ37" i="6"/>
  <c r="AF37" i="6"/>
  <c r="AG37" i="6"/>
  <c r="AI37" i="6"/>
  <c r="Z37" i="6"/>
  <c r="AA37" i="6"/>
  <c r="U37" i="6"/>
  <c r="Q37" i="6"/>
  <c r="V37" i="6"/>
  <c r="R37" i="6"/>
  <c r="AH37" i="6"/>
  <c r="S30" i="6"/>
  <c r="AA30" i="6"/>
  <c r="AK30" i="6"/>
  <c r="AD30" i="6"/>
  <c r="AI30" i="6"/>
  <c r="W30" i="6"/>
  <c r="AH30" i="6"/>
  <c r="U30" i="6"/>
  <c r="AB30" i="6"/>
  <c r="R30" i="6"/>
  <c r="AM30" i="6"/>
  <c r="AF30" i="6"/>
  <c r="Z30" i="6"/>
  <c r="X30" i="6"/>
  <c r="AL30" i="6"/>
  <c r="AC30" i="6"/>
  <c r="AN30" i="6"/>
  <c r="V30" i="6"/>
  <c r="T30" i="6"/>
  <c r="Y30" i="6"/>
  <c r="AG30" i="6"/>
  <c r="Q30" i="6"/>
  <c r="AJ30" i="6"/>
  <c r="AE30" i="6"/>
  <c r="AN22" i="6"/>
  <c r="AH22" i="6"/>
  <c r="V22" i="6"/>
  <c r="AF22" i="6"/>
  <c r="AK22" i="6"/>
  <c r="AE22" i="6"/>
  <c r="T22" i="6"/>
  <c r="AJ22" i="6"/>
  <c r="W22" i="6"/>
  <c r="Q22" i="6"/>
  <c r="R22" i="6"/>
  <c r="AM22" i="6"/>
  <c r="S22" i="6"/>
  <c r="AL22" i="6"/>
  <c r="AI22" i="6"/>
  <c r="X22" i="6"/>
  <c r="AD22" i="6"/>
  <c r="AA22" i="6"/>
  <c r="AB22" i="6"/>
  <c r="AG22" i="6"/>
  <c r="Z22" i="6"/>
  <c r="U22" i="6"/>
  <c r="AC22" i="6"/>
  <c r="Y22" i="6"/>
  <c r="U31" i="6"/>
  <c r="AL31" i="6"/>
  <c r="AC31" i="6"/>
  <c r="W31" i="6"/>
  <c r="AM31" i="6"/>
  <c r="Y31" i="6"/>
  <c r="AH31" i="6"/>
  <c r="AI31" i="6"/>
  <c r="AE31" i="6"/>
  <c r="X31" i="6"/>
  <c r="AA31" i="6"/>
  <c r="AD31" i="6"/>
  <c r="AK31" i="6"/>
  <c r="AN31" i="6"/>
  <c r="S31" i="6"/>
  <c r="T31" i="6"/>
  <c r="AB31" i="6"/>
  <c r="R31" i="6"/>
  <c r="Q31" i="6"/>
  <c r="AF31" i="6"/>
  <c r="AG31" i="6"/>
  <c r="AJ31" i="6"/>
  <c r="Z31" i="6"/>
  <c r="V31" i="6"/>
  <c r="T27" i="6"/>
  <c r="R27" i="6"/>
  <c r="U27" i="6"/>
  <c r="S27" i="6"/>
  <c r="AJ27" i="6"/>
  <c r="X27" i="6"/>
  <c r="AA27" i="6"/>
  <c r="AL27" i="6"/>
  <c r="AI27" i="6"/>
  <c r="AC27" i="6"/>
  <c r="AF27" i="6"/>
  <c r="AN27" i="6"/>
  <c r="Q27" i="6"/>
  <c r="AE27" i="6"/>
  <c r="AD27" i="6"/>
  <c r="W27" i="6"/>
  <c r="AG27" i="6"/>
  <c r="V27" i="6"/>
  <c r="AK27" i="6"/>
  <c r="AM27" i="6"/>
  <c r="Z27" i="6"/>
  <c r="AB27" i="6"/>
  <c r="AH27" i="6"/>
  <c r="Y27" i="6"/>
  <c r="W19" i="6"/>
  <c r="AA19" i="6"/>
  <c r="AM19" i="6"/>
  <c r="AD19" i="6"/>
  <c r="T19" i="6"/>
  <c r="R19" i="6"/>
  <c r="AF19" i="6"/>
  <c r="AC19" i="6"/>
  <c r="AB19" i="6"/>
  <c r="AK19" i="6"/>
  <c r="AI19" i="6"/>
  <c r="Z19" i="6"/>
  <c r="S19" i="6"/>
  <c r="X19" i="6"/>
  <c r="AL19" i="6"/>
  <c r="AE19" i="6"/>
  <c r="U19" i="6"/>
  <c r="V19" i="6"/>
  <c r="Q19" i="6"/>
  <c r="AJ19" i="6"/>
  <c r="Y19" i="6"/>
  <c r="AN19" i="6"/>
  <c r="AH19" i="6"/>
  <c r="AG19" i="6"/>
  <c r="X23" i="6"/>
  <c r="Y23" i="6"/>
  <c r="U23" i="6"/>
  <c r="W23" i="6"/>
  <c r="V23" i="6"/>
  <c r="S23" i="6"/>
  <c r="AG23" i="6"/>
  <c r="AH23" i="6"/>
  <c r="AC23" i="6"/>
  <c r="Q23" i="6"/>
  <c r="AN23" i="6"/>
  <c r="R23" i="6"/>
  <c r="Z23" i="6"/>
  <c r="AI23" i="6"/>
  <c r="AL23" i="6"/>
  <c r="AD23" i="6"/>
  <c r="AF23" i="6"/>
  <c r="AA23" i="6"/>
  <c r="AM23" i="6"/>
  <c r="AB23" i="6"/>
  <c r="AE23" i="6"/>
  <c r="AK23" i="6"/>
  <c r="AJ23" i="6"/>
  <c r="T23" i="6"/>
  <c r="AF24" i="6"/>
  <c r="X24" i="6"/>
  <c r="AD24" i="6"/>
  <c r="AK24" i="6"/>
  <c r="W24" i="6"/>
  <c r="U24" i="6"/>
  <c r="T24" i="6"/>
  <c r="AI24" i="6"/>
  <c r="AL24" i="6"/>
  <c r="Y24" i="6"/>
  <c r="AH24" i="6"/>
  <c r="V24" i="6"/>
  <c r="AM24" i="6"/>
  <c r="R24" i="6"/>
  <c r="Z24" i="6"/>
  <c r="AB24" i="6"/>
  <c r="AG24" i="6"/>
  <c r="Q24" i="6"/>
  <c r="AC24" i="6"/>
  <c r="AJ24" i="6"/>
  <c r="AE24" i="6"/>
  <c r="AN24" i="6"/>
  <c r="AA24" i="6"/>
  <c r="S24" i="6"/>
  <c r="J4" i="12"/>
  <c r="Y36" i="6"/>
  <c r="AA36" i="6"/>
  <c r="AN36" i="6"/>
  <c r="AL36" i="6"/>
  <c r="Z36" i="6"/>
  <c r="W36" i="6"/>
  <c r="R36" i="6"/>
  <c r="S36" i="6"/>
  <c r="AC36" i="6"/>
  <c r="U36" i="6"/>
  <c r="AK36" i="6"/>
  <c r="T36" i="6"/>
  <c r="V36" i="6"/>
  <c r="Q36" i="6"/>
  <c r="AF36" i="6"/>
  <c r="AJ36" i="6"/>
  <c r="AI36" i="6"/>
  <c r="AM36" i="6"/>
  <c r="AE36" i="6"/>
  <c r="AG36" i="6"/>
  <c r="AH36" i="6"/>
  <c r="AB36" i="6"/>
  <c r="X36" i="6"/>
  <c r="AD36" i="6"/>
  <c r="X20" i="6"/>
  <c r="AL20" i="6"/>
  <c r="AA20" i="6"/>
  <c r="AB20" i="6"/>
  <c r="AN20" i="6"/>
  <c r="W20" i="6"/>
  <c r="AJ20" i="6"/>
  <c r="U20" i="6"/>
  <c r="AC20" i="6"/>
  <c r="AH20" i="6"/>
  <c r="Q20" i="6"/>
  <c r="AM20" i="6"/>
  <c r="Z20" i="6"/>
  <c r="AI20" i="6"/>
  <c r="AD20" i="6"/>
  <c r="AK20" i="6"/>
  <c r="T20" i="6"/>
  <c r="S20" i="6"/>
  <c r="V20" i="6"/>
  <c r="AG20" i="6"/>
  <c r="AF20" i="6"/>
  <c r="Y20" i="6"/>
  <c r="AE20" i="6"/>
  <c r="R20" i="6"/>
  <c r="AN33" i="6"/>
  <c r="Q33" i="6"/>
  <c r="Z33" i="6"/>
  <c r="AA33" i="6"/>
  <c r="AK33" i="6"/>
  <c r="AI33" i="6"/>
  <c r="AB33" i="6"/>
  <c r="AF33" i="6"/>
  <c r="AG33" i="6"/>
  <c r="AJ33" i="6"/>
  <c r="AD33" i="6"/>
  <c r="U33" i="6"/>
  <c r="W33" i="6"/>
  <c r="Y33" i="6"/>
  <c r="AH33" i="6"/>
  <c r="X33" i="6"/>
  <c r="R33" i="6"/>
  <c r="AE33" i="6"/>
  <c r="AM33" i="6"/>
  <c r="AL33" i="6"/>
  <c r="S33" i="6"/>
  <c r="V33" i="6"/>
  <c r="T33" i="6"/>
  <c r="AC33" i="6"/>
  <c r="P14" i="6"/>
  <c r="M14" i="6"/>
  <c r="L14" i="6"/>
  <c r="O14" i="6"/>
  <c r="E2" i="6"/>
  <c r="DN11" i="9"/>
  <c r="DP10" i="9"/>
  <c r="U18" i="6"/>
  <c r="W18" i="6"/>
  <c r="AG18" i="6"/>
  <c r="X18" i="6"/>
  <c r="Q18" i="6"/>
  <c r="AK18" i="6"/>
  <c r="AN18" i="6"/>
  <c r="AF18" i="6"/>
  <c r="S18" i="6"/>
  <c r="V18" i="6"/>
  <c r="AA18" i="6"/>
  <c r="AE18" i="6"/>
  <c r="AB18" i="6"/>
  <c r="AD18" i="6"/>
  <c r="Z18" i="6"/>
  <c r="R18" i="6"/>
  <c r="T18" i="6"/>
  <c r="AM18" i="6"/>
  <c r="AH18" i="6"/>
  <c r="AI18" i="6"/>
  <c r="Y18" i="6"/>
  <c r="AL18" i="6"/>
  <c r="AJ18" i="6"/>
  <c r="AC18" i="6"/>
  <c r="AH19" i="9"/>
  <c r="AC9" i="9"/>
  <c r="D3" i="9"/>
  <c r="D3" i="10"/>
  <c r="D3" i="11"/>
  <c r="E4" i="5"/>
  <c r="E2" i="5"/>
  <c r="D2" i="5"/>
  <c r="C2" i="5"/>
  <c r="B2" i="5"/>
  <c r="C3" i="5"/>
  <c r="W12" i="9"/>
  <c r="R5" i="9"/>
  <c r="AC13" i="9"/>
  <c r="C3" i="12"/>
  <c r="E4" i="12"/>
  <c r="E2" i="12"/>
  <c r="D2" i="12"/>
  <c r="C2" i="12"/>
  <c r="B2" i="12"/>
  <c r="AA6" i="5"/>
  <c r="W5" i="5"/>
  <c r="W5" i="12"/>
  <c r="AA6" i="12"/>
  <c r="J4" i="5"/>
  <c r="P26" i="6"/>
  <c r="M26" i="6"/>
  <c r="L26" i="6"/>
  <c r="O26" i="6"/>
  <c r="E14" i="6"/>
  <c r="DN23" i="9"/>
  <c r="DP22" i="9"/>
  <c r="P15" i="6"/>
  <c r="M15" i="6"/>
  <c r="L15" i="6"/>
  <c r="O15" i="6"/>
  <c r="E3" i="6"/>
  <c r="DN12" i="9"/>
  <c r="DP11" i="9"/>
  <c r="P34" i="7"/>
  <c r="M34" i="7"/>
  <c r="L34" i="7"/>
  <c r="O34" i="7"/>
  <c r="E22" i="7"/>
  <c r="DN7" i="9"/>
  <c r="DP6" i="9"/>
  <c r="P34" i="6"/>
  <c r="M34" i="6"/>
  <c r="L34" i="6"/>
  <c r="O34" i="6"/>
  <c r="E22" i="6"/>
  <c r="DN31" i="9"/>
  <c r="DP30" i="9"/>
  <c r="P25" i="7"/>
  <c r="M25" i="7"/>
  <c r="L25" i="7"/>
  <c r="O25" i="7"/>
  <c r="E13" i="7"/>
  <c r="P33" i="7"/>
  <c r="M33" i="7"/>
  <c r="L33" i="7"/>
  <c r="O33" i="7"/>
  <c r="E21" i="7"/>
  <c r="DN6" i="9"/>
  <c r="DP5" i="9"/>
  <c r="P21" i="6"/>
  <c r="M21" i="6"/>
  <c r="L21" i="6"/>
  <c r="O21" i="6"/>
  <c r="E9" i="6"/>
  <c r="DN18" i="9"/>
  <c r="DP17" i="9"/>
  <c r="P25" i="6"/>
  <c r="M25" i="6"/>
  <c r="L25" i="6"/>
  <c r="O25" i="6"/>
  <c r="E13" i="6"/>
  <c r="DN22" i="9"/>
  <c r="DP21" i="9"/>
  <c r="P18" i="7"/>
  <c r="M18" i="7"/>
  <c r="L18" i="7"/>
  <c r="O18" i="7"/>
  <c r="E6" i="7"/>
  <c r="P36" i="7"/>
  <c r="M36" i="7"/>
  <c r="L36" i="7"/>
  <c r="O36" i="7"/>
  <c r="E24" i="7"/>
  <c r="DN9" i="9"/>
  <c r="DP8" i="9"/>
  <c r="P21" i="7"/>
  <c r="M21" i="7"/>
  <c r="L21" i="7"/>
  <c r="O21" i="7"/>
  <c r="E9" i="7"/>
  <c r="P16" i="7"/>
  <c r="M16" i="7"/>
  <c r="L16" i="7"/>
  <c r="O16" i="7"/>
  <c r="E4" i="7"/>
  <c r="P18" i="6"/>
  <c r="M18" i="6"/>
  <c r="L18" i="6"/>
  <c r="O18" i="6"/>
  <c r="E6" i="6"/>
  <c r="DN15" i="9"/>
  <c r="DP14" i="9"/>
  <c r="P29" i="7"/>
  <c r="M29" i="7"/>
  <c r="L29" i="7"/>
  <c r="O29" i="7"/>
  <c r="E17" i="7"/>
  <c r="P35" i="7"/>
  <c r="M35" i="7"/>
  <c r="L35" i="7"/>
  <c r="O35" i="7"/>
  <c r="E23" i="7"/>
  <c r="DN8" i="9"/>
  <c r="P19" i="7"/>
  <c r="M19" i="7"/>
  <c r="L19" i="7"/>
  <c r="O19" i="7"/>
  <c r="E7" i="7"/>
  <c r="P24" i="7"/>
  <c r="M24" i="7"/>
  <c r="L24" i="7"/>
  <c r="O24" i="7"/>
  <c r="E12" i="7"/>
  <c r="P37" i="7"/>
  <c r="M37" i="7"/>
  <c r="L37" i="7"/>
  <c r="O37" i="7"/>
  <c r="E25" i="7"/>
  <c r="DN10" i="9"/>
  <c r="DP9" i="9"/>
  <c r="P32" i="7"/>
  <c r="M32" i="7"/>
  <c r="L32" i="7"/>
  <c r="O32" i="7"/>
  <c r="E20" i="7"/>
  <c r="DN5" i="9"/>
  <c r="P22" i="7"/>
  <c r="M22" i="7"/>
  <c r="L22" i="7"/>
  <c r="O22" i="7"/>
  <c r="E10" i="7"/>
  <c r="P17" i="7"/>
  <c r="M17" i="7"/>
  <c r="L17" i="7"/>
  <c r="O17" i="7"/>
  <c r="E5" i="7"/>
  <c r="P28" i="7"/>
  <c r="M28" i="7"/>
  <c r="L28" i="7"/>
  <c r="O28" i="7"/>
  <c r="E16" i="7"/>
  <c r="P15" i="7"/>
  <c r="M15" i="7"/>
  <c r="L15" i="7"/>
  <c r="O15" i="7"/>
  <c r="E3" i="7"/>
  <c r="P20" i="7"/>
  <c r="M20" i="7"/>
  <c r="L20" i="7"/>
  <c r="O20" i="7"/>
  <c r="E8" i="7"/>
  <c r="P26" i="7"/>
  <c r="M26" i="7"/>
  <c r="L26" i="7"/>
  <c r="O26" i="7"/>
  <c r="E14" i="7"/>
  <c r="P31" i="7"/>
  <c r="M31" i="7"/>
  <c r="L31" i="7"/>
  <c r="O31" i="7"/>
  <c r="E19" i="7"/>
  <c r="DN4" i="9"/>
  <c r="P33" i="6"/>
  <c r="M33" i="6"/>
  <c r="L33" i="6"/>
  <c r="O33" i="6"/>
  <c r="E21" i="6"/>
  <c r="DN30" i="9"/>
  <c r="DP29" i="9"/>
  <c r="DP4" i="9"/>
  <c r="P19" i="6"/>
  <c r="M19" i="6"/>
  <c r="L19" i="6"/>
  <c r="O19" i="6"/>
  <c r="E7" i="6"/>
  <c r="DN16" i="9"/>
  <c r="P22" i="6"/>
  <c r="M22" i="6"/>
  <c r="L22" i="6"/>
  <c r="O22" i="6"/>
  <c r="E10" i="6"/>
  <c r="DN19" i="9"/>
  <c r="DP18" i="9"/>
  <c r="P30" i="6"/>
  <c r="M30" i="6"/>
  <c r="L30" i="6"/>
  <c r="O30" i="6"/>
  <c r="E18" i="6"/>
  <c r="DN27" i="9"/>
  <c r="DP26" i="9"/>
  <c r="P28" i="6"/>
  <c r="M28" i="6"/>
  <c r="L28" i="6"/>
  <c r="O28" i="6"/>
  <c r="E16" i="6"/>
  <c r="DN25" i="9"/>
  <c r="DP24" i="9"/>
  <c r="P32" i="6"/>
  <c r="M32" i="6"/>
  <c r="L32" i="6"/>
  <c r="O32" i="6"/>
  <c r="E20" i="6"/>
  <c r="DN29" i="9"/>
  <c r="DP28" i="9"/>
  <c r="P16" i="6"/>
  <c r="M16" i="6"/>
  <c r="L16" i="6"/>
  <c r="O16" i="6"/>
  <c r="E4" i="6"/>
  <c r="DN13" i="9"/>
  <c r="DP12" i="9"/>
  <c r="P36" i="6"/>
  <c r="M36" i="6"/>
  <c r="L36" i="6"/>
  <c r="O36" i="6"/>
  <c r="E24" i="6"/>
  <c r="DN33" i="9"/>
  <c r="DP32" i="9"/>
  <c r="P31" i="6"/>
  <c r="M31" i="6"/>
  <c r="L31" i="6"/>
  <c r="O31" i="6"/>
  <c r="E19" i="6"/>
  <c r="DN28" i="9"/>
  <c r="DP27" i="9"/>
  <c r="P37" i="6"/>
  <c r="M37" i="6"/>
  <c r="L37" i="6"/>
  <c r="O37" i="6"/>
  <c r="E25" i="6"/>
  <c r="DN34" i="9"/>
  <c r="DP33" i="9"/>
  <c r="P17" i="6"/>
  <c r="M17" i="6"/>
  <c r="L17" i="6"/>
  <c r="O17" i="6"/>
  <c r="E5" i="6"/>
  <c r="DN14" i="9"/>
  <c r="DP13" i="9"/>
  <c r="P24" i="6"/>
  <c r="M24" i="6"/>
  <c r="L24" i="6"/>
  <c r="O24" i="6"/>
  <c r="E12" i="6"/>
  <c r="DN21" i="9"/>
  <c r="DP20" i="9"/>
  <c r="P23" i="6"/>
  <c r="M23" i="6"/>
  <c r="L23" i="6"/>
  <c r="O23" i="6"/>
  <c r="E11" i="6"/>
  <c r="DN20" i="9"/>
  <c r="DP19" i="9"/>
  <c r="P20" i="6"/>
  <c r="M20" i="6"/>
  <c r="L20" i="6"/>
  <c r="O20" i="6"/>
  <c r="E8" i="6"/>
  <c r="DN17" i="9"/>
  <c r="P27" i="6"/>
  <c r="M27" i="6"/>
  <c r="L27" i="6"/>
  <c r="O27" i="6"/>
  <c r="E15" i="6"/>
  <c r="DN24" i="9"/>
  <c r="DP23" i="9"/>
  <c r="P29" i="6"/>
  <c r="M29" i="6"/>
  <c r="L29" i="6"/>
  <c r="O29" i="6"/>
  <c r="E17" i="6"/>
  <c r="DN26" i="9"/>
  <c r="DP25" i="9"/>
  <c r="P35" i="6"/>
  <c r="M35" i="6"/>
  <c r="L35" i="6"/>
  <c r="O35" i="6"/>
  <c r="E23" i="6"/>
  <c r="DN32" i="9"/>
  <c r="DP31" i="9"/>
  <c r="B3" i="12"/>
  <c r="B4" i="12"/>
  <c r="R5" i="10"/>
  <c r="R5" i="11"/>
  <c r="AA17" i="9"/>
  <c r="AB17" i="9"/>
  <c r="W6" i="5"/>
  <c r="AA7" i="5"/>
  <c r="AA7" i="12"/>
  <c r="W6" i="12"/>
  <c r="B4" i="5"/>
  <c r="B3" i="5"/>
  <c r="W16" i="9"/>
  <c r="W4" i="9"/>
  <c r="DP7" i="9"/>
  <c r="DP16" i="9"/>
  <c r="F4" i="9"/>
  <c r="F4" i="10"/>
  <c r="F4" i="11"/>
  <c r="DP15" i="9"/>
  <c r="AC6" i="9"/>
  <c r="J21" i="9"/>
  <c r="J21" i="10"/>
  <c r="J21" i="11"/>
  <c r="P21" i="9"/>
  <c r="P21" i="10"/>
  <c r="P21" i="11"/>
  <c r="D21" i="9"/>
  <c r="D21" i="10"/>
  <c r="D21" i="11"/>
  <c r="P9" i="9"/>
  <c r="P9" i="10"/>
  <c r="P9" i="11"/>
  <c r="AC17" i="9"/>
  <c r="J9" i="9"/>
  <c r="J9" i="10"/>
  <c r="J9" i="11"/>
  <c r="P15" i="9"/>
  <c r="P15" i="10"/>
  <c r="P15" i="11"/>
  <c r="D15" i="9"/>
  <c r="D15" i="10"/>
  <c r="D15" i="11"/>
  <c r="D9" i="9"/>
  <c r="D9" i="10"/>
  <c r="D9" i="11"/>
  <c r="AA8" i="12"/>
  <c r="W7" i="12"/>
  <c r="W7" i="5"/>
  <c r="AA8" i="5"/>
  <c r="Z4" i="9"/>
  <c r="AC5" i="9"/>
  <c r="R2" i="9"/>
  <c r="R2" i="10"/>
  <c r="R2" i="11"/>
  <c r="Y4" i="9"/>
  <c r="AC4" i="9"/>
  <c r="D4" i="9"/>
  <c r="D4" i="10"/>
  <c r="D4" i="11"/>
  <c r="Z6" i="9"/>
  <c r="AC8" i="9"/>
  <c r="F5" i="9"/>
  <c r="AC14" i="9"/>
  <c r="AA9" i="5"/>
  <c r="W8" i="5"/>
  <c r="M15" i="9"/>
  <c r="M15" i="10"/>
  <c r="M15" i="11"/>
  <c r="W8" i="12"/>
  <c r="AA9" i="12"/>
  <c r="AP9" i="9"/>
  <c r="AB16" i="9"/>
  <c r="F5" i="10"/>
  <c r="F5" i="11"/>
  <c r="D5" i="9"/>
  <c r="D5" i="10"/>
  <c r="D5" i="11"/>
  <c r="AC7" i="9"/>
  <c r="Y6" i="9"/>
  <c r="W6" i="9"/>
  <c r="R3" i="9"/>
  <c r="R3" i="10"/>
  <c r="R3" i="11"/>
  <c r="AB15" i="9"/>
  <c r="W9" i="12"/>
  <c r="AA10" i="12"/>
  <c r="W9" i="5"/>
  <c r="AA10" i="5"/>
  <c r="EA13" i="9"/>
  <c r="EB13" i="9"/>
  <c r="EC13" i="9"/>
  <c r="ED13" i="9"/>
  <c r="EE13" i="9"/>
  <c r="EF13" i="9"/>
  <c r="EG13" i="9"/>
  <c r="EH13" i="9"/>
  <c r="EI13" i="9"/>
  <c r="EJ13" i="9"/>
  <c r="AC16" i="9"/>
  <c r="M14" i="9"/>
  <c r="M14" i="10"/>
  <c r="M14" i="11"/>
  <c r="EA5" i="9"/>
  <c r="EA6" i="9"/>
  <c r="EB6" i="9"/>
  <c r="EC6" i="9"/>
  <c r="ED6" i="9"/>
  <c r="EE6" i="9"/>
  <c r="EF6" i="9"/>
  <c r="EG6" i="9"/>
  <c r="EH6" i="9"/>
  <c r="EI6" i="9"/>
  <c r="EJ6" i="9"/>
  <c r="EA7" i="9"/>
  <c r="EA8" i="9"/>
  <c r="EA9" i="9"/>
  <c r="EB9" i="9"/>
  <c r="EC9" i="9"/>
  <c r="ED9" i="9"/>
  <c r="EE9" i="9"/>
  <c r="EF9" i="9"/>
  <c r="EG9" i="9"/>
  <c r="EH9" i="9"/>
  <c r="EI9" i="9"/>
  <c r="EJ9" i="9"/>
  <c r="EA10" i="9"/>
  <c r="EA11" i="9"/>
  <c r="EA12" i="9"/>
  <c r="EB12" i="9"/>
  <c r="EC12" i="9"/>
  <c r="ED12" i="9"/>
  <c r="EE12" i="9"/>
  <c r="EF12" i="9"/>
  <c r="EG12" i="9"/>
  <c r="EH12" i="9"/>
  <c r="EI12" i="9"/>
  <c r="EJ12" i="9"/>
  <c r="EB8" i="9"/>
  <c r="EC8" i="9"/>
  <c r="ED8" i="9"/>
  <c r="EE8" i="9"/>
  <c r="EF8" i="9"/>
  <c r="EG8" i="9"/>
  <c r="EH8" i="9"/>
  <c r="EI8" i="9"/>
  <c r="EJ8" i="9"/>
  <c r="AC15" i="9"/>
  <c r="EB11" i="9"/>
  <c r="EC11" i="9"/>
  <c r="ED11" i="9"/>
  <c r="EE11" i="9"/>
  <c r="EF11" i="9"/>
  <c r="EG11" i="9"/>
  <c r="EH11" i="9"/>
  <c r="EI11" i="9"/>
  <c r="EJ11" i="9"/>
  <c r="EK13" i="9"/>
  <c r="EK12" i="9"/>
  <c r="EK11" i="9"/>
  <c r="EK10" i="9"/>
  <c r="EK9" i="9"/>
  <c r="EK8" i="9"/>
  <c r="EK7" i="9"/>
  <c r="EK6" i="9"/>
  <c r="EB7" i="9"/>
  <c r="EC7" i="9"/>
  <c r="ED7" i="9"/>
  <c r="EE7" i="9"/>
  <c r="EF7" i="9"/>
  <c r="EG7" i="9"/>
  <c r="EH7" i="9"/>
  <c r="EI7" i="9"/>
  <c r="EJ7" i="9"/>
  <c r="EB10" i="9"/>
  <c r="EC10" i="9"/>
  <c r="ED10" i="9"/>
  <c r="EE10" i="9"/>
  <c r="EF10" i="9"/>
  <c r="EG10" i="9"/>
  <c r="EH10" i="9"/>
  <c r="EI10" i="9"/>
  <c r="EJ10" i="9"/>
  <c r="W10" i="12"/>
  <c r="AA11" i="12"/>
  <c r="W10" i="5"/>
  <c r="AA11" i="5"/>
  <c r="EK5" i="9"/>
  <c r="EL6" i="9"/>
  <c r="EM6" i="9"/>
  <c r="EN6" i="9"/>
  <c r="EO6" i="9"/>
  <c r="EP6" i="9"/>
  <c r="EQ6" i="9"/>
  <c r="ER6" i="9"/>
  <c r="ES6" i="9"/>
  <c r="ET6" i="9"/>
  <c r="AY6" i="9"/>
  <c r="EB5" i="9"/>
  <c r="EC5" i="9"/>
  <c r="ED5" i="9"/>
  <c r="EE5" i="9"/>
  <c r="EF5" i="9"/>
  <c r="EG5" i="9"/>
  <c r="EH5" i="9"/>
  <c r="EI5" i="9"/>
  <c r="EJ5" i="9"/>
  <c r="W11" i="12"/>
  <c r="AA12" i="12"/>
  <c r="W11" i="5"/>
  <c r="AA12" i="5"/>
  <c r="AZ6" i="9"/>
  <c r="BE6" i="9"/>
  <c r="EL5" i="9"/>
  <c r="EM5" i="9"/>
  <c r="EN5" i="9"/>
  <c r="EO5" i="9"/>
  <c r="EP5" i="9"/>
  <c r="EQ5" i="9"/>
  <c r="ER5" i="9"/>
  <c r="ES5" i="9"/>
  <c r="ET5" i="9"/>
  <c r="AY5" i="9"/>
  <c r="W12" i="12"/>
  <c r="AA13" i="12"/>
  <c r="AA13" i="5"/>
  <c r="W12" i="5"/>
  <c r="BE5" i="9"/>
  <c r="AZ5" i="9"/>
  <c r="EL13" i="9"/>
  <c r="EM13" i="9"/>
  <c r="EN13" i="9"/>
  <c r="EO13" i="9"/>
  <c r="EP13" i="9"/>
  <c r="EQ13" i="9"/>
  <c r="ER13" i="9"/>
  <c r="ES13" i="9"/>
  <c r="ET13" i="9"/>
  <c r="AY13" i="9"/>
  <c r="CB6" i="9"/>
  <c r="EC19" i="9"/>
  <c r="BH6" i="9"/>
  <c r="BF6" i="9"/>
  <c r="EA19" i="9"/>
  <c r="AK6" i="9"/>
  <c r="R11" i="9"/>
  <c r="R11" i="10"/>
  <c r="R11" i="11"/>
  <c r="W13" i="5"/>
  <c r="AA14" i="5"/>
  <c r="W13" i="12"/>
  <c r="AA14" i="12"/>
  <c r="EA18" i="9"/>
  <c r="BH5" i="9"/>
  <c r="AY7" i="9"/>
  <c r="AZ7" i="9"/>
  <c r="BH7" i="9"/>
  <c r="AY8" i="9"/>
  <c r="AZ8" i="9"/>
  <c r="BH8" i="9"/>
  <c r="AY9" i="9"/>
  <c r="AZ9" i="9"/>
  <c r="BH9" i="9"/>
  <c r="AY10" i="9"/>
  <c r="AZ10" i="9"/>
  <c r="BH10" i="9"/>
  <c r="AY11" i="9"/>
  <c r="AZ11" i="9"/>
  <c r="BH11" i="9"/>
  <c r="BH15" i="9"/>
  <c r="BH14" i="9"/>
  <c r="BF5" i="9"/>
  <c r="BF7" i="9"/>
  <c r="BF8" i="9"/>
  <c r="BF9" i="9"/>
  <c r="BF10" i="9"/>
  <c r="BF11" i="9"/>
  <c r="BF15" i="9"/>
  <c r="BF14" i="9"/>
  <c r="EC18" i="9"/>
  <c r="CB5" i="9"/>
  <c r="CB7" i="9"/>
  <c r="CB8" i="9"/>
  <c r="CB9" i="9"/>
  <c r="CB10" i="9"/>
  <c r="CB11" i="9"/>
  <c r="CB15" i="9"/>
  <c r="CB14" i="9"/>
  <c r="AK5" i="9"/>
  <c r="L23" i="9"/>
  <c r="AZ13" i="9"/>
  <c r="BE13" i="9"/>
  <c r="AY12" i="9"/>
  <c r="EL12" i="9"/>
  <c r="EM12" i="9"/>
  <c r="EN12" i="9"/>
  <c r="EO12" i="9"/>
  <c r="EP12" i="9"/>
  <c r="EQ12" i="9"/>
  <c r="ER12" i="9"/>
  <c r="ES12" i="9"/>
  <c r="ET12" i="9"/>
  <c r="W14" i="5"/>
  <c r="AA15" i="5"/>
  <c r="AA15" i="12"/>
  <c r="W14" i="12"/>
  <c r="EL11" i="9"/>
  <c r="EM11" i="9"/>
  <c r="EN11" i="9"/>
  <c r="EO11" i="9"/>
  <c r="EP11" i="9"/>
  <c r="EQ11" i="9"/>
  <c r="ER11" i="9"/>
  <c r="ES11" i="9"/>
  <c r="ET11" i="9"/>
  <c r="CB13" i="9"/>
  <c r="BH13" i="9"/>
  <c r="BF13" i="9"/>
  <c r="EA26" i="9"/>
  <c r="AK13" i="9"/>
  <c r="L11" i="9"/>
  <c r="EC26" i="9"/>
  <c r="BG7" i="9"/>
  <c r="BG12" i="9"/>
  <c r="BG5" i="9"/>
  <c r="BG11" i="9"/>
  <c r="BG8" i="9"/>
  <c r="BG9" i="9"/>
  <c r="BG10" i="9"/>
  <c r="BG13" i="9"/>
  <c r="BG6" i="9"/>
  <c r="BI11" i="9"/>
  <c r="BI12" i="9"/>
  <c r="BI6" i="9"/>
  <c r="BI8" i="9"/>
  <c r="BI7" i="9"/>
  <c r="BI5" i="9"/>
  <c r="BI13" i="9"/>
  <c r="BI10" i="9"/>
  <c r="BI9" i="9"/>
  <c r="M23" i="9"/>
  <c r="M23" i="10"/>
  <c r="M23" i="11"/>
  <c r="L23" i="10"/>
  <c r="L23" i="11"/>
  <c r="BE12" i="9"/>
  <c r="AZ12" i="9"/>
  <c r="CC9" i="9"/>
  <c r="CC8" i="9"/>
  <c r="CC10" i="9"/>
  <c r="CC12" i="9"/>
  <c r="CC5" i="9"/>
  <c r="CC6" i="9"/>
  <c r="CC7" i="9"/>
  <c r="CC13" i="9"/>
  <c r="CC11" i="9"/>
  <c r="AA16" i="5"/>
  <c r="W15" i="5"/>
  <c r="AA16" i="12"/>
  <c r="W15" i="12"/>
  <c r="L11" i="10"/>
  <c r="L11" i="11"/>
  <c r="M11" i="9"/>
  <c r="M11" i="10"/>
  <c r="M11" i="11"/>
  <c r="EC25" i="9"/>
  <c r="BH12" i="9"/>
  <c r="AK12" i="9"/>
  <c r="F23" i="9"/>
  <c r="CB12" i="9"/>
  <c r="BF12" i="9"/>
  <c r="EA25" i="9"/>
  <c r="AZ16" i="9"/>
  <c r="EL10" i="9"/>
  <c r="EM10" i="9"/>
  <c r="EN10" i="9"/>
  <c r="EO10" i="9"/>
  <c r="EP10" i="9"/>
  <c r="EQ10" i="9"/>
  <c r="ER10" i="9"/>
  <c r="ES10" i="9"/>
  <c r="ET10" i="9"/>
  <c r="BE11" i="9"/>
  <c r="AA17" i="12"/>
  <c r="W16" i="12"/>
  <c r="W16" i="5"/>
  <c r="AA17" i="5"/>
  <c r="EL9" i="9"/>
  <c r="EM9" i="9"/>
  <c r="EN9" i="9"/>
  <c r="EO9" i="9"/>
  <c r="EP9" i="9"/>
  <c r="EQ9" i="9"/>
  <c r="ER9" i="9"/>
  <c r="ES9" i="9"/>
  <c r="ET9" i="9"/>
  <c r="BE10" i="9"/>
  <c r="EC24" i="9"/>
  <c r="AK11" i="9"/>
  <c r="R17" i="9"/>
  <c r="EA24" i="9"/>
  <c r="F23" i="10"/>
  <c r="F23" i="11"/>
  <c r="G23" i="9"/>
  <c r="G23" i="10"/>
  <c r="G23" i="11"/>
  <c r="AA18" i="5"/>
  <c r="W17" i="5"/>
  <c r="W17" i="12"/>
  <c r="AA18" i="12"/>
  <c r="S17" i="9"/>
  <c r="S17" i="10"/>
  <c r="S17" i="11"/>
  <c r="R17" i="10"/>
  <c r="R17" i="11"/>
  <c r="BE9" i="9"/>
  <c r="EL8" i="9"/>
  <c r="EM8" i="9"/>
  <c r="EN8" i="9"/>
  <c r="EO8" i="9"/>
  <c r="EP8" i="9"/>
  <c r="EQ8" i="9"/>
  <c r="ER8" i="9"/>
  <c r="ES8" i="9"/>
  <c r="ET8" i="9"/>
  <c r="EA23" i="9"/>
  <c r="AK10" i="9"/>
  <c r="R23" i="9"/>
  <c r="EC23" i="9"/>
  <c r="AA19" i="5"/>
  <c r="W18" i="5"/>
  <c r="C46" i="5"/>
  <c r="W18" i="12"/>
  <c r="AA19" i="12"/>
  <c r="C46" i="12"/>
  <c r="S23" i="9"/>
  <c r="S23" i="10"/>
  <c r="S23" i="11"/>
  <c r="R23" i="10"/>
  <c r="R23" i="11"/>
  <c r="AK9" i="9"/>
  <c r="EC22" i="9"/>
  <c r="EA22" i="9"/>
  <c r="EL7" i="9"/>
  <c r="EM7" i="9"/>
  <c r="EN7" i="9"/>
  <c r="EO7" i="9"/>
  <c r="EP7" i="9"/>
  <c r="EQ7" i="9"/>
  <c r="ER7" i="9"/>
  <c r="ES7" i="9"/>
  <c r="ET7" i="9"/>
  <c r="BE8" i="9"/>
  <c r="AA20" i="12"/>
  <c r="W19" i="12"/>
  <c r="C47" i="12"/>
  <c r="W19" i="5"/>
  <c r="AA20" i="5"/>
  <c r="C47" i="5"/>
  <c r="AK8" i="9"/>
  <c r="F11" i="9"/>
  <c r="EC21" i="9"/>
  <c r="EA21" i="9"/>
  <c r="M19" i="9"/>
  <c r="M19" i="10"/>
  <c r="M19" i="11"/>
  <c r="S11" i="9"/>
  <c r="S11" i="10"/>
  <c r="S11" i="11"/>
  <c r="BE7" i="9"/>
  <c r="W20" i="5"/>
  <c r="AA21" i="5"/>
  <c r="AA21" i="12"/>
  <c r="W20" i="12"/>
  <c r="EC20" i="9"/>
  <c r="EC17" i="9"/>
  <c r="EC16" i="9"/>
  <c r="ED17" i="9"/>
  <c r="AK7" i="9"/>
  <c r="F17" i="9"/>
  <c r="CR9" i="9"/>
  <c r="AC19" i="9"/>
  <c r="EA20" i="9"/>
  <c r="EA17" i="9"/>
  <c r="EA16" i="9"/>
  <c r="EB17" i="9"/>
  <c r="AZ15" i="9"/>
  <c r="AZ14" i="9"/>
  <c r="BX9" i="9"/>
  <c r="AC18" i="9"/>
  <c r="H16" i="9"/>
  <c r="H16" i="10"/>
  <c r="H16" i="11"/>
  <c r="G11" i="9"/>
  <c r="G11" i="10"/>
  <c r="G11" i="11"/>
  <c r="F11" i="10"/>
  <c r="F11" i="11"/>
  <c r="AA22" i="12"/>
  <c r="W21" i="12"/>
  <c r="AA22" i="5"/>
  <c r="W21" i="5"/>
  <c r="H18" i="9"/>
  <c r="H18" i="10"/>
  <c r="H18" i="11"/>
  <c r="CH14" i="9"/>
  <c r="BN14" i="9"/>
  <c r="CT9" i="9"/>
  <c r="CU9" i="9"/>
  <c r="AR9" i="9"/>
  <c r="CT8" i="9"/>
  <c r="CU8" i="9"/>
  <c r="AR8" i="9"/>
  <c r="CT13" i="9"/>
  <c r="CU13" i="9"/>
  <c r="AR13" i="9"/>
  <c r="CT10" i="9"/>
  <c r="CU10" i="9"/>
  <c r="AR10" i="9"/>
  <c r="CT12" i="9"/>
  <c r="CU12" i="9"/>
  <c r="AR12" i="9"/>
  <c r="CT11" i="9"/>
  <c r="CU11" i="9"/>
  <c r="AR11" i="9"/>
  <c r="CT7" i="9"/>
  <c r="CU7" i="9"/>
  <c r="AR7" i="9"/>
  <c r="CT6" i="9"/>
  <c r="CU6" i="9"/>
  <c r="AR6" i="9"/>
  <c r="CT5" i="9"/>
  <c r="CU5" i="9"/>
  <c r="AR5" i="9"/>
  <c r="F17" i="10"/>
  <c r="F17" i="11"/>
  <c r="G17" i="9"/>
  <c r="G17" i="10"/>
  <c r="G17" i="11"/>
  <c r="BZ10" i="9"/>
  <c r="CA10" i="9"/>
  <c r="BZ11" i="9"/>
  <c r="CA11" i="9"/>
  <c r="BZ12" i="9"/>
  <c r="CA12" i="9"/>
  <c r="BZ13" i="9"/>
  <c r="CA13" i="9"/>
  <c r="BZ8" i="9"/>
  <c r="CA8" i="9"/>
  <c r="BZ6" i="9"/>
  <c r="CA6" i="9"/>
  <c r="BZ7" i="9"/>
  <c r="CA7" i="9"/>
  <c r="BZ5" i="9"/>
  <c r="CA5" i="9"/>
  <c r="BZ9" i="9"/>
  <c r="CA9" i="9"/>
  <c r="EB18" i="9"/>
  <c r="EB19" i="9"/>
  <c r="EB26" i="9"/>
  <c r="EB24" i="9"/>
  <c r="EB25" i="9"/>
  <c r="EB22" i="9"/>
  <c r="EB23" i="9"/>
  <c r="EB20" i="9"/>
  <c r="EB21" i="9"/>
  <c r="ED25" i="9"/>
  <c r="BC12" i="9"/>
  <c r="BD12" i="9"/>
  <c r="AL12" i="9"/>
  <c r="F21" i="9"/>
  <c r="F21" i="10"/>
  <c r="F21" i="11"/>
  <c r="ED20" i="9"/>
  <c r="BC7" i="9"/>
  <c r="BD7" i="9"/>
  <c r="AL7" i="9"/>
  <c r="F15" i="9"/>
  <c r="F15" i="10"/>
  <c r="F15" i="11"/>
  <c r="ED24" i="9"/>
  <c r="BC11" i="9"/>
  <c r="BD11" i="9"/>
  <c r="AL11" i="9"/>
  <c r="R15" i="9"/>
  <c r="R15" i="10"/>
  <c r="R15" i="11"/>
  <c r="ED18" i="9"/>
  <c r="BC5" i="9"/>
  <c r="ED26" i="9"/>
  <c r="BC13" i="9"/>
  <c r="BD13" i="9"/>
  <c r="AL13" i="9"/>
  <c r="L9" i="9"/>
  <c r="L9" i="10"/>
  <c r="L9" i="11"/>
  <c r="ED23" i="9"/>
  <c r="BC10" i="9"/>
  <c r="BD10" i="9"/>
  <c r="AL10" i="9"/>
  <c r="R21" i="9"/>
  <c r="R21" i="10"/>
  <c r="R21" i="11"/>
  <c r="ED21" i="9"/>
  <c r="BC8" i="9"/>
  <c r="BD8" i="9"/>
  <c r="AL8" i="9"/>
  <c r="F9" i="9"/>
  <c r="F9" i="10"/>
  <c r="F9" i="11"/>
  <c r="ED22" i="9"/>
  <c r="BC9" i="9"/>
  <c r="BD9" i="9"/>
  <c r="AL9" i="9"/>
  <c r="ED19" i="9"/>
  <c r="BC6" i="9"/>
  <c r="BD6" i="9"/>
  <c r="AL6" i="9"/>
  <c r="R9" i="9"/>
  <c r="R9" i="10"/>
  <c r="R9" i="11"/>
  <c r="W22" i="5"/>
  <c r="AA23" i="5"/>
  <c r="AA23" i="12"/>
  <c r="W22" i="12"/>
  <c r="CH13" i="9"/>
  <c r="CI13" i="9"/>
  <c r="CH12" i="9"/>
  <c r="CI12" i="9"/>
  <c r="CH8" i="9"/>
  <c r="CI8" i="9"/>
  <c r="CH10" i="9"/>
  <c r="CI10" i="9"/>
  <c r="CH9" i="9"/>
  <c r="CI9" i="9"/>
  <c r="CH11" i="9"/>
  <c r="CI11" i="9"/>
  <c r="CH7" i="9"/>
  <c r="CI7" i="9"/>
  <c r="CH6" i="9"/>
  <c r="CI6" i="9"/>
  <c r="CH5" i="9"/>
  <c r="CI5" i="9"/>
  <c r="CD6" i="9"/>
  <c r="BJ6" i="9"/>
  <c r="CD9" i="9"/>
  <c r="BJ8" i="9"/>
  <c r="BK8" i="9"/>
  <c r="CD8" i="9"/>
  <c r="CE8" i="9"/>
  <c r="CD10" i="9"/>
  <c r="CE10" i="9"/>
  <c r="BJ7" i="9"/>
  <c r="BK7" i="9"/>
  <c r="BJ9" i="9"/>
  <c r="BD5" i="9"/>
  <c r="AL5" i="9"/>
  <c r="L21" i="9"/>
  <c r="L21" i="10"/>
  <c r="L21" i="11"/>
  <c r="BJ11" i="9"/>
  <c r="BK11" i="9"/>
  <c r="BJ5" i="9"/>
  <c r="CD13" i="9"/>
  <c r="CE13" i="9"/>
  <c r="BJ12" i="9"/>
  <c r="BJ13" i="9"/>
  <c r="BK13" i="9"/>
  <c r="CD12" i="9"/>
  <c r="CD11" i="9"/>
  <c r="CE11" i="9"/>
  <c r="CD7" i="9"/>
  <c r="CE7" i="9"/>
  <c r="BJ10" i="9"/>
  <c r="BK10" i="9"/>
  <c r="CD5" i="9"/>
  <c r="BN12" i="9"/>
  <c r="BO12" i="9"/>
  <c r="BN10" i="9"/>
  <c r="BO10" i="9"/>
  <c r="BN13" i="9"/>
  <c r="BO13" i="9"/>
  <c r="BN8" i="9"/>
  <c r="BO8" i="9"/>
  <c r="BN11" i="9"/>
  <c r="BO11" i="9"/>
  <c r="BN6" i="9"/>
  <c r="BO6" i="9"/>
  <c r="BN9" i="9"/>
  <c r="BO9" i="9"/>
  <c r="BN5" i="9"/>
  <c r="BO5" i="9"/>
  <c r="BN7" i="9"/>
  <c r="BO7" i="9"/>
  <c r="W23" i="5"/>
  <c r="AA24" i="5"/>
  <c r="W23" i="12"/>
  <c r="AA24" i="12"/>
  <c r="BO14" i="9"/>
  <c r="CE5" i="9"/>
  <c r="CQ29" i="9"/>
  <c r="CE12" i="9"/>
  <c r="BK5" i="9"/>
  <c r="BW27" i="9"/>
  <c r="BL7" i="9"/>
  <c r="BX38" i="9"/>
  <c r="BR7" i="9"/>
  <c r="BM7" i="9"/>
  <c r="CE9" i="9"/>
  <c r="CM9" i="9"/>
  <c r="CN9" i="9"/>
  <c r="BL10" i="9"/>
  <c r="BX41" i="9"/>
  <c r="BR10" i="9"/>
  <c r="BM10" i="9"/>
  <c r="BL13" i="9"/>
  <c r="BM13" i="9"/>
  <c r="BX44" i="9"/>
  <c r="BR13" i="9"/>
  <c r="BR11" i="9"/>
  <c r="BM11" i="9"/>
  <c r="BX42" i="9"/>
  <c r="BL11" i="9"/>
  <c r="CG10" i="9"/>
  <c r="AO10" i="9"/>
  <c r="Q21" i="9"/>
  <c r="Q21" i="10"/>
  <c r="Q21" i="11"/>
  <c r="AM10" i="9"/>
  <c r="CL10" i="9"/>
  <c r="CR41" i="9"/>
  <c r="CF10" i="9"/>
  <c r="AN10" i="9"/>
  <c r="Q22" i="9"/>
  <c r="Q22" i="10"/>
  <c r="Q22" i="11"/>
  <c r="BW28" i="9"/>
  <c r="BK6" i="9"/>
  <c r="CR38" i="9"/>
  <c r="AM7" i="9"/>
  <c r="CF7" i="9"/>
  <c r="AN7" i="9"/>
  <c r="E16" i="9"/>
  <c r="E16" i="10"/>
  <c r="E16" i="11"/>
  <c r="CG7" i="9"/>
  <c r="AO7" i="9"/>
  <c r="E15" i="9"/>
  <c r="E15" i="10"/>
  <c r="E15" i="11"/>
  <c r="CL7" i="9"/>
  <c r="BW29" i="9"/>
  <c r="BK12" i="9"/>
  <c r="CL8" i="9"/>
  <c r="CG8" i="9"/>
  <c r="AO8" i="9"/>
  <c r="E9" i="9"/>
  <c r="E9" i="10"/>
  <c r="E9" i="11"/>
  <c r="AM8" i="9"/>
  <c r="CF8" i="9"/>
  <c r="AN8" i="9"/>
  <c r="E10" i="9"/>
  <c r="E10" i="10"/>
  <c r="E10" i="11"/>
  <c r="CR39" i="9"/>
  <c r="CQ28" i="9"/>
  <c r="CQ27" i="9"/>
  <c r="CE6" i="9"/>
  <c r="CF11" i="9"/>
  <c r="AN11" i="9"/>
  <c r="Q16" i="9"/>
  <c r="Q16" i="10"/>
  <c r="Q16" i="11"/>
  <c r="CG11" i="9"/>
  <c r="AO11" i="9"/>
  <c r="Q15" i="9"/>
  <c r="Q15" i="10"/>
  <c r="Q15" i="11"/>
  <c r="CL11" i="9"/>
  <c r="CR42" i="9"/>
  <c r="AM11" i="9"/>
  <c r="CF13" i="9"/>
  <c r="AN13" i="9"/>
  <c r="K10" i="9"/>
  <c r="K10" i="10"/>
  <c r="K10" i="11"/>
  <c r="CR44" i="9"/>
  <c r="CG13" i="9"/>
  <c r="AO13" i="9"/>
  <c r="K9" i="9"/>
  <c r="K9" i="10"/>
  <c r="K9" i="11"/>
  <c r="CL13" i="9"/>
  <c r="AM13" i="9"/>
  <c r="BK9" i="9"/>
  <c r="BS9" i="9"/>
  <c r="BT9" i="9"/>
  <c r="BM8" i="9"/>
  <c r="BX39" i="9"/>
  <c r="BL8" i="9"/>
  <c r="BR8" i="9"/>
  <c r="CI14" i="9"/>
  <c r="W24" i="12"/>
  <c r="AA25" i="12"/>
  <c r="W25" i="12"/>
  <c r="AA25" i="5"/>
  <c r="W25" i="5"/>
  <c r="W24" i="5"/>
  <c r="CM41" i="9"/>
  <c r="CM36" i="9"/>
  <c r="CM38" i="9"/>
  <c r="CM39" i="9"/>
  <c r="CM40" i="9"/>
  <c r="CM43" i="9"/>
  <c r="CM42" i="9"/>
  <c r="CM37" i="9"/>
  <c r="BM6" i="9"/>
  <c r="BL6" i="9"/>
  <c r="BX37" i="9"/>
  <c r="BK15" i="9"/>
  <c r="BR6" i="9"/>
  <c r="CL9" i="9"/>
  <c r="AM9" i="9"/>
  <c r="AT9" i="9"/>
  <c r="CF9" i="9"/>
  <c r="AN9" i="9"/>
  <c r="CR40" i="9"/>
  <c r="CG9" i="9"/>
  <c r="AO9" i="9"/>
  <c r="BR12" i="9"/>
  <c r="BL12" i="9"/>
  <c r="BX43" i="9"/>
  <c r="BK16" i="9"/>
  <c r="BM12" i="9"/>
  <c r="R22" i="9"/>
  <c r="AT10" i="9"/>
  <c r="BS36" i="9"/>
  <c r="BS43" i="9"/>
  <c r="BS37" i="9"/>
  <c r="BS42" i="9"/>
  <c r="BS38" i="9"/>
  <c r="BS40" i="9"/>
  <c r="BS39" i="9"/>
  <c r="BS41" i="9"/>
  <c r="CF5" i="9"/>
  <c r="AN5" i="9"/>
  <c r="K22" i="9"/>
  <c r="K22" i="10"/>
  <c r="K22" i="11"/>
  <c r="CG5" i="9"/>
  <c r="AO5" i="9"/>
  <c r="K21" i="9"/>
  <c r="K21" i="10"/>
  <c r="K21" i="11"/>
  <c r="AM5" i="9"/>
  <c r="CL5" i="9"/>
  <c r="CR36" i="9"/>
  <c r="CR37" i="9"/>
  <c r="CG6" i="9"/>
  <c r="AO6" i="9"/>
  <c r="Q9" i="9"/>
  <c r="Q9" i="10"/>
  <c r="Q9" i="11"/>
  <c r="CF6" i="9"/>
  <c r="AN6" i="9"/>
  <c r="Q10" i="9"/>
  <c r="Q10" i="10"/>
  <c r="Q10" i="11"/>
  <c r="CL6" i="9"/>
  <c r="AM6" i="9"/>
  <c r="CE16" i="9"/>
  <c r="CE15" i="9"/>
  <c r="CE14" i="9"/>
  <c r="AT8" i="9"/>
  <c r="F10" i="9"/>
  <c r="AT7" i="9"/>
  <c r="F16" i="9"/>
  <c r="BL5" i="9"/>
  <c r="BM5" i="9"/>
  <c r="BR5" i="9"/>
  <c r="BX36" i="9"/>
  <c r="BK14" i="9"/>
  <c r="L10" i="9"/>
  <c r="AT13" i="9"/>
  <c r="CJ12" i="9"/>
  <c r="CK12" i="9"/>
  <c r="CJ8" i="9"/>
  <c r="CK8" i="9"/>
  <c r="CJ9" i="9"/>
  <c r="CJ7" i="9"/>
  <c r="CK7" i="9"/>
  <c r="CJ10" i="9"/>
  <c r="CK10" i="9"/>
  <c r="CJ11" i="9"/>
  <c r="CK11" i="9"/>
  <c r="CJ13" i="9"/>
  <c r="CK13" i="9"/>
  <c r="CJ5" i="9"/>
  <c r="CK5" i="9"/>
  <c r="CJ6" i="9"/>
  <c r="CK6" i="9"/>
  <c r="R16" i="9"/>
  <c r="AT11" i="9"/>
  <c r="BX40" i="9"/>
  <c r="BM9" i="9"/>
  <c r="BL9" i="9"/>
  <c r="BR9" i="9"/>
  <c r="CG12" i="9"/>
  <c r="AO12" i="9"/>
  <c r="E21" i="9"/>
  <c r="E21" i="10"/>
  <c r="E21" i="11"/>
  <c r="AM12" i="9"/>
  <c r="CF12" i="9"/>
  <c r="AN12" i="9"/>
  <c r="E22" i="9"/>
  <c r="E22" i="10"/>
  <c r="E22" i="11"/>
  <c r="CL12" i="9"/>
  <c r="CR43" i="9"/>
  <c r="BP13" i="9"/>
  <c r="BQ13" i="9"/>
  <c r="BS13" i="9"/>
  <c r="BT13" i="9"/>
  <c r="BP5" i="9"/>
  <c r="BQ5" i="9"/>
  <c r="BS5" i="9"/>
  <c r="BP6" i="9"/>
  <c r="BQ6" i="9"/>
  <c r="BS6" i="9"/>
  <c r="BP8" i="9"/>
  <c r="BQ8" i="9"/>
  <c r="BS8" i="9"/>
  <c r="BT8" i="9"/>
  <c r="BP7" i="9"/>
  <c r="BQ7" i="9"/>
  <c r="BS7" i="9"/>
  <c r="BT7" i="9"/>
  <c r="BP10" i="9"/>
  <c r="BQ10" i="9"/>
  <c r="BS10" i="9"/>
  <c r="BT10" i="9"/>
  <c r="BP12" i="9"/>
  <c r="BQ12" i="9"/>
  <c r="BS12" i="9"/>
  <c r="BP11" i="9"/>
  <c r="BQ11" i="9"/>
  <c r="BS11" i="9"/>
  <c r="BT11" i="9"/>
  <c r="BP9" i="9"/>
  <c r="L22" i="9"/>
  <c r="AT5" i="9"/>
  <c r="S22" i="9"/>
  <c r="S22" i="10"/>
  <c r="S22" i="11"/>
  <c r="R22" i="10"/>
  <c r="R22" i="11"/>
  <c r="AP6" i="9"/>
  <c r="Q11" i="9"/>
  <c r="CM6" i="9"/>
  <c r="BS17" i="9"/>
  <c r="BS16" i="9"/>
  <c r="BT12" i="9"/>
  <c r="F22" i="9"/>
  <c r="AT12" i="9"/>
  <c r="AP10" i="9"/>
  <c r="Q23" i="9"/>
  <c r="CM10" i="9"/>
  <c r="CN10" i="9"/>
  <c r="CM12" i="9"/>
  <c r="AP12" i="9"/>
  <c r="E23" i="9"/>
  <c r="G16" i="9"/>
  <c r="G16" i="10"/>
  <c r="G16" i="11"/>
  <c r="F16" i="10"/>
  <c r="F16" i="11"/>
  <c r="CM5" i="9"/>
  <c r="AP5" i="9"/>
  <c r="K23" i="9"/>
  <c r="AR15" i="9"/>
  <c r="AS15" i="9"/>
  <c r="CM7" i="9"/>
  <c r="CN7" i="9"/>
  <c r="AP7" i="9"/>
  <c r="E17" i="9"/>
  <c r="AT6" i="9"/>
  <c r="R10" i="9"/>
  <c r="BT5" i="9"/>
  <c r="AP13" i="9"/>
  <c r="K11" i="9"/>
  <c r="CM13" i="9"/>
  <c r="CN13" i="9"/>
  <c r="M10" i="9"/>
  <c r="M10" i="10"/>
  <c r="M10" i="11"/>
  <c r="L10" i="10"/>
  <c r="L10" i="11"/>
  <c r="G10" i="9"/>
  <c r="G10" i="10"/>
  <c r="G10" i="11"/>
  <c r="F10" i="10"/>
  <c r="F10" i="11"/>
  <c r="CQ25" i="9"/>
  <c r="BT6" i="9"/>
  <c r="BS15" i="9"/>
  <c r="BS14" i="9"/>
  <c r="BW26" i="9"/>
  <c r="S16" i="9"/>
  <c r="S16" i="10"/>
  <c r="S16" i="11"/>
  <c r="R16" i="10"/>
  <c r="R16" i="11"/>
  <c r="CM11" i="9"/>
  <c r="CN11" i="9"/>
  <c r="AP11" i="9"/>
  <c r="Q17" i="9"/>
  <c r="AP8" i="9"/>
  <c r="E11" i="9"/>
  <c r="CM8" i="9"/>
  <c r="CN8" i="9"/>
  <c r="BU7" i="9"/>
  <c r="BW12" i="9"/>
  <c r="BU12" i="9"/>
  <c r="BW8" i="9"/>
  <c r="BW11" i="9"/>
  <c r="BV9" i="9"/>
  <c r="BV13" i="9"/>
  <c r="BU10" i="9"/>
  <c r="BV11" i="9"/>
  <c r="BW25" i="9"/>
  <c r="BW7" i="9"/>
  <c r="BV8" i="9"/>
  <c r="BW10" i="9"/>
  <c r="BW13" i="9"/>
  <c r="BU8" i="9"/>
  <c r="BU5" i="9"/>
  <c r="BV12" i="9"/>
  <c r="BU11" i="9"/>
  <c r="BW6" i="9"/>
  <c r="BV5" i="9"/>
  <c r="BV10" i="9"/>
  <c r="BV7" i="9"/>
  <c r="BW9" i="9"/>
  <c r="BW5" i="9"/>
  <c r="BU6" i="9"/>
  <c r="BV6" i="9"/>
  <c r="BU13" i="9"/>
  <c r="BU9" i="9"/>
  <c r="R18" i="9"/>
  <c r="R18" i="10"/>
  <c r="R18" i="11"/>
  <c r="S24" i="9"/>
  <c r="S24" i="10"/>
  <c r="S24" i="11"/>
  <c r="R24" i="9"/>
  <c r="R24" i="10"/>
  <c r="R24" i="11"/>
  <c r="G12" i="9"/>
  <c r="G12" i="10"/>
  <c r="G12" i="11"/>
  <c r="L12" i="9"/>
  <c r="L12" i="10"/>
  <c r="L12" i="11"/>
  <c r="F18" i="9"/>
  <c r="F18" i="10"/>
  <c r="F18" i="11"/>
  <c r="AR17" i="9"/>
  <c r="F6" i="9"/>
  <c r="F6" i="10"/>
  <c r="F6" i="11"/>
  <c r="BT38" i="9"/>
  <c r="BT40" i="9"/>
  <c r="BT41" i="9"/>
  <c r="BT43" i="9"/>
  <c r="BT42" i="9"/>
  <c r="BT36" i="9"/>
  <c r="BT39" i="9"/>
  <c r="BT37" i="9"/>
  <c r="R10" i="10"/>
  <c r="R10" i="11"/>
  <c r="S10" i="9"/>
  <c r="S10" i="10"/>
  <c r="S10" i="11"/>
  <c r="CM16" i="9"/>
  <c r="CM15" i="9"/>
  <c r="CM14" i="9"/>
  <c r="CQ26" i="9"/>
  <c r="CN6" i="9"/>
  <c r="E11" i="10"/>
  <c r="E11" i="11"/>
  <c r="E12" i="9"/>
  <c r="E12" i="10"/>
  <c r="E12" i="11"/>
  <c r="T9" i="9"/>
  <c r="T9" i="10"/>
  <c r="T9" i="11"/>
  <c r="BT14" i="9"/>
  <c r="K24" i="9"/>
  <c r="K24" i="10"/>
  <c r="K24" i="11"/>
  <c r="K23" i="10"/>
  <c r="K23" i="11"/>
  <c r="Q24" i="9"/>
  <c r="Q24" i="10"/>
  <c r="Q24" i="11"/>
  <c r="Q23" i="10"/>
  <c r="Q23" i="11"/>
  <c r="Q11" i="10"/>
  <c r="Q11" i="11"/>
  <c r="Q12" i="9"/>
  <c r="Q12" i="10"/>
  <c r="Q12" i="11"/>
  <c r="Q17" i="10"/>
  <c r="Q17" i="11"/>
  <c r="Q18" i="9"/>
  <c r="Q18" i="10"/>
  <c r="Q18" i="11"/>
  <c r="F12" i="9"/>
  <c r="F12" i="10"/>
  <c r="F12" i="11"/>
  <c r="E18" i="9"/>
  <c r="E18" i="10"/>
  <c r="E18" i="11"/>
  <c r="E17" i="10"/>
  <c r="E17" i="11"/>
  <c r="CN5" i="9"/>
  <c r="E24" i="9"/>
  <c r="E24" i="10"/>
  <c r="E24" i="11"/>
  <c r="E23" i="10"/>
  <c r="E23" i="11"/>
  <c r="T8" i="9"/>
  <c r="T8" i="10"/>
  <c r="T8" i="11"/>
  <c r="K12" i="9"/>
  <c r="K12" i="10"/>
  <c r="K12" i="11"/>
  <c r="K11" i="10"/>
  <c r="K11" i="11"/>
  <c r="CM17" i="9"/>
  <c r="CN12" i="9"/>
  <c r="F22" i="10"/>
  <c r="F22" i="11"/>
  <c r="G22" i="9"/>
  <c r="G22" i="10"/>
  <c r="G22" i="11"/>
  <c r="M22" i="9"/>
  <c r="M22" i="10"/>
  <c r="M22" i="11"/>
  <c r="L22" i="10"/>
  <c r="L22" i="11"/>
  <c r="L24" i="9"/>
  <c r="L24" i="10"/>
  <c r="L24" i="11"/>
  <c r="F24" i="9"/>
  <c r="F24" i="10"/>
  <c r="F24" i="11"/>
  <c r="BV36" i="9"/>
  <c r="BY43" i="9"/>
  <c r="G24" i="9"/>
  <c r="G24" i="10"/>
  <c r="G24" i="11"/>
  <c r="CN14" i="9"/>
  <c r="R12" i="9"/>
  <c r="R12" i="10"/>
  <c r="R12" i="11"/>
  <c r="CN37" i="9"/>
  <c r="CN39" i="9"/>
  <c r="CN42" i="9"/>
  <c r="CN40" i="9"/>
  <c r="CN41" i="9"/>
  <c r="CN38" i="9"/>
  <c r="CN43" i="9"/>
  <c r="CN36" i="9"/>
  <c r="S12" i="9"/>
  <c r="S12" i="10"/>
  <c r="S12" i="11"/>
  <c r="BY40" i="9"/>
  <c r="BY38" i="9"/>
  <c r="BY39" i="9"/>
  <c r="BY42" i="9"/>
  <c r="BY37" i="9"/>
  <c r="BY30" i="9"/>
  <c r="BY36" i="9"/>
  <c r="BY41" i="9"/>
  <c r="BY44" i="9"/>
  <c r="CP36" i="9"/>
  <c r="CO9" i="9"/>
  <c r="CP9" i="9"/>
  <c r="CQ9" i="9"/>
  <c r="AQ9" i="9"/>
  <c r="AS9" i="9"/>
  <c r="CO7" i="9"/>
  <c r="CP7" i="9"/>
  <c r="CQ7" i="9"/>
  <c r="AQ7" i="9"/>
  <c r="AS7" i="9"/>
  <c r="D16" i="9"/>
  <c r="CO8" i="9"/>
  <c r="CP8" i="9"/>
  <c r="CQ8" i="9"/>
  <c r="AQ8" i="9"/>
  <c r="AS8" i="9"/>
  <c r="D10" i="9"/>
  <c r="CO11" i="9"/>
  <c r="CP11" i="9"/>
  <c r="CQ11" i="9"/>
  <c r="AQ11" i="9"/>
  <c r="AS11" i="9"/>
  <c r="P16" i="9"/>
  <c r="CO6" i="9"/>
  <c r="CP6" i="9"/>
  <c r="CQ6" i="9"/>
  <c r="AQ6" i="9"/>
  <c r="AS6" i="9"/>
  <c r="P10" i="9"/>
  <c r="CO5" i="9"/>
  <c r="CP5" i="9"/>
  <c r="CQ5" i="9"/>
  <c r="AQ5" i="9"/>
  <c r="AS5" i="9"/>
  <c r="J22" i="9"/>
  <c r="CO12" i="9"/>
  <c r="CP12" i="9"/>
  <c r="CQ12" i="9"/>
  <c r="AQ12" i="9"/>
  <c r="AS12" i="9"/>
  <c r="D22" i="9"/>
  <c r="CO10" i="9"/>
  <c r="CP10" i="9"/>
  <c r="CQ10" i="9"/>
  <c r="AQ10" i="9"/>
  <c r="AS10" i="9"/>
  <c r="P22" i="9"/>
  <c r="CO13" i="9"/>
  <c r="CP13" i="9"/>
  <c r="CQ13" i="9"/>
  <c r="AQ13" i="9"/>
  <c r="AS13" i="9"/>
  <c r="J10" i="9"/>
  <c r="D10" i="10"/>
  <c r="D10" i="11"/>
  <c r="D11" i="9"/>
  <c r="D11" i="10"/>
  <c r="D11" i="11"/>
  <c r="D22" i="10"/>
  <c r="D22" i="11"/>
  <c r="D23" i="9"/>
  <c r="D23" i="10"/>
  <c r="D23" i="11"/>
  <c r="J10" i="10"/>
  <c r="J10" i="11"/>
  <c r="J11" i="9"/>
  <c r="J11" i="10"/>
  <c r="J11" i="11"/>
  <c r="P10" i="10"/>
  <c r="P10" i="11"/>
  <c r="P11" i="9"/>
  <c r="P11" i="10"/>
  <c r="P11" i="11"/>
  <c r="J22" i="10"/>
  <c r="J22" i="11"/>
  <c r="J23" i="9"/>
  <c r="J23" i="10"/>
  <c r="J23" i="11"/>
  <c r="D16" i="10"/>
  <c r="D16" i="11"/>
  <c r="D17" i="9"/>
  <c r="D17" i="10"/>
  <c r="D17" i="11"/>
  <c r="P22" i="10"/>
  <c r="P22" i="11"/>
  <c r="P23" i="9"/>
  <c r="P23" i="10"/>
  <c r="P23" i="11"/>
  <c r="P16" i="10"/>
  <c r="P16" i="11"/>
  <c r="P17" i="9"/>
  <c r="P17" i="10"/>
  <c r="P17" i="11"/>
  <c r="CS38" i="9"/>
  <c r="CS39" i="9"/>
  <c r="CS36" i="9"/>
  <c r="CS37" i="9"/>
  <c r="CS44" i="9"/>
  <c r="CS30" i="9"/>
  <c r="CS41" i="9"/>
  <c r="CS42" i="9"/>
  <c r="CS43" i="9"/>
  <c r="CS4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顾斌</author>
  </authors>
  <commentList>
    <comment ref="I2" authorId="0" shapeId="0" xr:uid="{00000000-0006-0000-0400-000001000000}">
      <text>
        <r>
          <rPr>
            <b/>
            <sz val="9"/>
            <color indexed="81"/>
            <rFont val="宋体"/>
            <charset val="134"/>
          </rPr>
          <t>顾斌:</t>
        </r>
        <r>
          <rPr>
            <sz val="9"/>
            <color indexed="81"/>
            <rFont val="宋体"/>
            <charset val="134"/>
          </rPr>
          <t xml:space="preserve">
当日子时之天干</t>
        </r>
      </text>
    </comment>
    <comment ref="I3" authorId="0" shapeId="0" xr:uid="{00000000-0006-0000-0400-000002000000}">
      <text>
        <r>
          <rPr>
            <b/>
            <sz val="9"/>
            <color indexed="81"/>
            <rFont val="宋体"/>
            <charset val="134"/>
          </rPr>
          <t>顾斌:</t>
        </r>
        <r>
          <rPr>
            <sz val="9"/>
            <color indexed="81"/>
            <rFont val="宋体"/>
            <charset val="134"/>
          </rPr>
          <t xml:space="preserve">
误差
</t>
        </r>
      </text>
    </comment>
    <comment ref="K3" authorId="0" shapeId="0" xr:uid="{00000000-0006-0000-0400-000003000000}">
      <text>
        <r>
          <rPr>
            <b/>
            <sz val="9"/>
            <color indexed="81"/>
            <rFont val="宋体"/>
            <charset val="134"/>
          </rPr>
          <t>顾斌:</t>
        </r>
        <r>
          <rPr>
            <sz val="9"/>
            <color indexed="81"/>
            <rFont val="宋体"/>
            <charset val="134"/>
          </rPr>
          <t xml:space="preserve">
时之干支序</t>
        </r>
      </text>
    </comment>
    <comment ref="C4" authorId="0" shapeId="0" xr:uid="{00000000-0006-0000-0400-000004000000}">
      <text>
        <r>
          <rPr>
            <b/>
            <sz val="9"/>
            <color indexed="81"/>
            <rFont val="宋体"/>
            <charset val="134"/>
          </rPr>
          <t>顾斌:</t>
        </r>
        <r>
          <rPr>
            <sz val="9"/>
            <color indexed="81"/>
            <rFont val="宋体"/>
            <charset val="134"/>
          </rPr>
          <t xml:space="preserve">
生肖图片列偏移</t>
        </r>
      </text>
    </comment>
    <comment ref="E4" authorId="0" shapeId="0" xr:uid="{00000000-0006-0000-0400-000005000000}">
      <text>
        <r>
          <rPr>
            <sz val="9"/>
            <color indexed="81"/>
            <rFont val="宋体"/>
            <charset val="134"/>
          </rPr>
          <t>当年正月天干</t>
        </r>
      </text>
    </comment>
    <comment ref="A12" authorId="0" shapeId="0" xr:uid="{00000000-0006-0000-0400-000006000000}">
      <text>
        <r>
          <rPr>
            <b/>
            <sz val="9"/>
            <color indexed="81"/>
            <rFont val="宋体"/>
            <charset val="134"/>
          </rPr>
          <t>顾斌:</t>
        </r>
        <r>
          <rPr>
            <sz val="9"/>
            <color indexed="81"/>
            <rFont val="宋体"/>
            <charset val="134"/>
          </rPr>
          <t xml:space="preserve">
用于提高运行速度</t>
        </r>
      </text>
    </comment>
    <comment ref="B16" authorId="0" shapeId="0" xr:uid="{00000000-0006-0000-0400-000007000000}">
      <text>
        <r>
          <rPr>
            <b/>
            <sz val="9"/>
            <color indexed="81"/>
            <rFont val="宋体"/>
            <charset val="134"/>
          </rPr>
          <t>顾斌:</t>
        </r>
        <r>
          <rPr>
            <sz val="9"/>
            <color indexed="81"/>
            <rFont val="宋体"/>
            <charset val="134"/>
          </rPr>
          <t xml:space="preserve">
Excel 的 BUG.
1900 年不应为闰年. </t>
        </r>
      </text>
    </comment>
    <comment ref="E31" authorId="0" shapeId="0" xr:uid="{00000000-0006-0000-0400-000008000000}">
      <text>
        <r>
          <rPr>
            <b/>
            <sz val="9"/>
            <color indexed="8"/>
            <rFont val="宋体"/>
            <charset val="134"/>
          </rPr>
          <t>顾斌</t>
        </r>
        <r>
          <rPr>
            <b/>
            <sz val="9"/>
            <color indexed="8"/>
            <rFont val="宋体"/>
            <charset val="134"/>
          </rPr>
          <t>:</t>
        </r>
        <r>
          <rPr>
            <sz val="9"/>
            <color indexed="8"/>
            <rFont val="宋体"/>
            <charset val="134"/>
          </rPr>
          <t xml:space="preserve">
</t>
        </r>
        <r>
          <rPr>
            <sz val="9"/>
            <color indexed="8"/>
            <rFont val="宋体"/>
            <charset val="134"/>
          </rPr>
          <t>阴历月指针</t>
        </r>
      </text>
    </comment>
    <comment ref="F31" authorId="0" shapeId="0" xr:uid="{00000000-0006-0000-0400-000009000000}">
      <text>
        <r>
          <rPr>
            <b/>
            <sz val="9"/>
            <color indexed="81"/>
            <rFont val="宋体"/>
            <charset val="134"/>
          </rPr>
          <t>顾斌:</t>
        </r>
        <r>
          <rPr>
            <sz val="9"/>
            <color indexed="81"/>
            <rFont val="宋体"/>
            <charset val="134"/>
          </rPr>
          <t xml:space="preserve">
阴历月 19*4 年基本循环期</t>
        </r>
      </text>
    </comment>
    <comment ref="B34" authorId="0" shapeId="0" xr:uid="{00000000-0006-0000-0400-00000A000000}">
      <text>
        <r>
          <rPr>
            <b/>
            <sz val="9"/>
            <color indexed="81"/>
            <rFont val="宋体"/>
            <charset val="134"/>
          </rPr>
          <t>顾斌:</t>
        </r>
        <r>
          <rPr>
            <sz val="9"/>
            <color indexed="81"/>
            <rFont val="宋体"/>
            <charset val="134"/>
          </rPr>
          <t xml:space="preserve">
防止 Excel 1900 年以下自动加1900. +7600 为阴历 19 年与公历 400 年循环期的公倍数.</t>
        </r>
      </text>
    </comment>
    <comment ref="B38" authorId="0" shapeId="0" xr:uid="{00000000-0006-0000-0400-00000B000000}">
      <text>
        <r>
          <rPr>
            <b/>
            <sz val="9"/>
            <color indexed="81"/>
            <rFont val="宋体"/>
            <charset val="134"/>
          </rPr>
          <t>顾斌:</t>
        </r>
        <r>
          <rPr>
            <sz val="9"/>
            <color indexed="81"/>
            <rFont val="宋体"/>
            <charset val="134"/>
          </rPr>
          <t xml:space="preserve">
用于公历星期查询</t>
        </r>
      </text>
    </comment>
    <comment ref="C38" authorId="0" shapeId="0" xr:uid="{00000000-0006-0000-0400-00000C000000}">
      <text>
        <r>
          <rPr>
            <b/>
            <sz val="9"/>
            <color indexed="81"/>
            <rFont val="宋体"/>
            <charset val="134"/>
          </rPr>
          <t>顾斌:</t>
        </r>
        <r>
          <rPr>
            <sz val="9"/>
            <color indexed="81"/>
            <rFont val="宋体"/>
            <charset val="134"/>
          </rPr>
          <t xml:space="preserve">
用于阴历相适年</t>
        </r>
      </text>
    </comment>
    <comment ref="B41" authorId="0" shapeId="0" xr:uid="{00000000-0006-0000-0400-00000D000000}">
      <text>
        <r>
          <rPr>
            <b/>
            <sz val="9"/>
            <color indexed="8"/>
            <rFont val="宋体"/>
            <charset val="134"/>
          </rPr>
          <t>顾斌</t>
        </r>
        <r>
          <rPr>
            <b/>
            <sz val="9"/>
            <color indexed="8"/>
            <rFont val="宋体"/>
            <charset val="134"/>
          </rPr>
          <t>:</t>
        </r>
        <r>
          <rPr>
            <sz val="9"/>
            <color indexed="8"/>
            <rFont val="宋体"/>
            <charset val="134"/>
          </rPr>
          <t xml:space="preserve">
</t>
        </r>
        <r>
          <rPr>
            <sz val="9"/>
            <color indexed="8"/>
            <rFont val="宋体"/>
            <charset val="134"/>
          </rPr>
          <t>供</t>
        </r>
        <r>
          <rPr>
            <sz val="9"/>
            <color indexed="8"/>
            <rFont val="宋体"/>
            <charset val="134"/>
          </rPr>
          <t>1900-2050</t>
        </r>
        <r>
          <rPr>
            <sz val="9"/>
            <color indexed="8"/>
            <rFont val="宋体"/>
            <charset val="134"/>
          </rPr>
          <t>年以外参考用</t>
        </r>
        <r>
          <rPr>
            <sz val="9"/>
            <color indexed="8"/>
            <rFont val="宋体"/>
            <charset val="134"/>
          </rPr>
          <t>,</t>
        </r>
        <r>
          <rPr>
            <sz val="9"/>
            <color indexed="8"/>
            <rFont val="宋体"/>
            <charset val="134"/>
          </rPr>
          <t>误差小于</t>
        </r>
        <r>
          <rPr>
            <sz val="9"/>
            <color indexed="8"/>
            <rFont val="宋体"/>
            <charset val="134"/>
          </rPr>
          <t xml:space="preserve"> 2 </t>
        </r>
        <r>
          <rPr>
            <sz val="9"/>
            <color indexed="8"/>
            <rFont val="宋体"/>
            <charset val="134"/>
          </rPr>
          <t>天</t>
        </r>
        <r>
          <rPr>
            <sz val="9"/>
            <color indexed="8"/>
            <rFont val="宋体"/>
            <charset val="134"/>
          </rPr>
          <t>.</t>
        </r>
      </text>
    </comment>
    <comment ref="C41" authorId="0" shapeId="0" xr:uid="{00000000-0006-0000-0400-00000E000000}">
      <text>
        <r>
          <rPr>
            <b/>
            <sz val="9"/>
            <color indexed="81"/>
            <rFont val="宋体"/>
            <charset val="134"/>
          </rPr>
          <t>顾斌:</t>
        </r>
        <r>
          <rPr>
            <sz val="9"/>
            <color indexed="81"/>
            <rFont val="宋体"/>
            <charset val="134"/>
          </rPr>
          <t xml:space="preserve">
阴历位移</t>
        </r>
      </text>
    </comment>
    <comment ref="C43" authorId="0" shapeId="0" xr:uid="{00000000-0006-0000-0400-00000F000000}">
      <text>
        <r>
          <rPr>
            <b/>
            <sz val="9"/>
            <color indexed="81"/>
            <rFont val="宋体"/>
            <charset val="134"/>
          </rPr>
          <t>顾斌:</t>
        </r>
        <r>
          <rPr>
            <sz val="9"/>
            <color indexed="81"/>
            <rFont val="宋体"/>
            <charset val="134"/>
          </rPr>
          <t xml:space="preserve">
年号位移</t>
        </r>
      </text>
    </comment>
    <comment ref="D43" authorId="0" shapeId="0" xr:uid="{00000000-0006-0000-0400-000010000000}">
      <text>
        <r>
          <rPr>
            <b/>
            <sz val="9"/>
            <color indexed="81"/>
            <rFont val="宋体"/>
            <charset val="134"/>
          </rPr>
          <t>顾斌:</t>
        </r>
        <r>
          <rPr>
            <sz val="9"/>
            <color indexed="81"/>
            <rFont val="宋体"/>
            <charset val="134"/>
          </rPr>
          <t xml:space="preserve">
年号起始年份</t>
        </r>
      </text>
    </comment>
    <comment ref="D46" authorId="0" shapeId="0" xr:uid="{00000000-0006-0000-0400-000011000000}">
      <text>
        <r>
          <rPr>
            <b/>
            <sz val="9"/>
            <color indexed="81"/>
            <rFont val="宋体"/>
            <charset val="134"/>
          </rPr>
          <t>顾斌:</t>
        </r>
        <r>
          <rPr>
            <sz val="9"/>
            <color indexed="81"/>
            <rFont val="宋体"/>
            <charset val="134"/>
          </rPr>
          <t xml:space="preserve">
节气偏移</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顾斌</author>
  </authors>
  <commentList>
    <comment ref="I2" authorId="0" shapeId="0" xr:uid="{00000000-0006-0000-0500-000001000000}">
      <text>
        <r>
          <rPr>
            <b/>
            <sz val="9"/>
            <color indexed="81"/>
            <rFont val="宋体"/>
            <charset val="134"/>
          </rPr>
          <t>顾斌:</t>
        </r>
        <r>
          <rPr>
            <sz val="9"/>
            <color indexed="81"/>
            <rFont val="宋体"/>
            <charset val="134"/>
          </rPr>
          <t xml:space="preserve">
当日子时之天干</t>
        </r>
      </text>
    </comment>
    <comment ref="I3" authorId="0" shapeId="0" xr:uid="{00000000-0006-0000-0500-000002000000}">
      <text>
        <r>
          <rPr>
            <b/>
            <sz val="9"/>
            <color indexed="81"/>
            <rFont val="宋体"/>
            <charset val="134"/>
          </rPr>
          <t>顾斌:</t>
        </r>
        <r>
          <rPr>
            <sz val="9"/>
            <color indexed="81"/>
            <rFont val="宋体"/>
            <charset val="134"/>
          </rPr>
          <t xml:space="preserve">
误差
</t>
        </r>
      </text>
    </comment>
    <comment ref="K3" authorId="0" shapeId="0" xr:uid="{00000000-0006-0000-0500-000003000000}">
      <text>
        <r>
          <rPr>
            <b/>
            <sz val="9"/>
            <color indexed="81"/>
            <rFont val="宋体"/>
            <charset val="134"/>
          </rPr>
          <t>顾斌:</t>
        </r>
        <r>
          <rPr>
            <sz val="9"/>
            <color indexed="81"/>
            <rFont val="宋体"/>
            <charset val="134"/>
          </rPr>
          <t xml:space="preserve">
时之干支序</t>
        </r>
      </text>
    </comment>
    <comment ref="C4" authorId="0" shapeId="0" xr:uid="{00000000-0006-0000-0500-000004000000}">
      <text>
        <r>
          <rPr>
            <b/>
            <sz val="9"/>
            <color indexed="81"/>
            <rFont val="宋体"/>
            <charset val="134"/>
          </rPr>
          <t>顾斌:</t>
        </r>
        <r>
          <rPr>
            <sz val="9"/>
            <color indexed="81"/>
            <rFont val="宋体"/>
            <charset val="134"/>
          </rPr>
          <t xml:space="preserve">
生肖图片列偏移</t>
        </r>
      </text>
    </comment>
    <comment ref="E4" authorId="0" shapeId="0" xr:uid="{00000000-0006-0000-0500-000005000000}">
      <text>
        <r>
          <rPr>
            <sz val="9"/>
            <color indexed="81"/>
            <rFont val="宋体"/>
            <charset val="134"/>
          </rPr>
          <t>当年正月天干</t>
        </r>
      </text>
    </comment>
    <comment ref="A12" authorId="0" shapeId="0" xr:uid="{00000000-0006-0000-0500-000006000000}">
      <text>
        <r>
          <rPr>
            <b/>
            <sz val="9"/>
            <color indexed="81"/>
            <rFont val="宋体"/>
            <charset val="134"/>
          </rPr>
          <t>顾斌:</t>
        </r>
        <r>
          <rPr>
            <sz val="9"/>
            <color indexed="81"/>
            <rFont val="宋体"/>
            <charset val="134"/>
          </rPr>
          <t xml:space="preserve">
用于提高运行速度</t>
        </r>
      </text>
    </comment>
    <comment ref="B16" authorId="0" shapeId="0" xr:uid="{00000000-0006-0000-0500-000007000000}">
      <text>
        <r>
          <rPr>
            <b/>
            <sz val="9"/>
            <color indexed="81"/>
            <rFont val="宋体"/>
            <charset val="134"/>
          </rPr>
          <t>顾斌:</t>
        </r>
        <r>
          <rPr>
            <sz val="9"/>
            <color indexed="81"/>
            <rFont val="宋体"/>
            <charset val="134"/>
          </rPr>
          <t xml:space="preserve">
Excel 的 BUG.
1900 年不应为闰年. </t>
        </r>
      </text>
    </comment>
    <comment ref="E31" authorId="0" shapeId="0" xr:uid="{00000000-0006-0000-0500-000008000000}">
      <text>
        <r>
          <rPr>
            <b/>
            <sz val="9"/>
            <color indexed="8"/>
            <rFont val="宋体"/>
            <charset val="134"/>
          </rPr>
          <t>顾斌</t>
        </r>
        <r>
          <rPr>
            <b/>
            <sz val="9"/>
            <color indexed="8"/>
            <rFont val="宋体"/>
            <charset val="134"/>
          </rPr>
          <t>:</t>
        </r>
        <r>
          <rPr>
            <sz val="9"/>
            <color indexed="8"/>
            <rFont val="宋体"/>
            <charset val="134"/>
          </rPr>
          <t xml:space="preserve">
</t>
        </r>
        <r>
          <rPr>
            <sz val="9"/>
            <color indexed="8"/>
            <rFont val="宋体"/>
            <charset val="134"/>
          </rPr>
          <t>阴历月指针</t>
        </r>
      </text>
    </comment>
    <comment ref="F31" authorId="0" shapeId="0" xr:uid="{00000000-0006-0000-0500-000009000000}">
      <text>
        <r>
          <rPr>
            <b/>
            <sz val="9"/>
            <color indexed="81"/>
            <rFont val="宋体"/>
            <charset val="134"/>
          </rPr>
          <t>顾斌:</t>
        </r>
        <r>
          <rPr>
            <sz val="9"/>
            <color indexed="81"/>
            <rFont val="宋体"/>
            <charset val="134"/>
          </rPr>
          <t xml:space="preserve">
阴历月 19*4 年基本循环期</t>
        </r>
      </text>
    </comment>
    <comment ref="B34" authorId="0" shapeId="0" xr:uid="{00000000-0006-0000-0500-00000A000000}">
      <text>
        <r>
          <rPr>
            <b/>
            <sz val="9"/>
            <color indexed="81"/>
            <rFont val="宋体"/>
            <charset val="134"/>
          </rPr>
          <t>顾斌:</t>
        </r>
        <r>
          <rPr>
            <sz val="9"/>
            <color indexed="81"/>
            <rFont val="宋体"/>
            <charset val="134"/>
          </rPr>
          <t xml:space="preserve">
防止 Excel 1900 年以下自动加1900. +7600 为阴历 19 年与公历 400 年循环期的公倍数.</t>
        </r>
      </text>
    </comment>
    <comment ref="B38" authorId="0" shapeId="0" xr:uid="{00000000-0006-0000-0500-00000B000000}">
      <text>
        <r>
          <rPr>
            <b/>
            <sz val="9"/>
            <color indexed="81"/>
            <rFont val="宋体"/>
            <charset val="134"/>
          </rPr>
          <t>顾斌:</t>
        </r>
        <r>
          <rPr>
            <sz val="9"/>
            <color indexed="81"/>
            <rFont val="宋体"/>
            <charset val="134"/>
          </rPr>
          <t xml:space="preserve">
用于公历星期查询</t>
        </r>
      </text>
    </comment>
    <comment ref="C38" authorId="0" shapeId="0" xr:uid="{00000000-0006-0000-0500-00000C000000}">
      <text>
        <r>
          <rPr>
            <b/>
            <sz val="9"/>
            <color indexed="81"/>
            <rFont val="宋体"/>
            <charset val="134"/>
          </rPr>
          <t>顾斌:</t>
        </r>
        <r>
          <rPr>
            <sz val="9"/>
            <color indexed="81"/>
            <rFont val="宋体"/>
            <charset val="134"/>
          </rPr>
          <t xml:space="preserve">
用于阴历相适年</t>
        </r>
      </text>
    </comment>
    <comment ref="B41" authorId="0" shapeId="0" xr:uid="{00000000-0006-0000-0500-00000D000000}">
      <text>
        <r>
          <rPr>
            <b/>
            <sz val="9"/>
            <color indexed="8"/>
            <rFont val="宋体"/>
            <charset val="134"/>
          </rPr>
          <t>顾斌</t>
        </r>
        <r>
          <rPr>
            <b/>
            <sz val="9"/>
            <color indexed="8"/>
            <rFont val="宋体"/>
            <charset val="134"/>
          </rPr>
          <t>:</t>
        </r>
        <r>
          <rPr>
            <sz val="9"/>
            <color indexed="8"/>
            <rFont val="宋体"/>
            <charset val="134"/>
          </rPr>
          <t xml:space="preserve">
</t>
        </r>
        <r>
          <rPr>
            <sz val="9"/>
            <color indexed="8"/>
            <rFont val="宋体"/>
            <charset val="134"/>
          </rPr>
          <t>供</t>
        </r>
        <r>
          <rPr>
            <sz val="9"/>
            <color indexed="8"/>
            <rFont val="宋体"/>
            <charset val="134"/>
          </rPr>
          <t>1900-2050</t>
        </r>
        <r>
          <rPr>
            <sz val="9"/>
            <color indexed="8"/>
            <rFont val="宋体"/>
            <charset val="134"/>
          </rPr>
          <t>年以外参考用</t>
        </r>
        <r>
          <rPr>
            <sz val="9"/>
            <color indexed="8"/>
            <rFont val="宋体"/>
            <charset val="134"/>
          </rPr>
          <t>,</t>
        </r>
        <r>
          <rPr>
            <sz val="9"/>
            <color indexed="8"/>
            <rFont val="宋体"/>
            <charset val="134"/>
          </rPr>
          <t>误差小于</t>
        </r>
        <r>
          <rPr>
            <sz val="9"/>
            <color indexed="8"/>
            <rFont val="宋体"/>
            <charset val="134"/>
          </rPr>
          <t xml:space="preserve"> 2 </t>
        </r>
        <r>
          <rPr>
            <sz val="9"/>
            <color indexed="8"/>
            <rFont val="宋体"/>
            <charset val="134"/>
          </rPr>
          <t>天</t>
        </r>
        <r>
          <rPr>
            <sz val="9"/>
            <color indexed="8"/>
            <rFont val="宋体"/>
            <charset val="134"/>
          </rPr>
          <t>.</t>
        </r>
      </text>
    </comment>
    <comment ref="C41" authorId="0" shapeId="0" xr:uid="{00000000-0006-0000-0500-00000E000000}">
      <text>
        <r>
          <rPr>
            <b/>
            <sz val="9"/>
            <color indexed="81"/>
            <rFont val="宋体"/>
            <charset val="134"/>
          </rPr>
          <t>顾斌:</t>
        </r>
        <r>
          <rPr>
            <sz val="9"/>
            <color indexed="81"/>
            <rFont val="宋体"/>
            <charset val="134"/>
          </rPr>
          <t xml:space="preserve">
阴历位移</t>
        </r>
      </text>
    </comment>
    <comment ref="C43" authorId="0" shapeId="0" xr:uid="{00000000-0006-0000-0500-00000F000000}">
      <text>
        <r>
          <rPr>
            <b/>
            <sz val="9"/>
            <color indexed="81"/>
            <rFont val="宋体"/>
            <charset val="134"/>
          </rPr>
          <t>顾斌:</t>
        </r>
        <r>
          <rPr>
            <sz val="9"/>
            <color indexed="81"/>
            <rFont val="宋体"/>
            <charset val="134"/>
          </rPr>
          <t xml:space="preserve">
年号位移</t>
        </r>
      </text>
    </comment>
    <comment ref="D43" authorId="0" shapeId="0" xr:uid="{00000000-0006-0000-0500-000010000000}">
      <text>
        <r>
          <rPr>
            <b/>
            <sz val="9"/>
            <color indexed="81"/>
            <rFont val="宋体"/>
            <charset val="134"/>
          </rPr>
          <t>顾斌:</t>
        </r>
        <r>
          <rPr>
            <sz val="9"/>
            <color indexed="81"/>
            <rFont val="宋体"/>
            <charset val="134"/>
          </rPr>
          <t xml:space="preserve">
年号起始年份</t>
        </r>
      </text>
    </comment>
    <comment ref="D46" authorId="0" shapeId="0" xr:uid="{00000000-0006-0000-0500-000011000000}">
      <text>
        <r>
          <rPr>
            <b/>
            <sz val="9"/>
            <color indexed="81"/>
            <rFont val="宋体"/>
            <charset val="134"/>
          </rPr>
          <t>顾斌:</t>
        </r>
        <r>
          <rPr>
            <sz val="9"/>
            <color indexed="81"/>
            <rFont val="宋体"/>
            <charset val="134"/>
          </rPr>
          <t xml:space="preserve">
节气偏移</t>
        </r>
      </text>
    </comment>
  </commentList>
</comments>
</file>

<file path=xl/sharedStrings.xml><?xml version="1.0" encoding="utf-8"?>
<sst xmlns="http://schemas.openxmlformats.org/spreadsheetml/2006/main" count="6320" uniqueCount="892">
  <si>
    <t>地支</t>
  </si>
  <si>
    <t>天干</t>
  </si>
  <si>
    <t>鸡</t>
  </si>
  <si>
    <t>酉</t>
  </si>
  <si>
    <t>辛</t>
  </si>
  <si>
    <t>狗</t>
  </si>
  <si>
    <t>戌</t>
  </si>
  <si>
    <t>壬</t>
  </si>
  <si>
    <t>猪</t>
  </si>
  <si>
    <t>亥</t>
  </si>
  <si>
    <t>癸</t>
  </si>
  <si>
    <t>鼠</t>
  </si>
  <si>
    <t>子</t>
  </si>
  <si>
    <t>甲</t>
  </si>
  <si>
    <t>牛</t>
  </si>
  <si>
    <t>丑</t>
  </si>
  <si>
    <t>乙</t>
  </si>
  <si>
    <t>虎</t>
  </si>
  <si>
    <t>寅</t>
  </si>
  <si>
    <t>丙</t>
  </si>
  <si>
    <t>兔</t>
  </si>
  <si>
    <t>卯</t>
  </si>
  <si>
    <t>丁</t>
  </si>
  <si>
    <t>龙</t>
  </si>
  <si>
    <t>辰</t>
  </si>
  <si>
    <t>戊</t>
  </si>
  <si>
    <t>蛇</t>
  </si>
  <si>
    <t>巳</t>
  </si>
  <si>
    <t>已</t>
  </si>
  <si>
    <t>马</t>
  </si>
  <si>
    <t>午</t>
  </si>
  <si>
    <t>庚</t>
  </si>
  <si>
    <t>羊</t>
  </si>
  <si>
    <t>未</t>
  </si>
  <si>
    <t>猴</t>
  </si>
  <si>
    <t>申</t>
  </si>
  <si>
    <t>小寒</t>
  </si>
  <si>
    <t>大寒</t>
  </si>
  <si>
    <t>立春</t>
  </si>
  <si>
    <t>雨水</t>
  </si>
  <si>
    <t>惊蛰</t>
  </si>
  <si>
    <t>春分</t>
  </si>
  <si>
    <t>清明</t>
  </si>
  <si>
    <t>谷雨</t>
  </si>
  <si>
    <t>立夏</t>
  </si>
  <si>
    <t>小满</t>
  </si>
  <si>
    <t>芒种</t>
  </si>
  <si>
    <t>夏至</t>
  </si>
  <si>
    <t>小暑</t>
  </si>
  <si>
    <t>大暑</t>
  </si>
  <si>
    <t>立秋</t>
  </si>
  <si>
    <t>处暑</t>
  </si>
  <si>
    <t>白露</t>
  </si>
  <si>
    <t>秋分</t>
  </si>
  <si>
    <t>寒露</t>
  </si>
  <si>
    <t>霜降</t>
  </si>
  <si>
    <t>立冬</t>
  </si>
  <si>
    <t>小雪</t>
  </si>
  <si>
    <t>大雪</t>
  </si>
  <si>
    <t>情人节</t>
  </si>
  <si>
    <t>青年节</t>
  </si>
  <si>
    <t>国庆节</t>
  </si>
  <si>
    <t>元旦</t>
  </si>
  <si>
    <t>元宵节</t>
  </si>
  <si>
    <t>端午节</t>
  </si>
  <si>
    <t>中元节</t>
  </si>
  <si>
    <t>中秋节</t>
  </si>
  <si>
    <t>重阳节</t>
  </si>
  <si>
    <t>腊八节</t>
  </si>
  <si>
    <t>春节</t>
  </si>
  <si>
    <t>本月天数</t>
  </si>
  <si>
    <t>初二</t>
  </si>
  <si>
    <t>初三</t>
  </si>
  <si>
    <t>初四</t>
  </si>
  <si>
    <t>初五</t>
  </si>
  <si>
    <t>初六</t>
  </si>
  <si>
    <t>初七</t>
  </si>
  <si>
    <t>初八</t>
  </si>
  <si>
    <t>初九</t>
  </si>
  <si>
    <t>初十</t>
  </si>
  <si>
    <t>十一</t>
  </si>
  <si>
    <t>十二</t>
  </si>
  <si>
    <t>十三</t>
  </si>
  <si>
    <t>十四</t>
  </si>
  <si>
    <t>十五</t>
  </si>
  <si>
    <t>十六</t>
  </si>
  <si>
    <t>十七</t>
  </si>
  <si>
    <t>十八</t>
  </si>
  <si>
    <t>十九</t>
  </si>
  <si>
    <t>二十</t>
  </si>
  <si>
    <t>廿一</t>
  </si>
  <si>
    <t>廿二</t>
  </si>
  <si>
    <t>廿三</t>
  </si>
  <si>
    <t>廿四</t>
  </si>
  <si>
    <t>廿五</t>
  </si>
  <si>
    <t>廿六</t>
  </si>
  <si>
    <t>廿七</t>
  </si>
  <si>
    <t>廿八</t>
  </si>
  <si>
    <t>廿九</t>
  </si>
  <si>
    <t>三十</t>
  </si>
  <si>
    <t>正月</t>
  </si>
  <si>
    <t>万圣节</t>
  </si>
  <si>
    <t>圣诞节</t>
  </si>
  <si>
    <t>节气时间</t>
  </si>
  <si>
    <t>二月</t>
  </si>
  <si>
    <t>三月</t>
  </si>
  <si>
    <t>四月</t>
  </si>
  <si>
    <t>五月</t>
  </si>
  <si>
    <t>六月</t>
  </si>
  <si>
    <t>七月</t>
  </si>
  <si>
    <t>八月</t>
  </si>
  <si>
    <t>九月</t>
  </si>
  <si>
    <t>十月</t>
  </si>
  <si>
    <t>腊月</t>
  </si>
  <si>
    <t>日期列</t>
  </si>
  <si>
    <t xml:space="preserve">    我国自古沿用农历. "农历" 之称, 可能来源于我国以农立国, 制定历法必须以服务农业为本所故.农历又称 "夏历" , 据说这是因为农历始用于夏代( 公元前17世纪前 ).我国的农历, 并不是完全的阴历, 也不是完全用阳历, 而是阴阳两历并用的历法.</t>
  </si>
  <si>
    <t xml:space="preserve">    根据我国历史记载, 从黄帝到清末, 我国人民使用过百余种历法, 但基本上都是属阴阳历的性质.经过漫长时间的不断观察、研究、修正, 我国人民早在三、四千年前就将纯粹的阴历和阳历很好地调和起来, 这确是我人祖先的一大发明.</t>
  </si>
  <si>
    <t xml:space="preserve">    农历的历月是以朔望月为依据的.朔望月的时间是29日12小时44分3秒( 即29.5633日 ), 因此农历也是大月30天, 小月29天, 但它和纯粹的阴历并不完全一样, 因为纯粹的阴历是大小月义替编排, 而农历的大小月是经过推算决定的.农历每一个月初一都正好是 "朔" ( 即月亮在太阳、地球中间, 而且以黑暗的半面对着地球的时候 ).有时可能出现两个大月, 或连续两个小月.由于朔望月稍大于29天半, 所以农历每100个历月里, 约有53个大月和47个小月.</t>
  </si>
  <si>
    <t xml:space="preserve">    二十四节气歌:  春雨惊春清谷天, 夏满芒夏二暑连, 秋处露秋寒霜降, 冬雪雪冬小大寒.</t>
  </si>
  <si>
    <t xml:space="preserve">    节气实际上是指太阳在黄道上的位置, 将黄道分成24等分.每等分占黄经15度.</t>
  </si>
  <si>
    <t xml:space="preserve">    黄道: 是指地球每一年绕太阳公转一周, 人们在地球上所看到的太阳一年中在天体恒星之间的圆圈路线, 即轨迹.全圈360 度, 人们把它分为12等分, 每分30 度.</t>
  </si>
  <si>
    <t xml:space="preserve">    黄道吉日: 旧皇历将建、除、满、平、定、执、破、危、成、收、开、闭12个字分别注在皇历中的每个日期的下方.凡与除、危、定、执、成、开6个字对应的日子, 就是黄道吉日；与建、满、平、破、收、闭6个字对应的日子, 就是黑道凶日. </t>
  </si>
  <si>
    <t xml:space="preserve">    农历十二个月的别称: 一月 孟春, 正月, 元月, 春王, 陬( 音邹 )月, 孟陬, 端月, 初月, 始春, 元春.</t>
  </si>
  <si>
    <t xml:space="preserve">    农历十二个月的别称: 二月 仲春, 如月, 杏月, 早春.</t>
  </si>
  <si>
    <t xml:space="preserve">    农历十二个月的别称: 三月 季春, 炳月, 桃月, 三春, 阳春, 暮春.</t>
  </si>
  <si>
    <t xml:space="preserve">    农历十二个月的别称: 四月 孟夏, 余月, 清和月, 槐月.</t>
  </si>
  <si>
    <t xml:space="preserve">    农历十二个月的别称: 五月 仲夏, 皋月, 榴月, 蒲月, 端月.</t>
  </si>
  <si>
    <t xml:space="preserve">    农历十二个月的别称: 六月 季夏, 且月, 荷月, 伏月.</t>
  </si>
  <si>
    <t xml:space="preserve">    农历十二个月的别称: 七月 孟秋, 相月, 巧月, 霜月, 桐月.</t>
  </si>
  <si>
    <t xml:space="preserve">    农历十二个月的别称: 八月 仲秋, 壮秋, 桂月, 中秋月.</t>
  </si>
  <si>
    <t xml:space="preserve">    农历十二个月的别称: 九月 季秋, 玄月, 菊月.</t>
  </si>
  <si>
    <t xml:space="preserve">    农历十二个月的别称: 十月 孟冬, 阳月, 小阳春.</t>
  </si>
  <si>
    <t xml:space="preserve">    农历十二个月的别称: 十二月 季冬, 涂月, 腊月, 嘉平. </t>
  </si>
  <si>
    <t xml:space="preserve">    干支是天干、地支的总称.我国古代用干支计时, 已有很长的历史了.天干是: 甲、乙、丙、丁、戊、己、庚、辛、壬、癸, 也叫十天干；地支是: 子、丑、寅、卯、辰、巳、午、未、申、酉、戌、亥, 也称十二地支.把天干、地支相配正好60为一周期, 这就是人们平时所说的六十甲子.我国人民过去就用这种方法记年、记月、记日的.</t>
  </si>
  <si>
    <t xml:space="preserve">    二十八宿是我国古代天文学家观测天象及日、月、五星在天空中运行时的标志.二十八宿以北斗柄所指的角宿为起点, 由西向东排列, 其名称是: 东方——角、元、氐、房、心、尾、箕；北方——斗、牛、女、虚、危、室、壁；西方——奎、娄、胃、昴、毕、觜、参；南方——井、鬼、柳、星、张、翼、轸.</t>
  </si>
  <si>
    <t xml:space="preserve">    五行是指金、木、水、火、土这五种物质和它的运动.五行的相生、相克关系作为宇宙万物的基础的唯物概念.</t>
  </si>
  <si>
    <t>闰年否</t>
  </si>
  <si>
    <t>农历闰年否</t>
  </si>
  <si>
    <t xml:space="preserve">    农历虽然也把朔望月的时间作为历月的平均时间, 俣农历运用了设置闰月和二十四节气的办法, 使历年的平均长度等于回归年.这就使它又具有阳历的成分.所以它较之纯粹的阴历为好.</t>
  </si>
  <si>
    <t xml:space="preserve">    农历是基本上以12个月作为一年的.但12个朔望月的时间是365.3667日, 较回归年要相差11年左右.这样每隔3年就要多出33天, 即多出一个多月, 为了把多余的日数消除, 每隔3年就要加一个月, 这就是农历的闰月.有闰月的这一年也叫闰年.所以农历的闰年就有13个月了.究竟闰哪个月, 是由节气来决定的.</t>
  </si>
  <si>
    <t xml:space="preserve">    农历该闰哪个月, 决定于一年中的二十四个节气.我国农历将二十四个节气分为十二个节气和十二个中气, 农历规定把没有中气的那个月作为闰月, 跟在几个月后面就叫闰几月.</t>
  </si>
  <si>
    <t>闰八月</t>
  </si>
  <si>
    <t>闰五月</t>
  </si>
  <si>
    <t>闰四月</t>
  </si>
  <si>
    <t>闰二月</t>
  </si>
  <si>
    <t>闰六月</t>
  </si>
  <si>
    <t>闰七月</t>
  </si>
  <si>
    <t>闰三月</t>
  </si>
  <si>
    <t>闰十月</t>
  </si>
  <si>
    <t>闰九月</t>
  </si>
  <si>
    <t>时</t>
    <phoneticPr fontId="1" type="noConversion"/>
  </si>
  <si>
    <t>朝 代</t>
  </si>
  <si>
    <t>东汉</t>
  </si>
  <si>
    <t>光武帝(刘秀)</t>
  </si>
  <si>
    <t>洛阳</t>
  </si>
  <si>
    <t>曹丕</t>
  </si>
  <si>
    <t>蜀</t>
  </si>
  <si>
    <t>刘备</t>
  </si>
  <si>
    <t>成都</t>
  </si>
  <si>
    <t>吴</t>
  </si>
  <si>
    <t>孙权</t>
  </si>
  <si>
    <t>建业</t>
  </si>
  <si>
    <t>西晋</t>
  </si>
  <si>
    <t>武帝(司马炎)</t>
  </si>
  <si>
    <t>东晋</t>
  </si>
  <si>
    <t>元帝(司马睿)</t>
  </si>
  <si>
    <t>建康</t>
  </si>
  <si>
    <t>刘裕</t>
  </si>
  <si>
    <t>齐</t>
  </si>
  <si>
    <t>肖道成</t>
  </si>
  <si>
    <t>梁</t>
  </si>
  <si>
    <t>肖衍</t>
  </si>
  <si>
    <t>陈</t>
  </si>
  <si>
    <t>陈霸先</t>
  </si>
  <si>
    <t>拓跋圭</t>
  </si>
  <si>
    <t>平城→洛阳</t>
  </si>
  <si>
    <t>东魏</t>
  </si>
  <si>
    <t>元善见(高欢立)</t>
  </si>
  <si>
    <t>邺</t>
  </si>
  <si>
    <t>西魏</t>
  </si>
  <si>
    <t>元宝炬(宇文泰立)</t>
  </si>
  <si>
    <t>长安</t>
  </si>
  <si>
    <t>北齐</t>
  </si>
  <si>
    <t>高洋</t>
  </si>
  <si>
    <t>北周</t>
  </si>
  <si>
    <t>宇文觉</t>
  </si>
  <si>
    <t>隋</t>
  </si>
  <si>
    <t>文帝(杨坚)</t>
  </si>
  <si>
    <t>大兴</t>
  </si>
  <si>
    <t>唐</t>
  </si>
  <si>
    <t>五代十国</t>
  </si>
  <si>
    <t>北宋</t>
  </si>
  <si>
    <t>太祖(赵匡胤)</t>
  </si>
  <si>
    <t>开封</t>
  </si>
  <si>
    <t>南宋</t>
  </si>
  <si>
    <t>高宗(赵构)</t>
  </si>
  <si>
    <t>临安</t>
  </si>
  <si>
    <t>辽</t>
  </si>
  <si>
    <t>耶律阿宝机</t>
  </si>
  <si>
    <t>上京</t>
  </si>
  <si>
    <t>西夏</t>
  </si>
  <si>
    <t>李元昊</t>
  </si>
  <si>
    <t>兴庆</t>
  </si>
  <si>
    <t>金</t>
  </si>
  <si>
    <t>完颜阿骨打</t>
  </si>
  <si>
    <t>中都</t>
  </si>
  <si>
    <t>元</t>
  </si>
  <si>
    <t>世祖(忽必烈)</t>
  </si>
  <si>
    <t>大都</t>
  </si>
  <si>
    <t>明</t>
  </si>
  <si>
    <t>清</t>
  </si>
  <si>
    <t>南京(曾北京</t>
  </si>
  <si>
    <t>年号</t>
  </si>
  <si>
    <t>即位年龄</t>
  </si>
  <si>
    <t>在位</t>
  </si>
  <si>
    <t>死时</t>
  </si>
  <si>
    <t>名字</t>
  </si>
  <si>
    <t>世系</t>
  </si>
  <si>
    <t>庙号</t>
  </si>
  <si>
    <t>洪武</t>
  </si>
  <si>
    <t>朱元璋</t>
  </si>
  <si>
    <t>朱世珍之子</t>
  </si>
  <si>
    <t>太祖</t>
  </si>
  <si>
    <t>建文</t>
  </si>
  <si>
    <t>朱允文</t>
  </si>
  <si>
    <t>朱元璋之孙</t>
  </si>
  <si>
    <t>永乐</t>
  </si>
  <si>
    <t>朱棣</t>
  </si>
  <si>
    <t>朱元璋之第四子</t>
  </si>
  <si>
    <t>成祖</t>
  </si>
  <si>
    <t>洪熙</t>
  </si>
  <si>
    <t>朱高炽</t>
  </si>
  <si>
    <t>朱棣之长子</t>
  </si>
  <si>
    <t>仁宗</t>
  </si>
  <si>
    <t>宣德</t>
  </si>
  <si>
    <t>朱瞻基</t>
  </si>
  <si>
    <t>朱高炽之长子</t>
  </si>
  <si>
    <t>宣宗</t>
  </si>
  <si>
    <t>正统</t>
  </si>
  <si>
    <t>朱祁镇</t>
  </si>
  <si>
    <t>朱瞻基之长子</t>
  </si>
  <si>
    <t>英宗</t>
  </si>
  <si>
    <t>景泰</t>
  </si>
  <si>
    <t>祁钰</t>
  </si>
  <si>
    <t>朱瞻基之次子</t>
  </si>
  <si>
    <t>代宗</t>
  </si>
  <si>
    <t>天顺</t>
  </si>
  <si>
    <t>成化</t>
  </si>
  <si>
    <t>朱见深</t>
  </si>
  <si>
    <t>朱祁镇之长子</t>
  </si>
  <si>
    <t>宪宗</t>
  </si>
  <si>
    <t>弘治</t>
  </si>
  <si>
    <t>朱右樘</t>
  </si>
  <si>
    <t>朱见深之第三子</t>
  </si>
  <si>
    <t>孝宗</t>
  </si>
  <si>
    <t>正德</t>
  </si>
  <si>
    <t>朱厚照</t>
  </si>
  <si>
    <t>朱右樘之长子</t>
  </si>
  <si>
    <t>武宗</t>
  </si>
  <si>
    <t>嘉靖</t>
  </si>
  <si>
    <t>朱厚囱</t>
  </si>
  <si>
    <t>朱右樘之侄</t>
  </si>
  <si>
    <t>世宗</t>
  </si>
  <si>
    <t>隆庆</t>
  </si>
  <si>
    <t>朱载后</t>
  </si>
  <si>
    <t>朱厚囱之第三子</t>
  </si>
  <si>
    <t>穆宗</t>
  </si>
  <si>
    <t>万历</t>
  </si>
  <si>
    <t>朱翊钧</t>
  </si>
  <si>
    <t>朱载后之第三子</t>
  </si>
  <si>
    <t>神宗</t>
  </si>
  <si>
    <t>泰昌</t>
  </si>
  <si>
    <t>1月</t>
  </si>
  <si>
    <t>朱常洛</t>
  </si>
  <si>
    <t>朱翊钧之长子</t>
  </si>
  <si>
    <t>光宗</t>
  </si>
  <si>
    <t>崇祯</t>
  </si>
  <si>
    <t>朱由检</t>
  </si>
  <si>
    <t>朱常洛之第五子</t>
  </si>
  <si>
    <t>思宗</t>
  </si>
  <si>
    <t>顺治</t>
  </si>
  <si>
    <t>福临</t>
  </si>
  <si>
    <t>皇太极之第九子</t>
  </si>
  <si>
    <t>康熙</t>
  </si>
  <si>
    <t>玄烨</t>
  </si>
  <si>
    <t>福临之第三子</t>
  </si>
  <si>
    <t>雍正</t>
  </si>
  <si>
    <t>胤禎</t>
  </si>
  <si>
    <t>玄烨之第四子</t>
  </si>
  <si>
    <t>乾隆</t>
  </si>
  <si>
    <t>弘历</t>
  </si>
  <si>
    <t>胤禎之第四子</t>
  </si>
  <si>
    <t>嘉庆</t>
  </si>
  <si>
    <t>禺琰</t>
  </si>
  <si>
    <t>弘历之第十五子</t>
  </si>
  <si>
    <t>道光</t>
  </si>
  <si>
    <t>文宁</t>
  </si>
  <si>
    <t>禺琰之第二子</t>
  </si>
  <si>
    <t>咸丰</t>
  </si>
  <si>
    <t>奕宁</t>
  </si>
  <si>
    <t>文宁之第四子</t>
  </si>
  <si>
    <t>同治</t>
  </si>
  <si>
    <t>载淳</t>
  </si>
  <si>
    <t>奕宁之第一子</t>
  </si>
  <si>
    <t>光绪</t>
  </si>
  <si>
    <t>载恬</t>
  </si>
  <si>
    <t>奕宁之侄</t>
  </si>
  <si>
    <t>宣统</t>
  </si>
  <si>
    <t>溥仪</t>
  </si>
  <si>
    <t>载恬之侄</t>
  </si>
  <si>
    <t/>
  </si>
  <si>
    <t>武德</t>
  </si>
  <si>
    <t>父李柄，袭封唐国公，隋柱国大将军</t>
  </si>
  <si>
    <t>李渊</t>
  </si>
  <si>
    <t>高祖次子</t>
  </si>
  <si>
    <t>武德九年（626年）六月，在宫城玄武门发动兵变，杀太子建成、齐王元吉及其诸子，遂被立为太子，同年八月即皇帝位，尊高祖为太上皇</t>
  </si>
  <si>
    <t>李世民</t>
  </si>
  <si>
    <t>太宗第九子</t>
  </si>
  <si>
    <t>即位前封晋王，贞观十七年（643年）以其长兄太子承乾被废而被立为太子，太宗死，嗣位</t>
  </si>
  <si>
    <t>李治</t>
  </si>
  <si>
    <t>井州文水人，父武士跃，贞观中官至工部尚书、荆州都督，封应国公</t>
  </si>
  <si>
    <t>高宗皇后，与高宗并称“二圣”，参与朝政，弘道元年（683年）高宗死，中宗李显即位，照临朝称制，次年废中宗，立四子李旦，载初元年（690年）废李旦，自称圣神皇帝，改国号为周，都洛阳，史称“武周”</t>
  </si>
  <si>
    <t>武照</t>
  </si>
  <si>
    <t>高宗第七子</t>
  </si>
  <si>
    <t>以皇太子嗣位，则天皇后临朝称制。嗣圣元年（684年）武氏废帝为庐陵王，迁房州。圣历元年（698年）召还东都，复位为皇太子，神另元年（705年）正月，张柬之乘武则天病危，拥中宗复位，复国号为唐</t>
  </si>
  <si>
    <t>李显</t>
  </si>
  <si>
    <t>2，6</t>
  </si>
  <si>
    <t>高宗第八子</t>
  </si>
  <si>
    <t>684年，武后废中宗，立李旦为帝，武后称帝，降李旦为皇嗣。中宗复位后，封旦为相王。景龙四年（710年）韦后毒死中宗，临朝摄政，临淄王李隆基（李旦之子）诛韦后，拥李旦为帝。712年，旦让位于太子隆基，自称太上皇</t>
  </si>
  <si>
    <t>李旦</t>
  </si>
  <si>
    <t>7，3</t>
  </si>
  <si>
    <t>睿宗第三子</t>
  </si>
  <si>
    <t>即位前封楚王，后封临淄王，景龙四年（710年）韦后毒死中宗，李隆基等诛韦后，拥李旦为帝，隆基被立为皇太子，712年，受禅即位</t>
  </si>
  <si>
    <t>李隆基</t>
  </si>
  <si>
    <t>玄宗第三子</t>
  </si>
  <si>
    <t>初封陕王，蓰封忠王，开元二十五年太子李瑛被废，李亨被立为皇太子，755年，安禄山叛乱，次年六月陷潼关，亨随玄宗出逃，至马嵬驿，与玄宗分道，北上灵武，七月，即帝位于灵武，遥尊玄宗为太上皇</t>
  </si>
  <si>
    <t>李亨</t>
  </si>
  <si>
    <t>肃宗长子</t>
  </si>
  <si>
    <t>初封广平郡王，后封楚王，蓰封成王，758年被立为皇太子，762年以太子嗣位</t>
  </si>
  <si>
    <t>李豫</t>
  </si>
  <si>
    <t>代宗长子</t>
  </si>
  <si>
    <t>初封奉节郡王，进封鲁王、雍王、764年被立为皇太子，代宗死，以太子即位</t>
  </si>
  <si>
    <t>李适</t>
  </si>
  <si>
    <t>永贞</t>
  </si>
  <si>
    <t>德宗长子</t>
  </si>
  <si>
    <t>初封宣城郡王，进封宣王，德宗即位后立为皇太子，以太子即位，改元永贞，实行革新，同年八月，宦官俱文珍等逼帝退位，称太上皇，在位实八个月</t>
  </si>
  <si>
    <t>李诵</t>
  </si>
  <si>
    <t>元和</t>
  </si>
  <si>
    <t>顺宗长子</t>
  </si>
  <si>
    <t>初封广平郡王，顺宗时被立为皇太子，永贞元年（805年）八月，被官逼顺宗退位，拥立太子</t>
  </si>
  <si>
    <t>李纯</t>
  </si>
  <si>
    <t>宪宗第三子</t>
  </si>
  <si>
    <t>初封建安郡王，进封遂王，元和七年被立为皇太子，宪宗死，以皇太子即位</t>
  </si>
  <si>
    <t>李恒</t>
  </si>
  <si>
    <t>穆宗长子</t>
  </si>
  <si>
    <t>初封鄂王，长庆二年被立为太子，穆宗死，以太自嗣位，后被宦官刘克明杀死</t>
  </si>
  <si>
    <t>李湛</t>
  </si>
  <si>
    <t>穆宗第二子</t>
  </si>
  <si>
    <t>即位前封江王，宦官刘克明等杀敬宗，拥其弟李昂既帝位</t>
  </si>
  <si>
    <t>李昂</t>
  </si>
  <si>
    <t>穆宗第五子</t>
  </si>
  <si>
    <t>即位前封颖王，开成五年（840年）正月，文宗病重，宦官仇士良等拥立李炎为皇太弟，废太子成美为陈王，文宗死，炎以皇太弟嗣位，后以服用金丹病死</t>
  </si>
  <si>
    <t>李炎</t>
  </si>
  <si>
    <t>宪宗第十三子，穆宗弟</t>
  </si>
  <si>
    <t>穆宗时封光王，武宗时立为皇太子叔，武宗死，由宦官拥立为帝，后服用长生药中毒而死</t>
  </si>
  <si>
    <t>李忱</t>
  </si>
  <si>
    <t>宣宗长子</t>
  </si>
  <si>
    <t>武宗时封郓王、宣宗死，宦官王实等矫诏，立以为皇太子，旋即位</t>
  </si>
  <si>
    <t>李凗</t>
  </si>
  <si>
    <t>懿宗第五子</t>
  </si>
  <si>
    <t>即位前封晋王，懿宗病死，宦官刘行深等杀懿宗年长诸子，立擐为皇太子，懿宗死，擐嗣位</t>
  </si>
  <si>
    <t>李擐</t>
  </si>
  <si>
    <t>懿宗第七子</t>
  </si>
  <si>
    <t>懿宗时封寿王，僖宗病死，宦官杨复恭立晔为皇太弟，僖宗死，晔即位，天复四年（904年）朱全盅、忠逼帝迁都洛阳，同年八月杀之</t>
  </si>
  <si>
    <t>李晔</t>
  </si>
  <si>
    <t>天佑</t>
  </si>
  <si>
    <t>昭宗第九子</t>
  </si>
  <si>
    <t>乾宁时封辉王，天复四年（904年）八月，朱全忠杀宣帝，立祝为皇帝，天佑四年（907年）帝僤位于朱全忠，唐亡，帝被封为济阴王，次年被鸩杀</t>
  </si>
  <si>
    <t>李祝</t>
  </si>
  <si>
    <t>仲冬</t>
  </si>
  <si>
    <t xml:space="preserve">    农历十二个月的别称: 仲冬 仲冬, 辜月, 葭月.</t>
  </si>
  <si>
    <t>年七岁袭封唐国公。大业中任岐州辞史，荥阳与楼烦二郡太守、殿内少监、卫尉少卿，大业十三年（617年）任太原留守，同年五月起兵反隋，仲冬攻入长安，立杨帝孙代王杨侑为帝（恭帝），国号唐，改元武德</t>
  </si>
  <si>
    <t>月干支</t>
    <phoneticPr fontId="1" type="noConversion"/>
  </si>
  <si>
    <t>日干支计算</t>
    <phoneticPr fontId="1" type="noConversion"/>
  </si>
  <si>
    <t>时干支计算</t>
    <phoneticPr fontId="1" type="noConversion"/>
  </si>
  <si>
    <t>Name</t>
    <phoneticPr fontId="1" type="noConversion"/>
  </si>
  <si>
    <t>生肖</t>
    <phoneticPr fontId="1" type="noConversion"/>
  </si>
  <si>
    <t>MONTH</t>
    <phoneticPr fontId="1" type="noConversion"/>
  </si>
  <si>
    <t>月份</t>
    <phoneticPr fontId="1" type="noConversion"/>
  </si>
  <si>
    <t>每月天数</t>
    <phoneticPr fontId="1" type="noConversion"/>
  </si>
  <si>
    <t>Goes_By</t>
    <phoneticPr fontId="1" type="noConversion"/>
  </si>
  <si>
    <t>节气</t>
    <phoneticPr fontId="1" type="noConversion"/>
  </si>
  <si>
    <t>节气时差</t>
    <phoneticPr fontId="1" type="noConversion"/>
  </si>
  <si>
    <t>本年各节气时间</t>
    <phoneticPr fontId="1" type="noConversion"/>
  </si>
  <si>
    <t>农历月份</t>
    <phoneticPr fontId="1" type="noConversion"/>
  </si>
  <si>
    <t>公历节日</t>
    <phoneticPr fontId="1" type="noConversion"/>
  </si>
  <si>
    <t>始年</t>
    <phoneticPr fontId="1" type="noConversion"/>
  </si>
  <si>
    <t>农历节日</t>
    <phoneticPr fontId="1" type="noConversion"/>
  </si>
  <si>
    <t>农历初</t>
    <phoneticPr fontId="1" type="noConversion"/>
  </si>
  <si>
    <t>星期别</t>
    <phoneticPr fontId="1" type="noConversion"/>
  </si>
  <si>
    <t>年份列表</t>
    <phoneticPr fontId="1" type="noConversion"/>
  </si>
  <si>
    <t>时刻</t>
    <phoneticPr fontId="1" type="noConversion"/>
  </si>
  <si>
    <t>问候</t>
    <phoneticPr fontId="1" type="noConversion"/>
  </si>
  <si>
    <t>阴历月表</t>
    <phoneticPr fontId="1" type="noConversion"/>
  </si>
  <si>
    <t>小知识</t>
    <phoneticPr fontId="1" type="noConversion"/>
  </si>
  <si>
    <t>生肖图片组别</t>
    <phoneticPr fontId="1" type="noConversion"/>
  </si>
  <si>
    <t>起年</t>
    <phoneticPr fontId="1" type="noConversion"/>
  </si>
  <si>
    <t>止年</t>
    <phoneticPr fontId="1" type="noConversion"/>
  </si>
  <si>
    <t>七月</t>
    <phoneticPr fontId="1" type="noConversion"/>
  </si>
  <si>
    <t>天干</t>
    <phoneticPr fontId="1" type="noConversion"/>
  </si>
  <si>
    <t>J A N U A R Y</t>
    <phoneticPr fontId="1" type="noConversion"/>
  </si>
  <si>
    <t>除夕</t>
    <phoneticPr fontId="1" type="noConversion"/>
  </si>
  <si>
    <t>初一</t>
    <phoneticPr fontId="1" type="noConversion"/>
  </si>
  <si>
    <t>SUN</t>
    <phoneticPr fontId="1" type="noConversion"/>
  </si>
  <si>
    <t>腊月</t>
    <phoneticPr fontId="1" type="noConversion"/>
  </si>
  <si>
    <t>地支</t>
    <phoneticPr fontId="1" type="noConversion"/>
  </si>
  <si>
    <t>F E B R U A R Y</t>
    <phoneticPr fontId="1" type="noConversion"/>
  </si>
  <si>
    <t>冰雪节</t>
    <phoneticPr fontId="1" type="noConversion"/>
  </si>
  <si>
    <t>MON</t>
    <phoneticPr fontId="1" type="noConversion"/>
  </si>
  <si>
    <t>魏</t>
    <phoneticPr fontId="1" type="noConversion"/>
  </si>
  <si>
    <t>M A R C H</t>
    <phoneticPr fontId="1" type="noConversion"/>
  </si>
  <si>
    <t>二·七</t>
    <phoneticPr fontId="1" type="noConversion"/>
  </si>
  <si>
    <t>TUE</t>
    <phoneticPr fontId="1" type="noConversion"/>
  </si>
  <si>
    <t>时辰</t>
    <phoneticPr fontId="1" type="noConversion"/>
  </si>
  <si>
    <t>A P R I L</t>
    <phoneticPr fontId="1" type="noConversion"/>
  </si>
  <si>
    <t>龙头节</t>
    <phoneticPr fontId="1" type="noConversion"/>
  </si>
  <si>
    <t>WED</t>
    <phoneticPr fontId="1" type="noConversion"/>
  </si>
  <si>
    <t>M A Y</t>
    <phoneticPr fontId="1" type="noConversion"/>
  </si>
  <si>
    <t>学雷锋</t>
    <phoneticPr fontId="1" type="noConversion"/>
  </si>
  <si>
    <t>插花节</t>
    <phoneticPr fontId="1" type="noConversion"/>
  </si>
  <si>
    <t>THU</t>
    <phoneticPr fontId="1" type="noConversion"/>
  </si>
  <si>
    <t>J U N E</t>
    <phoneticPr fontId="1" type="noConversion"/>
  </si>
  <si>
    <t>妇女节</t>
    <phoneticPr fontId="1" type="noConversion"/>
  </si>
  <si>
    <t>上巳节</t>
    <phoneticPr fontId="1" type="noConversion"/>
  </si>
  <si>
    <t>FRI</t>
    <phoneticPr fontId="1" type="noConversion"/>
  </si>
  <si>
    <t>无</t>
    <phoneticPr fontId="1" type="noConversion"/>
  </si>
  <si>
    <t>J U L Y</t>
    <phoneticPr fontId="1" type="noConversion"/>
  </si>
  <si>
    <t>植树节</t>
    <phoneticPr fontId="1" type="noConversion"/>
  </si>
  <si>
    <t>转山会</t>
    <phoneticPr fontId="1" type="noConversion"/>
  </si>
  <si>
    <t>SAT</t>
    <phoneticPr fontId="1" type="noConversion"/>
  </si>
  <si>
    <t>北魏</t>
    <phoneticPr fontId="1" type="noConversion"/>
  </si>
  <si>
    <t>上月天数</t>
    <phoneticPr fontId="1" type="noConversion"/>
  </si>
  <si>
    <t>A U G U S T</t>
    <phoneticPr fontId="1" type="noConversion"/>
  </si>
  <si>
    <t>消权日</t>
    <phoneticPr fontId="1" type="noConversion"/>
  </si>
  <si>
    <t>南宋</t>
    <phoneticPr fontId="1" type="noConversion"/>
  </si>
  <si>
    <t>月首星期数</t>
    <phoneticPr fontId="1" type="noConversion"/>
  </si>
  <si>
    <t>S E P T E M B E R</t>
    <phoneticPr fontId="1" type="noConversion"/>
  </si>
  <si>
    <t>气象日</t>
    <phoneticPr fontId="1" type="noConversion"/>
  </si>
  <si>
    <t>达玛节</t>
    <phoneticPr fontId="1" type="noConversion"/>
  </si>
  <si>
    <t xml:space="preserve">    小寒: 冷气积久而为寒, 是天气寒冷还没有到极点的意思.太阳黄经为 285 度, 进入寒冬腊月.</t>
    <phoneticPr fontId="1" type="noConversion"/>
  </si>
  <si>
    <t>英文月份</t>
    <phoneticPr fontId="1" type="noConversion"/>
  </si>
  <si>
    <t>O C T O B E R</t>
    <phoneticPr fontId="1" type="noConversion"/>
  </si>
  <si>
    <t>愚人节</t>
    <phoneticPr fontId="1" type="noConversion"/>
  </si>
  <si>
    <t>火把节</t>
    <phoneticPr fontId="1" type="noConversion"/>
  </si>
  <si>
    <t xml:space="preserve">    大寒: 冷到极点.太阳黄经为 300 度, 大寒是天气寒冷到了极点的意思, 是一年中最冷的季节.谚曰:  "冷在三九" , 又 "一九二九, 滴水不流；三九四九, 冻破缸臼" .冬至起每隔九天数作一九, 大寒正在四九. </t>
    <phoneticPr fontId="1" type="noConversion"/>
  </si>
  <si>
    <t>Map_Row</t>
    <phoneticPr fontId="1" type="noConversion"/>
  </si>
  <si>
    <t>N O V E M B E R</t>
    <phoneticPr fontId="1" type="noConversion"/>
  </si>
  <si>
    <t>卫生日</t>
    <phoneticPr fontId="1" type="noConversion"/>
  </si>
  <si>
    <t>女儿节</t>
    <phoneticPr fontId="1" type="noConversion"/>
  </si>
  <si>
    <t xml:space="preserve">    立春: 立即是见, 春是蠢动, 是植物开始有生气的意思, 这一天是春天的开始.太阳黄经 315 度, 二十四节气的头一个, 象征春天的开始, 此时万物苏醒, 大地回春, 为便于记忆, 有二十四节气歌曰:  "春雨惊春清谷天, 夏满芒夏二暑连, 秋处露秋寒霜降, 冬雪雪冬小大寒" , 在阳历里, 每月两节日期定, 最多相差一二天, 上半年来六廿一, 下半年来八廿三.</t>
    <phoneticPr fontId="1" type="noConversion"/>
  </si>
  <si>
    <t>Map_Column</t>
    <phoneticPr fontId="1" type="noConversion"/>
  </si>
  <si>
    <t>D E C E M B E R</t>
    <phoneticPr fontId="1" type="noConversion"/>
  </si>
  <si>
    <t>地球日</t>
    <phoneticPr fontId="1" type="noConversion"/>
  </si>
  <si>
    <t xml:space="preserve">    雨水: 雨水较多.太阳黄经330 度,  "雨水" 意味着从这以后, 我国广大地区将停止降雪, 开始下雨.黄河流域平均每年三月初终雪, 初雨期一般在二月中旬 ( 个别年份, 也有推迟雪期和初雨期的 ).到了雨水节, 由于暖温的东南季风开始登陆, 雨水逐渐增多.</t>
    <phoneticPr fontId="1" type="noConversion"/>
  </si>
  <si>
    <t>农历初始日期</t>
    <phoneticPr fontId="1" type="noConversion"/>
  </si>
  <si>
    <t>劳动节</t>
    <phoneticPr fontId="1" type="noConversion"/>
  </si>
  <si>
    <t xml:space="preserve">    惊蛰: 春雷响动, 惊动万物, 这一天起冬眠生物将醒.太阳黄经为 345 度, 开始打雷, 气温地温渐渐升高, 土地已解冻, 春耕开始, 蛰伏地下的昆虫和小动物开始出土活动.谚曰:  "过了惊蛰节, 耕田不停歇" .</t>
    <phoneticPr fontId="1" type="noConversion"/>
  </si>
  <si>
    <t>跨度</t>
    <phoneticPr fontId="1" type="noConversion"/>
  </si>
  <si>
    <t xml:space="preserve">    春分: 这一天昼夜平分.太阳黄经为 0 度, 春分, 秋分古时统称日夜分, 即昼夜相等的节气是春秋两季的中间.春分这一天, 太阳直射赤道, 南北半球昼夜平分, 在各地太阳都从正东升起, 正西落下.</t>
    <phoneticPr fontId="1" type="noConversion"/>
  </si>
  <si>
    <t>系统误差</t>
    <phoneticPr fontId="1" type="noConversion"/>
  </si>
  <si>
    <t>护士节</t>
    <phoneticPr fontId="1" type="noConversion"/>
  </si>
  <si>
    <t xml:space="preserve">    清明: 明洁的意思.这一天起草木萌芽.太阳黄经为 15 度, 气温转暖, 草木萌动.天气清澈明朗, 万物欣欣向荣, 各地有扫墓栽柳等习俗.</t>
    <phoneticPr fontId="1" type="noConversion"/>
  </si>
  <si>
    <t>节气初始时刻</t>
    <phoneticPr fontId="1" type="noConversion"/>
  </si>
  <si>
    <t>助残日</t>
    <phoneticPr fontId="1" type="noConversion"/>
  </si>
  <si>
    <t xml:space="preserve">    谷雨: 雨生百谷的意思.这一天起雨水加多.太阳黄经为 30 度, 雨量渐增, 适于谷物生长, 即 "雨生百谷" 的意思.谚曰:  "谷雨前后, 种瓜种豆" .</t>
    <phoneticPr fontId="1" type="noConversion"/>
  </si>
  <si>
    <t>节气跨度</t>
    <phoneticPr fontId="1" type="noConversion"/>
  </si>
  <si>
    <t>无烟日</t>
    <phoneticPr fontId="1" type="noConversion"/>
  </si>
  <si>
    <t xml:space="preserve">    立夏: 夏天的开始, 植物渐将借温暖的气候而生长.太阳黄经为 45 度, 春天已逝, 夏日开始, 气温显著增高, 炎暑将临, 雷雨增多, 进入夏忙季节.</t>
    <phoneticPr fontId="1" type="noConversion"/>
  </si>
  <si>
    <t>自转周期</t>
    <phoneticPr fontId="1" type="noConversion"/>
  </si>
  <si>
    <t>儿童节</t>
    <phoneticPr fontId="1" type="noConversion"/>
  </si>
  <si>
    <t xml:space="preserve">    小满: 小满指麦粒饱满.这一天起植物即呈欣欣向荣的景象.太阳黄经为 60 度, 从( 小满 )节开始, 我国从南到北, 大麦、冬小麦等夏收作物, 籽粒逐渐饱满, 普遍开始结实成熟, 南方已开始收获.</t>
    <phoneticPr fontId="1" type="noConversion"/>
  </si>
  <si>
    <t>贞观</t>
    <phoneticPr fontId="1" type="noConversion"/>
  </si>
  <si>
    <t>公转周期</t>
    <phoneticPr fontId="1" type="noConversion"/>
  </si>
  <si>
    <t>环璄日</t>
    <phoneticPr fontId="1" type="noConversion"/>
  </si>
  <si>
    <t xml:space="preserve">    芒种: 指麦种, 有芒.这一天起是播种最紧张的时机.太阳黄经为 75 度, 芒就是代表一些有芒的作物, 芒种表明小麦、大麦等有芒作物的成熟 ( 种就是种子的意思 ), 或表是晚谷、黍、稷等作物播种最忙的季节.</t>
    <phoneticPr fontId="1" type="noConversion"/>
  </si>
  <si>
    <t>永徽</t>
    <phoneticPr fontId="1" type="noConversion"/>
  </si>
  <si>
    <r>
      <t>速度</t>
    </r>
    <r>
      <rPr>
        <sz val="9"/>
        <rFont val="Times New Roman"/>
        <family val="1"/>
      </rPr>
      <t/>
    </r>
    <phoneticPr fontId="1" type="noConversion"/>
  </si>
  <si>
    <t>爱眼日</t>
    <phoneticPr fontId="1" type="noConversion"/>
  </si>
  <si>
    <t xml:space="preserve">    夏至: 至是极, 是日影长至终极的意思.这一天起开始炎热.太阳黄经为 90 度, 直射北回归线上空, 是北半球白昼最长, 黑夜最短的一天.谚曰:  "进入夏至六月天, 黄金季节要抢先"; "到了夏至节, 锄头不能歇" .</t>
    <phoneticPr fontId="1" type="noConversion"/>
  </si>
  <si>
    <t>光宅</t>
    <phoneticPr fontId="1" type="noConversion"/>
  </si>
  <si>
    <t>.</t>
    <phoneticPr fontId="1" type="noConversion"/>
  </si>
  <si>
    <t>禁毒日</t>
    <phoneticPr fontId="1" type="noConversion"/>
  </si>
  <si>
    <t xml:space="preserve">    小暑: 暑是炎热, 小暑就气候炎热而还没有到极点.太阳黄经为 150 度, 暑气上升.暑是炎热, 小暑是气候炎热而还没有到极点的意思.</t>
    <phoneticPr fontId="1" type="noConversion"/>
  </si>
  <si>
    <t>景龙</t>
    <phoneticPr fontId="1" type="noConversion"/>
  </si>
  <si>
    <t>朔望月</t>
    <phoneticPr fontId="1" type="noConversion"/>
  </si>
  <si>
    <t>建党节</t>
    <phoneticPr fontId="1" type="noConversion"/>
  </si>
  <si>
    <t xml:space="preserve">    大暑: 炎热到极点.太阳黄经为 120 度,  "暑" 是炎热的意思.小暑尚未达到最热, 大暑是一年中最热的节气.七月份进入汛期, 有 "小暑、大暑, 淹死老鼠" 的谚语, 就是说这两个节气雨水多, 要注意防洪排涝.</t>
    <phoneticPr fontId="1" type="noConversion"/>
  </si>
  <si>
    <t>景云</t>
    <phoneticPr fontId="1" type="noConversion"/>
  </si>
  <si>
    <t>本年</t>
    <phoneticPr fontId="1" type="noConversion"/>
  </si>
  <si>
    <t>人口日</t>
    <phoneticPr fontId="1" type="noConversion"/>
  </si>
  <si>
    <t xml:space="preserve">    立秋: 秋是植物快要成熟的意思.这一天起秋天开始.太阳黄经为 135 度, 秋是植物快成熟的意思, 这一天秋天开始, 秋高气爽, 月明风清, 此后, 气温由最热逐渐下降.</t>
    <phoneticPr fontId="1" type="noConversion"/>
  </si>
  <si>
    <t>开元</t>
    <phoneticPr fontId="1" type="noConversion"/>
  </si>
  <si>
    <t>本月</t>
    <phoneticPr fontId="1" type="noConversion"/>
  </si>
  <si>
    <t>冬至</t>
    <phoneticPr fontId="1" type="noConversion"/>
  </si>
  <si>
    <t>建军节</t>
    <phoneticPr fontId="1" type="noConversion"/>
  </si>
  <si>
    <t xml:space="preserve">    处暑: 处是结束, 是暑气将于这天结束.太阳黄经为 160 度, 大暑过后, 气温逐渐下降, 一般每候只降温半度左右, 由大暑到处暑前共降温不到 3 度, 而处暑后, 降温加剧, 一候即能降温 2 度左右, 因此处暑是一个比较明显的转折点, 是气候变凉的象征, 处暑表示暑天终止.</t>
    <phoneticPr fontId="1" type="noConversion"/>
  </si>
  <si>
    <t>至德</t>
    <phoneticPr fontId="1" type="noConversion"/>
  </si>
  <si>
    <t>本日</t>
    <phoneticPr fontId="1" type="noConversion"/>
  </si>
  <si>
    <t>扫肓日</t>
    <phoneticPr fontId="1" type="noConversion"/>
  </si>
  <si>
    <t xml:space="preserve">    白露: 地面水气凝结为露, 色白, 是天气开始转凉的意思.太阳黄经为 165 度, 天气逐渐转凉, 白天气温高, 晚上气温低, 形成露水.</t>
    <phoneticPr fontId="1" type="noConversion"/>
  </si>
  <si>
    <t>永泰</t>
    <phoneticPr fontId="1" type="noConversion"/>
  </si>
  <si>
    <t>教师节</t>
    <phoneticPr fontId="1" type="noConversion"/>
  </si>
  <si>
    <t xml:space="preserve">    秋分: 秋分三个月九十天的一半.这一天昼夜平分.太阳黄经为 180 度, 太阳由北半球越过天赤道, 回到南半球, 又一次直射赤道.白昼和黑夜再次等长.这天各地太阳都是从正东升起, 正西下落..</t>
    <phoneticPr fontId="1" type="noConversion"/>
  </si>
  <si>
    <t>贞元</t>
    <phoneticPr fontId="1" type="noConversion"/>
  </si>
  <si>
    <t>分</t>
    <phoneticPr fontId="1" type="noConversion"/>
  </si>
  <si>
    <t>九一八</t>
    <phoneticPr fontId="1" type="noConversion"/>
  </si>
  <si>
    <t xml:space="preserve">    寒露: 寒是露之气, 先白而后寒, 是气候将逐渐转冷的意思.太阳黄经为 195 度, 正是 "已凉天气未寒时" , 露华渐浓, 草木枯萎.</t>
    <phoneticPr fontId="1" type="noConversion"/>
  </si>
  <si>
    <t>阴历年</t>
    <phoneticPr fontId="1" type="noConversion"/>
  </si>
  <si>
    <t>爱牙日</t>
    <phoneticPr fontId="1" type="noConversion"/>
  </si>
  <si>
    <t xml:space="preserve">    霜降: 见霜.太阳黄经为 210 度, 天气将寒, 露积为霜, 正是三秋农忙季节.谚云:  "抢秋抢秋, 不收就丢" .</t>
    <phoneticPr fontId="1" type="noConversion"/>
  </si>
  <si>
    <t>阴历月</t>
    <phoneticPr fontId="1" type="noConversion"/>
  </si>
  <si>
    <t>旅游日</t>
    <phoneticPr fontId="1" type="noConversion"/>
  </si>
  <si>
    <t xml:space="preserve">    立冬: 冬就是终了, 是作物收割后要收藏起来的意思. 这一天起冬天开始.太阳黄经为 225 度, 冬季, 一天比一天冷, 北方正忙于准备过冬防寒措施.</t>
    <phoneticPr fontId="1" type="noConversion"/>
  </si>
  <si>
    <t>长庆</t>
    <phoneticPr fontId="1" type="noConversion"/>
  </si>
  <si>
    <t xml:space="preserve">    小雪: 降雪还不多. 太阳黄经为 240, 气温下降, 开始降雪, 北方已到封冻季节, 谚曰: "小雪雪满天, 来岁必丰年" .</t>
    <phoneticPr fontId="1" type="noConversion"/>
  </si>
  <si>
    <t>宝历</t>
    <phoneticPr fontId="1" type="noConversion"/>
  </si>
  <si>
    <t>月历插图显示否</t>
    <phoneticPr fontId="1" type="noConversion"/>
  </si>
  <si>
    <t>邮政日</t>
    <phoneticPr fontId="1" type="noConversion"/>
  </si>
  <si>
    <t xml:space="preserve">    大雪: 雪将由小至大.太阳黄经为 255, 气温继续下降, 地面积雪, 北方河塘开始封冰."副业生产冬天搞, 莫去农闲空过了." </t>
    <phoneticPr fontId="1" type="noConversion"/>
  </si>
  <si>
    <t>开成</t>
    <phoneticPr fontId="1" type="noConversion"/>
  </si>
  <si>
    <t>查询状态</t>
    <phoneticPr fontId="1" type="noConversion"/>
  </si>
  <si>
    <t xml:space="preserve">    冬至: 日影已短至终极, 开始日长. 这一天起寒冷降临.太阳黄经为 270, 开始进入数九寒天.太阳直射南回归线, 这一天是我们北半球白昼最短, 黑夜最长的一天.从今后, 北半球的白天就逐渐长了, 日出日落的方向也逐渐北移.</t>
    <phoneticPr fontId="1" type="noConversion"/>
  </si>
  <si>
    <t>会昌</t>
    <phoneticPr fontId="1" type="noConversion"/>
  </si>
  <si>
    <t>隆临节</t>
    <phoneticPr fontId="1" type="noConversion"/>
  </si>
  <si>
    <t>大中</t>
    <phoneticPr fontId="1" type="noConversion"/>
  </si>
  <si>
    <t>咸通</t>
    <phoneticPr fontId="1" type="noConversion"/>
  </si>
  <si>
    <t>母亲节</t>
    <phoneticPr fontId="1" type="noConversion"/>
  </si>
  <si>
    <t>乾符</t>
    <phoneticPr fontId="1" type="noConversion"/>
  </si>
  <si>
    <t>父亲节</t>
    <phoneticPr fontId="1" type="noConversion"/>
  </si>
  <si>
    <t>文德</t>
    <phoneticPr fontId="1" type="noConversion"/>
  </si>
  <si>
    <t>在查日期</t>
    <phoneticPr fontId="1" type="noConversion"/>
  </si>
  <si>
    <t>标题文本</t>
    <phoneticPr fontId="1" type="noConversion"/>
  </si>
  <si>
    <t>在查阴历</t>
    <phoneticPr fontId="1" type="noConversion"/>
  </si>
  <si>
    <t>Display_Year</t>
    <phoneticPr fontId="1" type="noConversion"/>
  </si>
  <si>
    <t>年号</t>
    <phoneticPr fontId="1" type="noConversion"/>
  </si>
  <si>
    <t>年号表达式</t>
    <phoneticPr fontId="1" type="noConversion"/>
  </si>
  <si>
    <t>HighLight</t>
    <phoneticPr fontId="1" type="noConversion"/>
  </si>
  <si>
    <t>民国</t>
    <phoneticPr fontId="1" type="noConversion"/>
  </si>
  <si>
    <t>年干支</t>
    <phoneticPr fontId="1" type="noConversion"/>
  </si>
  <si>
    <t>时间列</t>
    <phoneticPr fontId="1" type="noConversion"/>
  </si>
  <si>
    <t>阴历月pnt</t>
    <phoneticPr fontId="1" type="noConversion"/>
  </si>
  <si>
    <t>阴历本月</t>
    <phoneticPr fontId="1" type="noConversion"/>
  </si>
  <si>
    <t>阴历下月</t>
    <phoneticPr fontId="1" type="noConversion"/>
  </si>
  <si>
    <t>阴历下下月</t>
    <phoneticPr fontId="1" type="noConversion"/>
  </si>
  <si>
    <r>
      <t>本月节气</t>
    </r>
    <r>
      <rPr>
        <sz val="9"/>
        <rFont val="Times New Roman"/>
        <family val="1"/>
      </rPr>
      <t>1</t>
    </r>
    <phoneticPr fontId="1" type="noConversion"/>
  </si>
  <si>
    <r>
      <t>本月节气</t>
    </r>
    <r>
      <rPr>
        <sz val="9"/>
        <rFont val="Times New Roman"/>
        <family val="1"/>
      </rPr>
      <t>2</t>
    </r>
    <r>
      <rPr>
        <sz val="12"/>
        <rFont val="宋体"/>
        <charset val="134"/>
      </rPr>
      <t/>
    </r>
  </si>
  <si>
    <t>用橢圓軌道公式求出24節氣</t>
  </si>
  <si>
    <t>Ai</t>
  </si>
  <si>
    <t>Bi</t>
  </si>
  <si>
    <t>θ 的加值 (間距15° )</t>
  </si>
  <si>
    <t>t(θ)值</t>
  </si>
  <si>
    <t>Ci</t>
  </si>
  <si>
    <t>Math 值</t>
  </si>
  <si>
    <t>適用範圍</t>
  </si>
  <si>
    <t>西元 -500 年以前</t>
  </si>
  <si>
    <t xml:space="preserve"> -500 ~ +500 年間</t>
  </si>
  <si>
    <t>由面積定律可知，地球在繞日的軌道上，單位時間內掃過的面積是固定值，因此，在不同節氣內，地球的運行速度是不同的，在近日點附近的速度較快，在遠日點附近的速度較慢。</t>
  </si>
  <si>
    <t>穀雨</t>
  </si>
  <si>
    <t xml:space="preserve"> +500 ~ +1600 年間</t>
  </si>
  <si>
    <t xml:space="preserve"> +1600 ~ +1700 年間</t>
  </si>
  <si>
    <t>在方程式</t>
  </si>
  <si>
    <t>小滿</t>
  </si>
  <si>
    <t xml:space="preserve"> +1700 ~ +1800 年間</t>
  </si>
  <si>
    <t>芒種</t>
  </si>
  <si>
    <t xml:space="preserve"> +1800 ~ +1860 年間</t>
  </si>
  <si>
    <t xml:space="preserve"> +1860 ~ +1900 年間</t>
  </si>
  <si>
    <t xml:space="preserve"> +1900 ~ +1920 年間</t>
  </si>
  <si>
    <t xml:space="preserve"> +1920 ~ +1941 年間</t>
  </si>
  <si>
    <t xml:space="preserve"> +1941 ~ +1961 年間</t>
  </si>
  <si>
    <t>處暑</t>
  </si>
  <si>
    <t xml:space="preserve"> +1961 ~ +1986 年間</t>
  </si>
  <si>
    <t xml:space="preserve"> +1986 ~ +2005 年間</t>
  </si>
  <si>
    <t xml:space="preserve"> +2005 ~ +2050 年間</t>
  </si>
  <si>
    <t>我們可以將此表示式改寫為一面積之積分式</t>
  </si>
  <si>
    <t xml:space="preserve"> +2050 ~ +2150 年間</t>
  </si>
  <si>
    <t xml:space="preserve"> +2150  ~</t>
  </si>
  <si>
    <t>冬至</t>
  </si>
  <si>
    <t>驚蟄</t>
  </si>
  <si>
    <t>將方程式</t>
  </si>
  <si>
    <t>代入，則</t>
  </si>
  <si>
    <t>上式中利用到解微分方程的公式：</t>
  </si>
  <si>
    <t xml:space="preserve">  </t>
  </si>
  <si>
    <t>原式可簡化為</t>
  </si>
  <si>
    <t>用前一節中得到的公式求出指定年春分點的近點角δ</t>
  </si>
  <si>
    <t>春分點的近點角δ(t)</t>
    <phoneticPr fontId="33" type="noConversion"/>
  </si>
  <si>
    <t>天文與曆法 ( -7000 ~ 7000 )</t>
    <phoneticPr fontId="26" type="noConversion"/>
  </si>
  <si>
    <r>
      <t>以春分點為起點，可在軌道上每隔</t>
    </r>
    <r>
      <rPr>
        <sz val="14"/>
        <color indexed="8"/>
        <rFont val="Times New Roman"/>
        <family val="1"/>
      </rPr>
      <t>15</t>
    </r>
    <r>
      <rPr>
        <sz val="14"/>
        <color indexed="8"/>
        <rFont val="PMingLiU"/>
        <family val="1"/>
        <charset val="136"/>
      </rPr>
      <t>度取一個點，將軌道劃分為</t>
    </r>
    <r>
      <rPr>
        <sz val="14"/>
        <color indexed="8"/>
        <rFont val="Times New Roman"/>
        <family val="1"/>
      </rPr>
      <t>24</t>
    </r>
    <r>
      <rPr>
        <sz val="14"/>
        <color indexed="8"/>
        <rFont val="PMingLiU"/>
        <family val="1"/>
        <charset val="136"/>
      </rPr>
      <t>個區，這</t>
    </r>
    <r>
      <rPr>
        <sz val="14"/>
        <color indexed="8"/>
        <rFont val="Times New Roman"/>
        <family val="1"/>
      </rPr>
      <t>24</t>
    </r>
    <r>
      <rPr>
        <sz val="14"/>
        <color indexed="8"/>
        <rFont val="PMingLiU"/>
        <family val="1"/>
        <charset val="136"/>
      </rPr>
      <t>個區就是</t>
    </r>
    <r>
      <rPr>
        <sz val="14"/>
        <color indexed="8"/>
        <rFont val="Times New Roman"/>
        <family val="1"/>
      </rPr>
      <t>24</t>
    </r>
    <r>
      <rPr>
        <sz val="14"/>
        <color indexed="8"/>
        <rFont val="PMingLiU"/>
        <family val="1"/>
        <charset val="136"/>
      </rPr>
      <t>節氣。由軌道圖</t>
    </r>
    <r>
      <rPr>
        <sz val="14"/>
        <color indexed="8"/>
        <rFont val="Times New Roman"/>
        <family val="1"/>
      </rPr>
      <t>(</t>
    </r>
    <r>
      <rPr>
        <sz val="14"/>
        <color indexed="8"/>
        <rFont val="PMingLiU"/>
        <family val="1"/>
        <charset val="136"/>
      </rPr>
      <t>此圖將偏心率誇大以方便觀察</t>
    </r>
    <r>
      <rPr>
        <sz val="14"/>
        <color indexed="8"/>
        <rFont val="Times New Roman"/>
        <family val="1"/>
      </rPr>
      <t>)</t>
    </r>
    <r>
      <rPr>
        <sz val="14"/>
        <color indexed="8"/>
        <rFont val="PMingLiU"/>
        <family val="1"/>
        <charset val="136"/>
      </rPr>
      <t>中可看出每一節氣的路徑長是不同的。</t>
    </r>
  </si>
  <si>
    <t>春分點JD值 (儒略日)</t>
    <phoneticPr fontId="26" type="noConversion"/>
  </si>
  <si>
    <t>911查詢 -- 二十四节气表 ( 0 ~ 5000 )</t>
    <phoneticPr fontId="26" type="noConversion"/>
  </si>
  <si>
    <t>夏至點JD值 (儒略日)</t>
    <phoneticPr fontId="26" type="noConversion"/>
  </si>
  <si>
    <t>寿星天文历(天文历书工具軟體下載) ( -4713 ~ 9999 )</t>
    <phoneticPr fontId="26" type="noConversion"/>
  </si>
  <si>
    <t>秋分點JD值 (儒略日)</t>
    <phoneticPr fontId="26" type="noConversion"/>
  </si>
  <si>
    <t>冬至點JD值 (儒略日)</t>
    <phoneticPr fontId="26" type="noConversion"/>
  </si>
  <si>
    <t>對於有關24節氣的相關資訊有興趣的網友可至以上三個網站參觀</t>
    <phoneticPr fontId="26" type="noConversion"/>
  </si>
  <si>
    <r>
      <rPr>
        <b/>
        <sz val="24"/>
        <color indexed="8"/>
        <rFont val="新細明體"/>
        <family val="1"/>
        <charset val="136"/>
      </rPr>
      <t>τ</t>
    </r>
    <r>
      <rPr>
        <sz val="16"/>
        <color indexed="8"/>
        <rFont val="新細明體"/>
        <family val="1"/>
        <charset val="136"/>
      </rPr>
      <t xml:space="preserve"> </t>
    </r>
    <r>
      <rPr>
        <sz val="16"/>
        <color indexed="8"/>
        <rFont val="標楷體"/>
        <family val="4"/>
        <charset val="136"/>
      </rPr>
      <t>(回歸年週期)</t>
    </r>
    <phoneticPr fontId="26" type="noConversion"/>
  </si>
  <si>
    <r>
      <t>其中</t>
    </r>
    <r>
      <rPr>
        <sz val="22"/>
        <color indexed="10"/>
        <rFont val="標楷體"/>
        <family val="4"/>
        <charset val="136"/>
      </rPr>
      <t>天文與曆法網站</t>
    </r>
    <r>
      <rPr>
        <sz val="22"/>
        <color indexed="8"/>
        <rFont val="標楷體"/>
        <family val="4"/>
        <charset val="136"/>
      </rPr>
      <t>是本EXCEL檔的主要參考資訊及公式來源</t>
    </r>
    <phoneticPr fontId="26" type="noConversion"/>
  </si>
  <si>
    <t xml:space="preserve">τ/ 2π  </t>
    <phoneticPr fontId="26" type="noConversion"/>
  </si>
  <si>
    <t>本函數所計算出來的節氣時間點在 -1000 ~ 3000 年間</t>
    <phoneticPr fontId="26" type="noConversion"/>
  </si>
  <si>
    <r>
      <t>自刻卜勒所繪出的地球軌道可明顯地看出</t>
    </r>
    <r>
      <rPr>
        <sz val="14"/>
        <color indexed="8"/>
        <rFont val="Times New Roman"/>
        <family val="1"/>
      </rPr>
      <t>,</t>
    </r>
    <r>
      <rPr>
        <sz val="14"/>
        <color indexed="8"/>
        <rFont val="PMingLiU"/>
        <family val="1"/>
        <charset val="136"/>
      </rPr>
      <t>當地球與太陽最接近時其運動速度最快</t>
    </r>
    <r>
      <rPr>
        <sz val="14"/>
        <color indexed="8"/>
        <rFont val="Times New Roman"/>
        <family val="1"/>
      </rPr>
      <t>.</t>
    </r>
    <r>
      <rPr>
        <sz val="14"/>
        <color indexed="8"/>
        <rFont val="PMingLiU"/>
        <family val="1"/>
        <charset val="136"/>
      </rPr>
      <t>下面的圖中顯示地球軌道的</t>
    </r>
    <r>
      <rPr>
        <sz val="14"/>
        <color indexed="8"/>
        <rFont val="Times New Roman"/>
        <family val="1"/>
      </rPr>
      <t>(</t>
    </r>
    <r>
      <rPr>
        <sz val="14"/>
        <color indexed="8"/>
        <rFont val="PMingLiU"/>
        <family val="1"/>
        <charset val="136"/>
      </rPr>
      <t>經誇大的</t>
    </r>
    <r>
      <rPr>
        <sz val="14"/>
        <color indexed="8"/>
        <rFont val="Times New Roman"/>
        <family val="1"/>
      </rPr>
      <t>)</t>
    </r>
    <r>
      <rPr>
        <sz val="14"/>
        <color indexed="8"/>
        <rFont val="PMingLiU"/>
        <family val="1"/>
        <charset val="136"/>
      </rPr>
      <t>二極端部份。</t>
    </r>
  </si>
  <si>
    <t>與壽星天文曆或911查詢(兩者應該是出自同一程式計算結果)</t>
    <phoneticPr fontId="26" type="noConversion"/>
  </si>
  <si>
    <t>相差在5分鐘之內至於是誰較準我也無法查證畢竟我並非天文方面的專家</t>
    <phoneticPr fontId="26" type="noConversion"/>
  </si>
  <si>
    <t>i</t>
    <phoneticPr fontId="26" type="noConversion"/>
  </si>
  <si>
    <t>我只是提供24節氣查詢結果的另一種選擇--&gt;EXCEL函數</t>
    <phoneticPr fontId="26" type="noConversion"/>
  </si>
  <si>
    <t>Year = Year+(month-0.5)/12</t>
    <phoneticPr fontId="26" type="noConversion"/>
  </si>
  <si>
    <r>
      <t>在軌道上相鄰二點間所歷之時間是相等的</t>
    </r>
    <r>
      <rPr>
        <sz val="14"/>
        <color indexed="8"/>
        <rFont val="Times New Roman"/>
        <family val="1"/>
      </rPr>
      <t>,</t>
    </r>
    <r>
      <rPr>
        <sz val="14"/>
        <color indexed="8"/>
        <rFont val="PMingLiU"/>
        <family val="1"/>
        <charset val="136"/>
      </rPr>
      <t>因此</t>
    </r>
    <r>
      <rPr>
        <sz val="14"/>
        <color indexed="8"/>
        <rFont val="Times New Roman"/>
        <family val="1"/>
      </rPr>
      <t>,</t>
    </r>
    <r>
      <rPr>
        <sz val="14"/>
        <color indexed="8"/>
        <rFont val="PMingLiU"/>
        <family val="1"/>
        <charset val="136"/>
      </rPr>
      <t>自</t>
    </r>
    <r>
      <rPr>
        <sz val="14"/>
        <color indexed="8"/>
        <rFont val="Times New Roman"/>
        <family val="1"/>
      </rPr>
      <t>A</t>
    </r>
    <r>
      <rPr>
        <sz val="14"/>
        <color indexed="8"/>
        <rFont val="PMingLiU"/>
        <family val="1"/>
        <charset val="136"/>
      </rPr>
      <t>到</t>
    </r>
    <r>
      <rPr>
        <sz val="14"/>
        <color indexed="8"/>
        <rFont val="Times New Roman"/>
        <family val="1"/>
      </rPr>
      <t>B</t>
    </r>
    <r>
      <rPr>
        <sz val="14"/>
        <color indexed="8"/>
        <rFont val="PMingLiU"/>
        <family val="1"/>
        <charset val="136"/>
      </rPr>
      <t>所歷之時間與自</t>
    </r>
    <r>
      <rPr>
        <sz val="14"/>
        <color indexed="8"/>
        <rFont val="Times New Roman"/>
        <family val="1"/>
      </rPr>
      <t>C</t>
    </r>
    <r>
      <rPr>
        <sz val="14"/>
        <color indexed="8"/>
        <rFont val="PMingLiU"/>
        <family val="1"/>
        <charset val="136"/>
      </rPr>
      <t>到</t>
    </r>
    <r>
      <rPr>
        <sz val="14"/>
        <color indexed="8"/>
        <rFont val="Times New Roman"/>
        <family val="1"/>
      </rPr>
      <t>D</t>
    </r>
    <r>
      <rPr>
        <sz val="14"/>
        <color indexed="8"/>
        <rFont val="PMingLiU"/>
        <family val="1"/>
        <charset val="136"/>
      </rPr>
      <t>所歷者相等</t>
    </r>
    <r>
      <rPr>
        <sz val="14"/>
        <color indexed="8"/>
        <rFont val="Times New Roman"/>
        <family val="1"/>
      </rPr>
      <t>.</t>
    </r>
    <r>
      <rPr>
        <sz val="14"/>
        <color indexed="8"/>
        <rFont val="PMingLiU"/>
        <family val="1"/>
        <charset val="136"/>
      </rPr>
      <t>因為自</t>
    </r>
    <r>
      <rPr>
        <sz val="14"/>
        <color indexed="8"/>
        <rFont val="Times New Roman"/>
        <family val="1"/>
      </rPr>
      <t>A</t>
    </r>
    <r>
      <rPr>
        <sz val="14"/>
        <color indexed="8"/>
        <rFont val="PMingLiU"/>
        <family val="1"/>
        <charset val="136"/>
      </rPr>
      <t>到</t>
    </r>
    <r>
      <rPr>
        <sz val="14"/>
        <color indexed="8"/>
        <rFont val="Times New Roman"/>
        <family val="1"/>
      </rPr>
      <t>B</t>
    </r>
    <r>
      <rPr>
        <sz val="14"/>
        <color indexed="8"/>
        <rFont val="PMingLiU"/>
        <family val="1"/>
        <charset val="136"/>
      </rPr>
      <t>的距離較大</t>
    </r>
    <r>
      <rPr>
        <sz val="14"/>
        <color indexed="8"/>
        <rFont val="Times New Roman"/>
        <family val="1"/>
      </rPr>
      <t>,</t>
    </r>
    <r>
      <rPr>
        <sz val="14"/>
        <color indexed="8"/>
        <rFont val="PMingLiU"/>
        <family val="1"/>
        <charset val="136"/>
      </rPr>
      <t>所以在這一段距離內</t>
    </r>
    <r>
      <rPr>
        <sz val="14"/>
        <color indexed="8"/>
        <rFont val="Times New Roman"/>
        <family val="1"/>
      </rPr>
      <t>,</t>
    </r>
    <r>
      <rPr>
        <sz val="14"/>
        <color indexed="8"/>
        <rFont val="PMingLiU"/>
        <family val="1"/>
        <charset val="136"/>
      </rPr>
      <t>地球之運動速度較快</t>
    </r>
    <r>
      <rPr>
        <sz val="14"/>
        <color indexed="8"/>
        <rFont val="Times New Roman"/>
        <family val="1"/>
      </rPr>
      <t>;</t>
    </r>
    <r>
      <rPr>
        <sz val="14"/>
        <color indexed="8"/>
        <rFont val="PMingLiU"/>
        <family val="1"/>
        <charset val="136"/>
      </rPr>
      <t>自</t>
    </r>
    <r>
      <rPr>
        <sz val="14"/>
        <color indexed="8"/>
        <rFont val="Times New Roman"/>
        <family val="1"/>
      </rPr>
      <t>C</t>
    </r>
    <r>
      <rPr>
        <sz val="14"/>
        <color indexed="8"/>
        <rFont val="PMingLiU"/>
        <family val="1"/>
        <charset val="136"/>
      </rPr>
      <t>到</t>
    </r>
    <r>
      <rPr>
        <sz val="14"/>
        <color indexed="8"/>
        <rFont val="Times New Roman"/>
        <family val="1"/>
      </rPr>
      <t>D</t>
    </r>
    <r>
      <rPr>
        <sz val="14"/>
        <color indexed="8"/>
        <rFont val="PMingLiU"/>
        <family val="1"/>
        <charset val="136"/>
      </rPr>
      <t>的距離較小</t>
    </r>
    <r>
      <rPr>
        <sz val="14"/>
        <color indexed="8"/>
        <rFont val="Times New Roman"/>
        <family val="1"/>
      </rPr>
      <t xml:space="preserve">, </t>
    </r>
    <r>
      <rPr>
        <sz val="14"/>
        <color indexed="8"/>
        <rFont val="PMingLiU"/>
        <family val="1"/>
        <charset val="136"/>
      </rPr>
      <t>所以在這一段距離內</t>
    </r>
    <r>
      <rPr>
        <sz val="14"/>
        <color indexed="8"/>
        <rFont val="Times New Roman"/>
        <family val="1"/>
      </rPr>
      <t>,</t>
    </r>
    <r>
      <rPr>
        <sz val="14"/>
        <color indexed="8"/>
        <rFont val="PMingLiU"/>
        <family val="1"/>
        <charset val="136"/>
      </rPr>
      <t>地球之運動速度較慢</t>
    </r>
    <r>
      <rPr>
        <sz val="14"/>
        <color indexed="8"/>
        <rFont val="Times New Roman"/>
        <family val="1"/>
      </rPr>
      <t>.</t>
    </r>
    <r>
      <rPr>
        <sz val="14"/>
        <color indexed="8"/>
        <rFont val="PMingLiU"/>
        <family val="1"/>
        <charset val="136"/>
      </rPr>
      <t>不過</t>
    </r>
    <r>
      <rPr>
        <sz val="14"/>
        <color indexed="8"/>
        <rFont val="Times New Roman"/>
        <family val="1"/>
      </rPr>
      <t>,</t>
    </r>
    <r>
      <rPr>
        <sz val="14"/>
        <color indexed="8"/>
        <rFont val="PMingLiU"/>
        <family val="1"/>
        <charset val="136"/>
      </rPr>
      <t>刻卜勒看出</t>
    </r>
    <r>
      <rPr>
        <sz val="14"/>
        <color indexed="8"/>
        <rFont val="Times New Roman"/>
        <family val="1"/>
      </rPr>
      <t>:</t>
    </r>
    <r>
      <rPr>
        <sz val="14"/>
        <color indexed="8"/>
        <rFont val="PMingLiU"/>
        <family val="1"/>
        <charset val="136"/>
      </rPr>
      <t>這二段不等的距離對太陽所展的面積卻是相等的</t>
    </r>
    <r>
      <rPr>
        <sz val="14"/>
        <color indexed="8"/>
        <rFont val="Times New Roman"/>
        <family val="1"/>
      </rPr>
      <t>.</t>
    </r>
    <r>
      <rPr>
        <sz val="14"/>
        <color indexed="8"/>
        <rFont val="PMingLiU"/>
        <family val="1"/>
        <charset val="136"/>
      </rPr>
      <t>這使得刻卜勒相信</t>
    </r>
    <r>
      <rPr>
        <sz val="14"/>
        <color indexed="8"/>
        <rFont val="Times New Roman"/>
        <family val="1"/>
      </rPr>
      <t>:</t>
    </r>
    <r>
      <rPr>
        <sz val="14"/>
        <color indexed="8"/>
        <rFont val="PMingLiU"/>
        <family val="1"/>
        <charset val="136"/>
      </rPr>
      <t>行星在沿著其軌道而運動時</t>
    </r>
    <r>
      <rPr>
        <sz val="14"/>
        <color indexed="8"/>
        <rFont val="Times New Roman"/>
        <family val="1"/>
      </rPr>
      <t>,</t>
    </r>
    <r>
      <rPr>
        <sz val="14"/>
        <color indexed="8"/>
        <rFont val="PMingLiU"/>
        <family val="1"/>
        <charset val="136"/>
      </rPr>
      <t>它與太陽的連線在相等的時間內所掃過的面積相等</t>
    </r>
    <r>
      <rPr>
        <sz val="14"/>
        <color indexed="8"/>
        <rFont val="Times New Roman"/>
        <family val="1"/>
      </rPr>
      <t>.</t>
    </r>
    <r>
      <rPr>
        <sz val="14"/>
        <color indexed="8"/>
        <rFont val="PMingLiU"/>
        <family val="1"/>
        <charset val="136"/>
      </rPr>
      <t>此即刻卜勒第二定律</t>
    </r>
    <r>
      <rPr>
        <sz val="14"/>
        <color indexed="8"/>
        <rFont val="Times New Roman"/>
        <family val="1"/>
      </rPr>
      <t>(Kepler's second law),</t>
    </r>
    <r>
      <rPr>
        <sz val="14"/>
        <color indexed="8"/>
        <rFont val="PMingLiU"/>
        <family val="1"/>
        <charset val="136"/>
      </rPr>
      <t>也稱為面積定律</t>
    </r>
    <r>
      <rPr>
        <sz val="14"/>
        <color indexed="8"/>
        <rFont val="Times New Roman"/>
        <family val="1"/>
      </rPr>
      <t>(law of areas).</t>
    </r>
  </si>
  <si>
    <t>未調整前儒略日(JD)值</t>
    <phoneticPr fontId="26" type="noConversion"/>
  </si>
  <si>
    <t>計算後儒略日(JD)值</t>
    <phoneticPr fontId="26" type="noConversion"/>
  </si>
  <si>
    <t>二分點_偏移量</t>
    <phoneticPr fontId="26" type="noConversion"/>
  </si>
  <si>
    <t>△t</t>
    <phoneticPr fontId="26" type="noConversion"/>
  </si>
  <si>
    <t>轉換後24節氣日期</t>
    <phoneticPr fontId="26" type="noConversion"/>
  </si>
  <si>
    <r>
      <t>中</t>
    </r>
    <r>
      <rPr>
        <sz val="14"/>
        <color indexed="8"/>
        <rFont val="Times New Roman"/>
        <family val="1"/>
      </rPr>
      <t>r</t>
    </r>
    <r>
      <rPr>
        <sz val="14"/>
        <color indexed="8"/>
        <rFont val="PMingLiU"/>
        <family val="1"/>
        <charset val="136"/>
      </rPr>
      <t>是θ之函數</t>
    </r>
    <r>
      <rPr>
        <sz val="14"/>
        <color indexed="8"/>
        <rFont val="Times New Roman"/>
        <family val="1"/>
      </rPr>
      <t>,.</t>
    </r>
    <r>
      <rPr>
        <sz val="14"/>
        <color indexed="8"/>
        <rFont val="PMingLiU"/>
        <family val="1"/>
        <charset val="136"/>
      </rPr>
      <t>然而</t>
    </r>
    <r>
      <rPr>
        <sz val="14"/>
        <color indexed="8"/>
        <rFont val="Times New Roman"/>
        <family val="1"/>
      </rPr>
      <t>,</t>
    </r>
    <r>
      <rPr>
        <sz val="14"/>
        <color indexed="8"/>
        <rFont val="PMingLiU"/>
        <family val="1"/>
        <charset val="136"/>
      </rPr>
      <t>在節氣的計算上</t>
    </r>
    <r>
      <rPr>
        <sz val="14"/>
        <color indexed="8"/>
        <rFont val="Times New Roman"/>
        <family val="1"/>
      </rPr>
      <t>,</t>
    </r>
    <r>
      <rPr>
        <sz val="14"/>
        <color indexed="8"/>
        <rFont val="PMingLiU"/>
        <family val="1"/>
        <charset val="136"/>
      </rPr>
      <t>所需要的函數不是</t>
    </r>
    <r>
      <rPr>
        <sz val="14"/>
        <color indexed="8"/>
        <rFont val="Times New Roman"/>
        <family val="1"/>
      </rPr>
      <t>r(</t>
    </r>
    <r>
      <rPr>
        <sz val="14"/>
        <color indexed="8"/>
        <rFont val="PMingLiU"/>
        <family val="1"/>
        <charset val="136"/>
      </rPr>
      <t>θ</t>
    </r>
    <r>
      <rPr>
        <sz val="14"/>
        <color indexed="8"/>
        <rFont val="Times New Roman"/>
        <family val="1"/>
      </rPr>
      <t>),</t>
    </r>
    <r>
      <rPr>
        <sz val="14"/>
        <color indexed="8"/>
        <rFont val="PMingLiU"/>
        <family val="1"/>
        <charset val="136"/>
      </rPr>
      <t>而是</t>
    </r>
    <r>
      <rPr>
        <sz val="14"/>
        <color indexed="8"/>
        <rFont val="Times New Roman"/>
        <family val="1"/>
      </rPr>
      <t>t (</t>
    </r>
    <r>
      <rPr>
        <sz val="14"/>
        <color indexed="8"/>
        <rFont val="PMingLiU"/>
        <family val="1"/>
        <charset val="136"/>
      </rPr>
      <t>θ</t>
    </r>
    <r>
      <rPr>
        <sz val="14"/>
        <color indexed="8"/>
        <rFont val="Times New Roman"/>
        <family val="1"/>
      </rPr>
      <t>),</t>
    </r>
    <r>
      <rPr>
        <sz val="14"/>
        <color indexed="8"/>
        <rFont val="PMingLiU"/>
        <family val="1"/>
        <charset val="136"/>
      </rPr>
      <t>我們希望得到一個公式</t>
    </r>
    <r>
      <rPr>
        <sz val="14"/>
        <color indexed="8"/>
        <rFont val="Times New Roman"/>
        <family val="1"/>
      </rPr>
      <t>,</t>
    </r>
    <r>
      <rPr>
        <sz val="14"/>
        <color indexed="8"/>
        <rFont val="PMingLiU"/>
        <family val="1"/>
        <charset val="136"/>
      </rPr>
      <t>給予θ</t>
    </r>
    <r>
      <rPr>
        <sz val="14"/>
        <color indexed="8"/>
        <rFont val="Times New Roman"/>
        <family val="1"/>
      </rPr>
      <t>(</t>
    </r>
    <r>
      <rPr>
        <sz val="14"/>
        <color indexed="8"/>
        <rFont val="PMingLiU"/>
        <family val="1"/>
        <charset val="136"/>
      </rPr>
      <t>真實近點角</t>
    </r>
    <r>
      <rPr>
        <sz val="14"/>
        <color indexed="8"/>
        <rFont val="Times New Roman"/>
        <family val="1"/>
      </rPr>
      <t>),</t>
    </r>
    <r>
      <rPr>
        <sz val="14"/>
        <color indexed="8"/>
        <rFont val="PMingLiU"/>
        <family val="1"/>
        <charset val="136"/>
      </rPr>
      <t>為一時間</t>
    </r>
    <r>
      <rPr>
        <sz val="14"/>
        <color indexed="8"/>
        <rFont val="Times New Roman"/>
        <family val="1"/>
      </rPr>
      <t>t</t>
    </r>
    <r>
      <rPr>
        <sz val="14"/>
        <color indexed="8"/>
        <rFont val="PMingLiU"/>
        <family val="1"/>
        <charset val="136"/>
      </rPr>
      <t>之函數</t>
    </r>
    <r>
      <rPr>
        <sz val="14"/>
        <color indexed="8"/>
        <rFont val="Times New Roman"/>
        <family val="1"/>
      </rPr>
      <t>,</t>
    </r>
    <r>
      <rPr>
        <sz val="14"/>
        <color indexed="8"/>
        <rFont val="PMingLiU"/>
        <family val="1"/>
        <charset val="136"/>
      </rPr>
      <t>式中只包含兩個基本的軌道觀察常數作為參數</t>
    </r>
    <r>
      <rPr>
        <sz val="14"/>
        <color indexed="8"/>
        <rFont val="Times New Roman"/>
        <family val="1"/>
      </rPr>
      <t>,</t>
    </r>
    <r>
      <rPr>
        <sz val="14"/>
        <color indexed="8"/>
        <rFont val="PMingLiU"/>
        <family val="1"/>
        <charset val="136"/>
      </rPr>
      <t>即週期τ和偏心率ε</t>
    </r>
    <r>
      <rPr>
        <sz val="14"/>
        <color indexed="8"/>
        <rFont val="Times New Roman"/>
        <family val="1"/>
      </rPr>
      <t>.</t>
    </r>
    <r>
      <rPr>
        <sz val="14"/>
        <color indexed="8"/>
        <rFont val="PMingLiU"/>
        <family val="1"/>
        <charset val="136"/>
      </rPr>
      <t>我們可以以下列方法來作這個計算</t>
    </r>
    <r>
      <rPr>
        <sz val="14"/>
        <color indexed="8"/>
        <rFont val="Times New Roman"/>
        <family val="1"/>
      </rPr>
      <t>.</t>
    </r>
    <r>
      <rPr>
        <sz val="14"/>
        <color indexed="8"/>
        <rFont val="PMingLiU"/>
        <family val="1"/>
        <charset val="136"/>
      </rPr>
      <t>因為它需要物體徑向量掃過整個橢圓軌道面積所花費的時間τ</t>
    </r>
    <r>
      <rPr>
        <sz val="14"/>
        <color indexed="8"/>
        <rFont val="Times New Roman"/>
        <family val="1"/>
      </rPr>
      <t>,</t>
    </r>
    <r>
      <rPr>
        <sz val="14"/>
        <color indexed="8"/>
        <rFont val="PMingLiU"/>
        <family val="1"/>
        <charset val="136"/>
      </rPr>
      <t>且因為運動面積速度是一常數</t>
    </r>
    <r>
      <rPr>
        <sz val="14"/>
        <color indexed="8"/>
        <rFont val="Times New Roman"/>
        <family val="1"/>
      </rPr>
      <t>,</t>
    </r>
    <r>
      <rPr>
        <sz val="14"/>
        <color indexed="8"/>
        <rFont val="PMingLiU"/>
        <family val="1"/>
        <charset val="136"/>
      </rPr>
      <t>因此在一個時間</t>
    </r>
    <r>
      <rPr>
        <sz val="14"/>
        <color indexed="8"/>
        <rFont val="Times New Roman"/>
        <family val="1"/>
      </rPr>
      <t>t</t>
    </r>
    <r>
      <rPr>
        <sz val="14"/>
        <color indexed="8"/>
        <rFont val="PMingLiU"/>
        <family val="1"/>
        <charset val="136"/>
      </rPr>
      <t>內</t>
    </r>
    <r>
      <rPr>
        <sz val="14"/>
        <color indexed="8"/>
        <rFont val="Times New Roman"/>
        <family val="1"/>
      </rPr>
      <t>,</t>
    </r>
    <r>
      <rPr>
        <sz val="14"/>
        <color indexed="8"/>
        <rFont val="PMingLiU"/>
        <family val="1"/>
        <charset val="136"/>
      </rPr>
      <t>其掃過之面積為</t>
    </r>
  </si>
  <si>
    <t xml:space="preserve">  ~ 1955 &amp; 2005 ~ 
修正值</t>
    <phoneticPr fontId="26" type="noConversion"/>
  </si>
  <si>
    <r>
      <t>根據</t>
    </r>
    <r>
      <rPr>
        <sz val="14"/>
        <color indexed="8"/>
        <rFont val="PMingLiU"/>
        <family val="1"/>
        <charset val="136"/>
      </rPr>
      <t>面積微分</t>
    </r>
    <r>
      <rPr>
        <sz val="14"/>
        <color indexed="8"/>
        <rFont val="宋体"/>
        <charset val="134"/>
      </rPr>
      <t>方程式</t>
    </r>
  </si>
  <si>
    <r>
      <t>若我們在</t>
    </r>
    <r>
      <rPr>
        <sz val="14"/>
        <color indexed="8"/>
        <rFont val="Times New Roman"/>
        <family val="1"/>
      </rPr>
      <t>t=0</t>
    </r>
    <r>
      <rPr>
        <sz val="14"/>
        <color indexed="8"/>
        <rFont val="PMingLiU"/>
        <family val="1"/>
        <charset val="136"/>
      </rPr>
      <t>時取θ</t>
    </r>
    <r>
      <rPr>
        <sz val="14"/>
        <color indexed="8"/>
        <rFont val="Times New Roman"/>
        <family val="1"/>
      </rPr>
      <t>= 0,</t>
    </r>
    <r>
      <rPr>
        <sz val="14"/>
        <color indexed="8"/>
        <rFont val="PMingLiU"/>
        <family val="1"/>
        <charset val="136"/>
      </rPr>
      <t>則</t>
    </r>
  </si>
  <si>
    <r>
      <t>當</t>
    </r>
    <r>
      <rPr>
        <sz val="14"/>
        <color indexed="8"/>
        <rFont val="Times New Roman"/>
        <family val="1"/>
      </rPr>
      <t xml:space="preserve">  </t>
    </r>
  </si>
  <si>
    <r>
      <t xml:space="preserve">  </t>
    </r>
    <r>
      <rPr>
        <sz val="14"/>
        <color indexed="8"/>
        <rFont val="PMingLiU"/>
        <family val="1"/>
        <charset val="136"/>
      </rPr>
      <t>時，掃過的面積正好是橢圓的上半部，此時</t>
    </r>
    <r>
      <rPr>
        <sz val="14"/>
        <color indexed="8"/>
        <rFont val="宋体"/>
        <charset val="134"/>
      </rPr>
      <t xml:space="preserve">  </t>
    </r>
  </si>
  <si>
    <r>
      <t>將此式寫為一以</t>
    </r>
    <r>
      <rPr>
        <i/>
        <sz val="14"/>
        <color indexed="8"/>
        <rFont val="Times New Roman"/>
        <family val="1"/>
      </rPr>
      <t>θ</t>
    </r>
    <r>
      <rPr>
        <sz val="14"/>
        <color indexed="8"/>
        <rFont val="PMingLiU"/>
        <family val="1"/>
        <charset val="136"/>
      </rPr>
      <t>為變數的函數</t>
    </r>
    <r>
      <rPr>
        <i/>
        <sz val="14"/>
        <color indexed="8"/>
        <rFont val="Times New Roman"/>
        <family val="1"/>
      </rPr>
      <t>t(θ)</t>
    </r>
    <r>
      <rPr>
        <sz val="14"/>
        <color indexed="8"/>
        <rFont val="Times New Roman"/>
        <family val="1"/>
      </rPr>
      <t xml:space="preserve"> </t>
    </r>
  </si>
  <si>
    <r>
      <t>我們可用</t>
    </r>
    <r>
      <rPr>
        <sz val="14"/>
        <color indexed="8"/>
        <rFont val="Times New Roman"/>
        <family val="1"/>
      </rPr>
      <t>Jean Meeus</t>
    </r>
    <r>
      <rPr>
        <sz val="14"/>
        <color indexed="8"/>
        <rFont val="PMingLiU"/>
        <family val="1"/>
        <charset val="136"/>
      </rPr>
      <t>提供的公式求出指定年春分點的</t>
    </r>
    <r>
      <rPr>
        <sz val="14"/>
        <color indexed="8"/>
        <rFont val="Times New Roman"/>
        <family val="1"/>
      </rPr>
      <t>JD</t>
    </r>
    <r>
      <rPr>
        <sz val="14"/>
        <color indexed="8"/>
        <rFont val="PMingLiU"/>
        <family val="1"/>
        <charset val="136"/>
      </rPr>
      <t>值。</t>
    </r>
  </si>
  <si>
    <r>
      <t>將</t>
    </r>
    <r>
      <rPr>
        <i/>
        <sz val="14"/>
        <color indexed="8"/>
        <rFont val="PMingLiU"/>
        <family val="1"/>
        <charset val="136"/>
      </rPr>
      <t>δ</t>
    </r>
    <r>
      <rPr>
        <sz val="14"/>
        <color indexed="8"/>
        <rFont val="PMingLiU"/>
        <family val="1"/>
        <charset val="136"/>
      </rPr>
      <t>值加上</t>
    </r>
    <r>
      <rPr>
        <sz val="14"/>
        <color indexed="8"/>
        <rFont val="宋体"/>
        <charset val="134"/>
      </rPr>
      <t>15</t>
    </r>
    <r>
      <rPr>
        <sz val="14"/>
        <color indexed="8"/>
        <rFont val="PMingLiU"/>
        <family val="1"/>
        <charset val="136"/>
      </rPr>
      <t>°，</t>
    </r>
    <r>
      <rPr>
        <sz val="14"/>
        <color indexed="8"/>
        <rFont val="宋体"/>
        <charset val="134"/>
      </rPr>
      <t>30</t>
    </r>
    <r>
      <rPr>
        <sz val="14"/>
        <color indexed="8"/>
        <rFont val="PMingLiU"/>
        <family val="1"/>
        <charset val="136"/>
      </rPr>
      <t>°，</t>
    </r>
    <r>
      <rPr>
        <sz val="14"/>
        <color indexed="8"/>
        <rFont val="宋体"/>
        <charset val="134"/>
      </rPr>
      <t>45</t>
    </r>
    <r>
      <rPr>
        <sz val="14"/>
        <color indexed="8"/>
        <rFont val="PMingLiU"/>
        <family val="1"/>
        <charset val="136"/>
      </rPr>
      <t>°，</t>
    </r>
    <r>
      <rPr>
        <sz val="14"/>
        <color indexed="8"/>
        <rFont val="宋体"/>
        <charset val="134"/>
      </rPr>
      <t>60</t>
    </r>
    <r>
      <rPr>
        <sz val="14"/>
        <color indexed="8"/>
        <rFont val="PMingLiU"/>
        <family val="1"/>
        <charset val="136"/>
      </rPr>
      <t>°…等，代入上面的</t>
    </r>
    <r>
      <rPr>
        <sz val="14"/>
        <color indexed="8"/>
        <rFont val="宋体"/>
        <charset val="134"/>
      </rPr>
      <t>t(</t>
    </r>
    <r>
      <rPr>
        <sz val="14"/>
        <color indexed="8"/>
        <rFont val="PMingLiU"/>
        <family val="1"/>
        <charset val="136"/>
      </rPr>
      <t>θ</t>
    </r>
    <r>
      <rPr>
        <sz val="14"/>
        <color indexed="8"/>
        <rFont val="宋体"/>
        <charset val="134"/>
      </rPr>
      <t>)</t>
    </r>
    <r>
      <rPr>
        <sz val="14"/>
        <color indexed="8"/>
        <rFont val="PMingLiU"/>
        <family val="1"/>
        <charset val="136"/>
      </rPr>
      <t>公式，可分別求出清明點、穀雨點、立夏點、小滿點…等各節氣點與近日點的日數差。再分別將這些值減去春分點與近日點的日數差即得各節氣點與春分點的日數差。分別將這些日數差加上春分點的</t>
    </r>
    <r>
      <rPr>
        <sz val="14"/>
        <color indexed="8"/>
        <rFont val="Times New Roman"/>
        <family val="1"/>
      </rPr>
      <t>JD</t>
    </r>
    <r>
      <rPr>
        <sz val="14"/>
        <color indexed="8"/>
        <rFont val="PMingLiU"/>
        <family val="1"/>
        <charset val="136"/>
      </rPr>
      <t>值，即得各節氣點的</t>
    </r>
    <r>
      <rPr>
        <sz val="14"/>
        <color indexed="8"/>
        <rFont val="Times New Roman"/>
        <family val="1"/>
      </rPr>
      <t>JD</t>
    </r>
    <r>
      <rPr>
        <sz val="14"/>
        <color indexed="8"/>
        <rFont val="PMingLiU"/>
        <family val="1"/>
        <charset val="136"/>
      </rPr>
      <t>值。</t>
    </r>
  </si>
  <si>
    <r>
      <t>請參看程式中的函式</t>
    </r>
    <r>
      <rPr>
        <sz val="14"/>
        <color indexed="8"/>
        <rFont val="Times New Roman"/>
        <family val="1"/>
      </rPr>
      <t>MeanJQJD()</t>
    </r>
    <r>
      <rPr>
        <sz val="14"/>
        <color indexed="8"/>
        <rFont val="PMingLiU"/>
        <family val="1"/>
        <charset val="136"/>
      </rPr>
      <t>。</t>
    </r>
    <phoneticPr fontId="26" type="noConversion"/>
  </si>
  <si>
    <t>年</t>
  </si>
  <si>
    <t>月</t>
  </si>
  <si>
    <t>日</t>
  </si>
  <si>
    <t>時</t>
  </si>
  <si>
    <t>生</t>
  </si>
  <si>
    <t>克</t>
  </si>
  <si>
    <t>對照資料</t>
  </si>
  <si>
    <t>先</t>
  </si>
  <si>
    <t>後</t>
  </si>
  <si>
    <t>地盤八神</t>
  </si>
  <si>
    <t>天盤天干</t>
  </si>
  <si>
    <t>天盤天星</t>
  </si>
  <si>
    <t>天盤八神</t>
  </si>
  <si>
    <t>八門</t>
  </si>
  <si>
    <t>引干</t>
  </si>
  <si>
    <t>蓬</t>
  </si>
  <si>
    <t>休</t>
  </si>
  <si>
    <t>符</t>
  </si>
  <si>
    <t>是</t>
  </si>
  <si>
    <t>坤</t>
  </si>
  <si>
    <t>坎</t>
  </si>
  <si>
    <t>-</t>
  </si>
  <si>
    <t>任</t>
  </si>
  <si>
    <t>巽</t>
  </si>
  <si>
    <t>冲</t>
  </si>
  <si>
    <t>伤</t>
  </si>
  <si>
    <t>阴</t>
  </si>
  <si>
    <t>離</t>
  </si>
  <si>
    <t>震</t>
  </si>
  <si>
    <t>辅</t>
  </si>
  <si>
    <t>杜</t>
  </si>
  <si>
    <t>合</t>
  </si>
  <si>
    <t>兌</t>
  </si>
  <si>
    <t>英</t>
  </si>
  <si>
    <t>景</t>
  </si>
  <si>
    <t>中</t>
  </si>
  <si>
    <t>己</t>
  </si>
  <si>
    <t>芮</t>
  </si>
  <si>
    <t>死</t>
  </si>
  <si>
    <t>武</t>
  </si>
  <si>
    <t>艮</t>
  </si>
  <si>
    <t>乾</t>
  </si>
  <si>
    <t>柱</t>
  </si>
  <si>
    <t>惊</t>
  </si>
  <si>
    <t>九</t>
  </si>
  <si>
    <t>心</t>
  </si>
  <si>
    <t>开</t>
  </si>
  <si>
    <t>天</t>
  </si>
  <si>
    <t>八神</t>
  </si>
  <si>
    <t>洛書宮位次序</t>
    <phoneticPr fontId="26" type="noConversion"/>
  </si>
  <si>
    <t>地盤天干</t>
    <phoneticPr fontId="26" type="noConversion"/>
  </si>
  <si>
    <t>轉宮</t>
  </si>
  <si>
    <t>農曆</t>
  </si>
  <si>
    <t>阳遁</t>
  </si>
  <si>
    <t>阴遁</t>
  </si>
  <si>
    <t>順行</t>
  </si>
  <si>
    <t>阴遁八門排宮</t>
  </si>
  <si>
    <t>節氣</t>
  </si>
  <si>
    <t>天干數</t>
  </si>
  <si>
    <t>轉位數</t>
  </si>
  <si>
    <t>旬首入中宮</t>
  </si>
  <si>
    <t>顯示引干</t>
  </si>
  <si>
    <t>地盤天星</t>
  </si>
  <si>
    <t>地盤八</t>
  </si>
  <si>
    <t>甲子</t>
  </si>
  <si>
    <t>23-01</t>
  </si>
  <si>
    <t>00-01</t>
  </si>
  <si>
    <t>*</t>
  </si>
  <si>
    <t>順轉:</t>
  </si>
  <si>
    <t>逆轉:</t>
  </si>
  <si>
    <t>地支數</t>
  </si>
  <si>
    <t>一局</t>
  </si>
  <si>
    <t>乙丑</t>
  </si>
  <si>
    <t>01-03</t>
  </si>
  <si>
    <t>初一</t>
  </si>
  <si>
    <t>節氣:</t>
  </si>
  <si>
    <t>二局</t>
  </si>
  <si>
    <t>丙寅</t>
  </si>
  <si>
    <t>03-05</t>
  </si>
  <si>
    <t>三局</t>
  </si>
  <si>
    <t>丁卯</t>
  </si>
  <si>
    <t>05-07</t>
  </si>
  <si>
    <t>四局</t>
  </si>
  <si>
    <t>戊辰</t>
  </si>
  <si>
    <t>07-09</t>
  </si>
  <si>
    <t>阴曆</t>
  </si>
  <si>
    <t>五局</t>
  </si>
  <si>
    <t>己巳</t>
  </si>
  <si>
    <t>09-11</t>
  </si>
  <si>
    <t>六局</t>
  </si>
  <si>
    <t>庚午</t>
  </si>
  <si>
    <t>11-13</t>
  </si>
  <si>
    <t>惊蟄</t>
  </si>
  <si>
    <t>七局</t>
  </si>
  <si>
    <t>辛未</t>
  </si>
  <si>
    <t>13-15</t>
  </si>
  <si>
    <t>八局</t>
  </si>
  <si>
    <t>壬申</t>
  </si>
  <si>
    <t>15-17</t>
  </si>
  <si>
    <t>值符</t>
  </si>
  <si>
    <t>九局</t>
  </si>
  <si>
    <t>癸酉</t>
  </si>
  <si>
    <t>甲戌</t>
  </si>
  <si>
    <t>19-21</t>
  </si>
  <si>
    <t>值使</t>
  </si>
  <si>
    <t>值符宮</t>
  </si>
  <si>
    <t>值使門上的天干</t>
  </si>
  <si>
    <t>乙亥</t>
  </si>
  <si>
    <t>21-23</t>
  </si>
  <si>
    <t>符在宮位</t>
  </si>
  <si>
    <t>天盤符在宮位</t>
  </si>
  <si>
    <t>值使宮位置</t>
  </si>
  <si>
    <t>轉後是什麼</t>
  </si>
  <si>
    <t>轉後引干宮位數</t>
  </si>
  <si>
    <t>引干位置</t>
  </si>
  <si>
    <t>丙子</t>
  </si>
  <si>
    <t>23-00</t>
  </si>
  <si>
    <t>子+</t>
  </si>
  <si>
    <t>旬首</t>
  </si>
  <si>
    <t>丁丑</t>
  </si>
  <si>
    <t>戊寅</t>
  </si>
  <si>
    <t>己卯</t>
  </si>
  <si>
    <t>庚辰</t>
  </si>
  <si>
    <t>辛巳</t>
  </si>
  <si>
    <t>壬午</t>
  </si>
  <si>
    <t>癸未</t>
  </si>
  <si>
    <t>甲申</t>
  </si>
  <si>
    <t>時干在中宮</t>
  </si>
  <si>
    <t>乙酉</t>
  </si>
  <si>
    <t>原引干新位置</t>
  </si>
  <si>
    <t>丙戌</t>
  </si>
  <si>
    <t>原引干舊位置(天盤)</t>
  </si>
  <si>
    <t>丁亥</t>
  </si>
  <si>
    <t>戊子</t>
  </si>
  <si>
    <t>己丑</t>
  </si>
  <si>
    <t>原引干舊位置</t>
  </si>
  <si>
    <t>對應那個新位置</t>
  </si>
  <si>
    <t>轉多少格</t>
  </si>
  <si>
    <t>結果</t>
  </si>
  <si>
    <t>宮位</t>
  </si>
  <si>
    <t>庚寅</t>
  </si>
  <si>
    <t>辛卯</t>
  </si>
  <si>
    <t>壬辰</t>
  </si>
  <si>
    <t>癸巳</t>
  </si>
  <si>
    <t>甲午</t>
  </si>
  <si>
    <t>乙未</t>
  </si>
  <si>
    <t>丙申</t>
  </si>
  <si>
    <t>丁酉</t>
  </si>
  <si>
    <t>戊戌</t>
  </si>
  <si>
    <t>己亥</t>
  </si>
  <si>
    <t>庚子</t>
  </si>
  <si>
    <t>辛丑</t>
  </si>
  <si>
    <t>壬寅</t>
  </si>
  <si>
    <t>癸卯</t>
  </si>
  <si>
    <t>甲辰</t>
  </si>
  <si>
    <t>乙巳</t>
  </si>
  <si>
    <t>丙午</t>
  </si>
  <si>
    <t>丁未</t>
  </si>
  <si>
    <t>戊申</t>
  </si>
  <si>
    <t>己酉</t>
  </si>
  <si>
    <t>庚戌</t>
  </si>
  <si>
    <t>辛亥</t>
  </si>
  <si>
    <t>壬子</t>
  </si>
  <si>
    <t>癸丑</t>
  </si>
  <si>
    <t>甲寅</t>
  </si>
  <si>
    <t>乙卯</t>
  </si>
  <si>
    <t>丙辰</t>
  </si>
  <si>
    <t>丁巳</t>
  </si>
  <si>
    <t>戊午</t>
  </si>
  <si>
    <t>己未</t>
  </si>
  <si>
    <t>庚申</t>
  </si>
  <si>
    <t>辛酉</t>
  </si>
  <si>
    <t>壬戌</t>
  </si>
  <si>
    <t>癸亥</t>
  </si>
  <si>
    <t>年</t>
    <phoneticPr fontId="26" type="noConversion"/>
  </si>
  <si>
    <t>月</t>
    <phoneticPr fontId="26" type="noConversion"/>
  </si>
  <si>
    <t>日</t>
    <phoneticPr fontId="26" type="noConversion"/>
  </si>
  <si>
    <t>:</t>
    <phoneticPr fontId="26" type="noConversion"/>
  </si>
  <si>
    <t>八神地盤位置</t>
    <phoneticPr fontId="26" type="noConversion"/>
  </si>
  <si>
    <t>六儀三奇</t>
    <phoneticPr fontId="26" type="noConversion"/>
  </si>
  <si>
    <t>時辰對照</t>
    <phoneticPr fontId="26" type="noConversion"/>
  </si>
  <si>
    <t>六十甲子九宮地盤位置</t>
    <phoneticPr fontId="26" type="noConversion"/>
  </si>
  <si>
    <t>逆行</t>
    <phoneticPr fontId="26" type="noConversion"/>
  </si>
  <si>
    <t>順行</t>
    <phoneticPr fontId="26" type="noConversion"/>
  </si>
  <si>
    <t>宮位變數</t>
    <phoneticPr fontId="26" type="noConversion"/>
  </si>
  <si>
    <t>天盤天干</t>
    <phoneticPr fontId="26" type="noConversion"/>
  </si>
  <si>
    <t>天盤天星</t>
    <phoneticPr fontId="26" type="noConversion"/>
  </si>
  <si>
    <t>天盤八神</t>
    <phoneticPr fontId="26" type="noConversion"/>
  </si>
  <si>
    <t>宮</t>
    <phoneticPr fontId="26" type="noConversion"/>
  </si>
  <si>
    <t>後\局數</t>
    <phoneticPr fontId="26" type="noConversion"/>
  </si>
  <si>
    <t>地支數</t>
    <phoneticPr fontId="26" type="noConversion"/>
  </si>
  <si>
    <t>-</t>
    <phoneticPr fontId="26" type="noConversion"/>
  </si>
  <si>
    <t>卯</t>
    <phoneticPr fontId="26" type="noConversion"/>
  </si>
  <si>
    <t>時柱號</t>
    <phoneticPr fontId="26" type="noConversion"/>
  </si>
  <si>
    <t>17-19</t>
    <phoneticPr fontId="26" type="noConversion"/>
  </si>
  <si>
    <t>地盤宮編號</t>
    <phoneticPr fontId="26" type="noConversion"/>
  </si>
  <si>
    <t>時干在宮位</t>
    <phoneticPr fontId="26" type="noConversion"/>
  </si>
  <si>
    <t>天盤天干號碼</t>
    <phoneticPr fontId="26" type="noConversion"/>
  </si>
  <si>
    <t>轉多少格</t>
    <phoneticPr fontId="26" type="noConversion"/>
  </si>
  <si>
    <t>辛</t>
    <phoneticPr fontId="26" type="noConversion"/>
  </si>
  <si>
    <t>下一節氣時間</t>
    <phoneticPr fontId="26" type="noConversion"/>
  </si>
  <si>
    <t>Monday</t>
  </si>
  <si>
    <t>Tuesday</t>
  </si>
  <si>
    <t>Wednesday</t>
  </si>
  <si>
    <t>Thursday</t>
  </si>
  <si>
    <t>Friday</t>
  </si>
  <si>
    <t>Saturday</t>
  </si>
  <si>
    <t>Sunday</t>
  </si>
  <si>
    <t>星期一</t>
  </si>
  <si>
    <t>星期二</t>
  </si>
  <si>
    <t>星期三</t>
  </si>
  <si>
    <t>星期四</t>
  </si>
  <si>
    <t>星期五</t>
  </si>
  <si>
    <t>星期六</t>
  </si>
  <si>
    <t>星期日</t>
  </si>
  <si>
    <t>禽</t>
  </si>
  <si>
    <t>同宮</t>
  </si>
  <si>
    <t>2055</t>
  </si>
  <si>
    <t>一月</t>
  </si>
  <si>
    <t>十一月</t>
  </si>
  <si>
    <t>十二月</t>
  </si>
  <si>
    <t>逆轉</t>
  </si>
  <si>
    <t>Checking Year</t>
    <phoneticPr fontId="86" type="noConversion"/>
  </si>
  <si>
    <t>Checking month</t>
    <phoneticPr fontId="86" type="noConversion"/>
  </si>
  <si>
    <t>Checking day</t>
    <phoneticPr fontId="1" type="noConversion"/>
  </si>
  <si>
    <t>Checking hour</t>
    <phoneticPr fontId="86" type="noConversion"/>
  </si>
  <si>
    <t>final answer</t>
    <phoneticPr fontId="26" type="noConversion"/>
  </si>
  <si>
    <t>at 23</t>
    <phoneticPr fontId="26" type="noConversion"/>
  </si>
  <si>
    <t>0-22</t>
    <phoneticPr fontId="2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</si>
</sst>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_-;\-* #,##0.00_-;_-* &quot;-&quot;??_-;_-@_-"/>
    <numFmt numFmtId="165" formatCode="00"/>
    <numFmt numFmtId="166" formatCode="0.00_);[Red]\(0.00\)"/>
    <numFmt numFmtId="167" formatCode="0_);[Red]\(0\)"/>
    <numFmt numFmtId="168" formatCode="0.0000_);[Red]\(0.0000\)"/>
    <numFmt numFmtId="169" formatCode="0.00000_);[Red]\(0.00000\)"/>
    <numFmt numFmtId="170" formatCode="0.0000000000_ "/>
    <numFmt numFmtId="171" formatCode="0.000000000000_ "/>
    <numFmt numFmtId="172" formatCode="0.000000000000000000000_ "/>
    <numFmt numFmtId="173" formatCode="0.000000000_ "/>
    <numFmt numFmtId="174" formatCode="_-* #,##0.000000000_-;\-* #,##0.000000000_-;_-* &quot;-&quot;??_-;_-@_-"/>
    <numFmt numFmtId="175" formatCode="0.0000000000000000_ "/>
    <numFmt numFmtId="176" formatCode="0.0000000000000000000_ "/>
    <numFmt numFmtId="177" formatCode="0.0000000000000000000000_ "/>
    <numFmt numFmtId="178" formatCode="0.00000000000_ "/>
    <numFmt numFmtId="179" formatCode="0.0000000000"/>
    <numFmt numFmtId="180" formatCode="0.00000000"/>
    <numFmt numFmtId="181" formatCode="0.00000000000000"/>
    <numFmt numFmtId="182" formatCode="0.0000000000000000000000"/>
    <numFmt numFmtId="183" formatCode="yyyy\-mm\-dd\ \ \ \ \ hh:mm:ss;@"/>
    <numFmt numFmtId="184" formatCode="0.0000000000000"/>
    <numFmt numFmtId="185" formatCode="0.00000000000000_ "/>
    <numFmt numFmtId="186" formatCode="0.00000000000000000_ "/>
    <numFmt numFmtId="187" formatCode="yyyy/mm/dd\ \ \ hh:mm:ss;@"/>
    <numFmt numFmtId="188" formatCode="[$-F400]h:mm:ss\ AM/PM"/>
    <numFmt numFmtId="189" formatCode="##"/>
    <numFmt numFmtId="190" formatCode="yyyy/mm/dd\,\ hh:mm:ss;@"/>
    <numFmt numFmtId="191" formatCode="General\ &quot;宮&quot;"/>
  </numFmts>
  <fonts count="89" x14ac:knownFonts="1">
    <font>
      <sz val="12"/>
      <name val="宋体"/>
    </font>
    <font>
      <sz val="9"/>
      <name val="宋体"/>
      <charset val="134"/>
    </font>
    <font>
      <b/>
      <sz val="9"/>
      <name val="宋体"/>
      <charset val="134"/>
    </font>
    <font>
      <sz val="9"/>
      <name val="Times New Roman"/>
      <family val="1"/>
    </font>
    <font>
      <sz val="9"/>
      <color indexed="81"/>
      <name val="宋体"/>
      <charset val="134"/>
    </font>
    <font>
      <b/>
      <sz val="9"/>
      <color indexed="81"/>
      <name val="宋体"/>
      <charset val="134"/>
    </font>
    <font>
      <sz val="11"/>
      <color indexed="8"/>
      <name val="Calibri"/>
      <family val="2"/>
    </font>
    <font>
      <sz val="11"/>
      <color indexed="8"/>
      <name val="宋体"/>
      <charset val="134"/>
    </font>
    <font>
      <sz val="11"/>
      <color indexed="9"/>
      <name val="宋体"/>
      <charset val="134"/>
    </font>
    <font>
      <sz val="12"/>
      <color indexed="8"/>
      <name val="新細明體"/>
      <family val="1"/>
      <charset val="136"/>
    </font>
    <font>
      <sz val="12"/>
      <color indexed="8"/>
      <name val="Calibri"/>
      <family val="2"/>
    </font>
    <font>
      <u/>
      <sz val="8.4"/>
      <color indexed="12"/>
      <name val="新細明體"/>
      <family val="1"/>
      <charset val="136"/>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9"/>
      <name val="新細明體"/>
      <family val="1"/>
      <charset val="136"/>
    </font>
    <font>
      <sz val="14"/>
      <color indexed="8"/>
      <name val="標楷體"/>
      <family val="4"/>
      <charset val="136"/>
    </font>
    <font>
      <b/>
      <sz val="40"/>
      <color indexed="8"/>
      <name val="Arial Unicode MS"/>
      <family val="1"/>
      <charset val="136"/>
    </font>
    <font>
      <i/>
      <sz val="30"/>
      <color indexed="10"/>
      <name val="標楷體"/>
      <family val="4"/>
      <charset val="136"/>
    </font>
    <font>
      <sz val="32"/>
      <color indexed="60"/>
      <name val="標楷體"/>
      <family val="4"/>
      <charset val="136"/>
    </font>
    <font>
      <b/>
      <i/>
      <sz val="14"/>
      <color indexed="10"/>
      <name val="Arial Unicode MS"/>
      <family val="1"/>
      <charset val="136"/>
    </font>
    <font>
      <sz val="16"/>
      <color indexed="8"/>
      <name val="標楷體"/>
      <family val="4"/>
      <charset val="136"/>
    </font>
    <font>
      <sz val="9"/>
      <name val="Calibri"/>
      <family val="2"/>
    </font>
    <font>
      <sz val="20"/>
      <color indexed="10"/>
      <name val="標楷體"/>
      <family val="4"/>
      <charset val="136"/>
    </font>
    <font>
      <b/>
      <sz val="16"/>
      <color indexed="10"/>
      <name val="Arial Unicode MS"/>
      <family val="1"/>
      <charset val="136"/>
    </font>
    <font>
      <sz val="30"/>
      <color indexed="60"/>
      <name val="標楷體"/>
      <family val="4"/>
      <charset val="136"/>
    </font>
    <font>
      <sz val="14"/>
      <color indexed="8"/>
      <name val="Times New Roman"/>
      <family val="1"/>
    </font>
    <font>
      <sz val="14"/>
      <color indexed="8"/>
      <name val="PMingLiU"/>
      <family val="1"/>
      <charset val="136"/>
    </font>
    <font>
      <sz val="14"/>
      <color indexed="8"/>
      <name val="新細明體"/>
      <family val="1"/>
      <charset val="136"/>
    </font>
    <font>
      <sz val="22"/>
      <color indexed="8"/>
      <name val="標楷體"/>
      <family val="4"/>
      <charset val="136"/>
    </font>
    <font>
      <b/>
      <sz val="24"/>
      <color indexed="8"/>
      <name val="新細明體"/>
      <family val="1"/>
      <charset val="136"/>
    </font>
    <font>
      <sz val="16"/>
      <color indexed="8"/>
      <name val="新細明體"/>
      <family val="1"/>
      <charset val="136"/>
    </font>
    <font>
      <sz val="22"/>
      <color indexed="10"/>
      <name val="標楷體"/>
      <family val="4"/>
      <charset val="136"/>
    </font>
    <font>
      <sz val="14"/>
      <name val="新細明體"/>
      <family val="1"/>
      <charset val="136"/>
    </font>
    <font>
      <sz val="18"/>
      <color indexed="8"/>
      <name val="新細明體"/>
      <family val="1"/>
      <charset val="136"/>
    </font>
    <font>
      <sz val="17"/>
      <color indexed="8"/>
      <name val="新細明體"/>
      <family val="1"/>
      <charset val="136"/>
    </font>
    <font>
      <b/>
      <i/>
      <sz val="18"/>
      <color indexed="8"/>
      <name val="Arial Unicode MS"/>
      <family val="1"/>
      <charset val="136"/>
    </font>
    <font>
      <sz val="11"/>
      <color indexed="8"/>
      <name val="Arial Unicode MS"/>
      <family val="1"/>
      <charset val="136"/>
    </font>
    <font>
      <sz val="12"/>
      <color indexed="8"/>
      <name val="Arial Unicode MS"/>
      <family val="1"/>
      <charset val="136"/>
    </font>
    <font>
      <b/>
      <i/>
      <sz val="16"/>
      <color indexed="8"/>
      <name val="新細明體"/>
      <family val="1"/>
      <charset val="136"/>
    </font>
    <font>
      <sz val="14"/>
      <color indexed="8"/>
      <name val="宋体"/>
      <charset val="134"/>
    </font>
    <font>
      <sz val="10"/>
      <color indexed="8"/>
      <name val="新細明體"/>
      <family val="1"/>
      <charset val="136"/>
    </font>
    <font>
      <sz val="14"/>
      <color indexed="10"/>
      <name val="新細明體"/>
      <family val="1"/>
      <charset val="136"/>
    </font>
    <font>
      <sz val="24"/>
      <color indexed="8"/>
      <name val="Arial Unicode MS"/>
      <family val="1"/>
      <charset val="136"/>
    </font>
    <font>
      <sz val="15"/>
      <color indexed="8"/>
      <name val="標楷體"/>
      <family val="4"/>
      <charset val="136"/>
    </font>
    <font>
      <sz val="14"/>
      <color indexed="8"/>
      <name val="Arial Unicode MS"/>
      <family val="1"/>
      <charset val="136"/>
    </font>
    <font>
      <sz val="14"/>
      <color indexed="10"/>
      <name val="Arial Unicode MS"/>
      <family val="1"/>
      <charset val="136"/>
    </font>
    <font>
      <b/>
      <sz val="14"/>
      <color indexed="10"/>
      <name val="Arial Unicode MS"/>
      <family val="1"/>
      <charset val="136"/>
    </font>
    <font>
      <b/>
      <sz val="12"/>
      <color indexed="10"/>
      <name val="新細明體"/>
      <family val="1"/>
      <charset val="136"/>
    </font>
    <font>
      <sz val="9"/>
      <color indexed="8"/>
      <name val="新細明體"/>
      <family val="1"/>
      <charset val="136"/>
    </font>
    <font>
      <b/>
      <i/>
      <sz val="12"/>
      <color indexed="10"/>
      <name val="新細明體"/>
      <family val="1"/>
      <charset val="136"/>
    </font>
    <font>
      <i/>
      <sz val="14"/>
      <color indexed="8"/>
      <name val="Times New Roman"/>
      <family val="1"/>
    </font>
    <font>
      <i/>
      <sz val="14"/>
      <color indexed="8"/>
      <name val="PMingLiU"/>
      <family val="1"/>
      <charset val="136"/>
    </font>
    <font>
      <sz val="11"/>
      <color indexed="8"/>
      <name val="新細明體"/>
      <family val="1"/>
      <charset val="136"/>
    </font>
    <font>
      <sz val="8"/>
      <color indexed="8"/>
      <name val="新細明體"/>
      <family val="1"/>
      <charset val="136"/>
    </font>
    <font>
      <sz val="5"/>
      <color indexed="8"/>
      <name val="新細明體"/>
      <family val="1"/>
      <charset val="136"/>
    </font>
    <font>
      <b/>
      <sz val="5"/>
      <color indexed="8"/>
      <name val="新細明體"/>
      <family val="1"/>
      <charset val="136"/>
    </font>
    <font>
      <b/>
      <sz val="5"/>
      <name val="新細明體"/>
      <family val="1"/>
      <charset val="136"/>
    </font>
    <font>
      <sz val="5"/>
      <color indexed="10"/>
      <name val="新細明體"/>
      <family val="1"/>
      <charset val="136"/>
    </font>
    <font>
      <sz val="5"/>
      <color indexed="55"/>
      <name val="新細明體"/>
      <family val="1"/>
      <charset val="136"/>
    </font>
    <font>
      <sz val="5"/>
      <name val="新細明體"/>
      <family val="1"/>
      <charset val="136"/>
    </font>
    <font>
      <sz val="5"/>
      <color indexed="17"/>
      <name val="新細明體"/>
      <family val="1"/>
      <charset val="136"/>
    </font>
    <font>
      <sz val="5"/>
      <color indexed="23"/>
      <name val="新細明體"/>
      <family val="1"/>
      <charset val="136"/>
    </font>
    <font>
      <sz val="5"/>
      <color indexed="22"/>
      <name val="新細明體"/>
      <family val="1"/>
      <charset val="136"/>
    </font>
    <font>
      <sz val="5"/>
      <color indexed="8"/>
      <name val="新細明體"/>
      <family val="1"/>
      <charset val="136"/>
    </font>
    <font>
      <b/>
      <sz val="5"/>
      <color indexed="8"/>
      <name val="新細明體"/>
      <family val="1"/>
      <charset val="136"/>
    </font>
    <font>
      <b/>
      <sz val="5"/>
      <name val="新細明體"/>
      <family val="1"/>
      <charset val="136"/>
    </font>
    <font>
      <b/>
      <sz val="5"/>
      <color indexed="10"/>
      <name val="新細明體"/>
      <family val="1"/>
      <charset val="136"/>
    </font>
    <font>
      <b/>
      <sz val="5"/>
      <color indexed="17"/>
      <name val="新細明體"/>
      <family val="1"/>
      <charset val="136"/>
    </font>
    <font>
      <sz val="5"/>
      <color indexed="8"/>
      <name val="新細明體"/>
      <family val="1"/>
      <charset val="136"/>
    </font>
    <font>
      <b/>
      <sz val="5"/>
      <color indexed="8"/>
      <name val="新細明體"/>
      <family val="1"/>
      <charset val="136"/>
    </font>
    <font>
      <b/>
      <sz val="5"/>
      <name val="新細明體"/>
      <family val="1"/>
      <charset val="136"/>
    </font>
    <font>
      <b/>
      <sz val="9"/>
      <color indexed="8"/>
      <name val="宋体"/>
      <charset val="134"/>
    </font>
    <font>
      <sz val="9"/>
      <color indexed="8"/>
      <name val="宋体"/>
      <charset val="134"/>
    </font>
    <font>
      <sz val="12"/>
      <name val="宋体"/>
      <charset val="134"/>
    </font>
    <font>
      <sz val="9"/>
      <name val="細明體"/>
      <family val="3"/>
      <charset val="136"/>
    </font>
    <font>
      <sz val="5"/>
      <color theme="0" tint="-0.249977111117893"/>
      <name val="新細明體"/>
      <family val="1"/>
      <charset val="136"/>
    </font>
    <font>
      <sz val="5"/>
      <color rgb="FFFF0000"/>
      <name val="新細明體"/>
      <family val="1"/>
      <charset val="136"/>
    </font>
  </fonts>
  <fills count="36">
    <fill>
      <patternFill patternType="none"/>
    </fill>
    <fill>
      <patternFill patternType="gray125"/>
    </fill>
    <fill>
      <patternFill patternType="solid">
        <fgColor indexed="27"/>
      </patternFill>
    </fill>
    <fill>
      <patternFill patternType="solid">
        <fgColor indexed="47"/>
      </patternFill>
    </fill>
    <fill>
      <patternFill patternType="solid">
        <fgColor indexed="26"/>
      </patternFill>
    </fill>
    <fill>
      <patternFill patternType="solid">
        <fgColor indexed="31"/>
      </patternFill>
    </fill>
    <fill>
      <patternFill patternType="solid">
        <fgColor indexed="42"/>
      </patternFill>
    </fill>
    <fill>
      <patternFill patternType="solid">
        <fgColor indexed="45"/>
      </patternFill>
    </fill>
    <fill>
      <patternFill patternType="solid">
        <fgColor indexed="46"/>
      </patternFill>
    </fill>
    <fill>
      <patternFill patternType="solid">
        <fgColor indexed="44"/>
      </patternFill>
    </fill>
    <fill>
      <patternFill patternType="solid">
        <fgColor indexed="22"/>
      </patternFill>
    </fill>
    <fill>
      <patternFill patternType="solid">
        <fgColor indexed="43"/>
      </patternFill>
    </fill>
    <fill>
      <patternFill patternType="solid">
        <fgColor indexed="29"/>
      </patternFill>
    </fill>
    <fill>
      <patternFill patternType="solid">
        <fgColor indexed="11"/>
      </patternFill>
    </fill>
    <fill>
      <patternFill patternType="solid">
        <fgColor indexed="51"/>
      </patternFill>
    </fill>
    <fill>
      <patternFill patternType="solid">
        <fgColor indexed="49"/>
      </patternFill>
    </fill>
    <fill>
      <patternFill patternType="solid">
        <fgColor indexed="57"/>
      </patternFill>
    </fill>
    <fill>
      <patternFill patternType="solid">
        <fgColor indexed="30"/>
      </patternFill>
    </fill>
    <fill>
      <patternFill patternType="solid">
        <fgColor indexed="36"/>
      </patternFill>
    </fill>
    <fill>
      <patternFill patternType="solid">
        <fgColor indexed="52"/>
      </patternFill>
    </fill>
    <fill>
      <patternFill patternType="solid">
        <fgColor indexed="53"/>
      </patternFill>
    </fill>
    <fill>
      <patternFill patternType="solid">
        <fgColor indexed="55"/>
      </patternFill>
    </fill>
    <fill>
      <patternFill patternType="solid">
        <fgColor indexed="62"/>
      </patternFill>
    </fill>
    <fill>
      <patternFill patternType="solid">
        <fgColor indexed="10"/>
      </patternFill>
    </fill>
    <fill>
      <patternFill patternType="solid">
        <fgColor indexed="22"/>
        <bgColor indexed="64"/>
      </patternFill>
    </fill>
    <fill>
      <patternFill patternType="solid">
        <fgColor indexed="51"/>
        <bgColor indexed="64"/>
      </patternFill>
    </fill>
    <fill>
      <patternFill patternType="solid">
        <fgColor indexed="49"/>
        <bgColor indexed="64"/>
      </patternFill>
    </fill>
    <fill>
      <patternFill patternType="solid">
        <fgColor indexed="47"/>
        <bgColor indexed="64"/>
      </patternFill>
    </fill>
    <fill>
      <patternFill patternType="solid">
        <fgColor indexed="55"/>
        <bgColor indexed="64"/>
      </patternFill>
    </fill>
    <fill>
      <patternFill patternType="solid">
        <fgColor indexed="31"/>
        <bgColor indexed="64"/>
      </patternFill>
    </fill>
    <fill>
      <patternFill patternType="solid">
        <fgColor indexed="44"/>
        <bgColor indexed="64"/>
      </patternFill>
    </fill>
    <fill>
      <patternFill patternType="solid">
        <fgColor indexed="42"/>
        <bgColor indexed="64"/>
      </patternFill>
    </fill>
    <fill>
      <patternFill patternType="solid">
        <fgColor indexed="9"/>
        <bgColor indexed="64"/>
      </patternFill>
    </fill>
    <fill>
      <patternFill patternType="solid">
        <fgColor rgb="FF99CCFF"/>
        <bgColor indexed="64"/>
      </patternFill>
    </fill>
    <fill>
      <patternFill patternType="solid">
        <fgColor rgb="FFFFFF93"/>
        <bgColor indexed="64"/>
      </patternFill>
    </fill>
    <fill>
      <patternFill patternType="solid">
        <fgColor rgb="FFFFFF00"/>
        <bgColor indexed="64"/>
      </patternFill>
    </fill>
  </fills>
  <borders count="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n">
        <color indexed="64"/>
      </top>
      <bottom style="thin">
        <color indexed="64"/>
      </bottom>
      <diagonal/>
    </border>
  </borders>
  <cellStyleXfs count="47">
    <xf numFmtId="0" fontId="0" fillId="0" borderId="0"/>
    <xf numFmtId="0" fontId="7" fillId="5" borderId="0" applyNumberFormat="0" applyBorder="0" applyAlignment="0" applyProtection="0">
      <alignment vertical="center"/>
    </xf>
    <xf numFmtId="0" fontId="7" fillId="7" borderId="0" applyNumberFormat="0" applyBorder="0" applyAlignment="0" applyProtection="0">
      <alignment vertical="center"/>
    </xf>
    <xf numFmtId="0" fontId="7" fillId="6" borderId="0" applyNumberFormat="0" applyBorder="0" applyAlignment="0" applyProtection="0">
      <alignment vertical="center"/>
    </xf>
    <xf numFmtId="0" fontId="7" fillId="8" borderId="0" applyNumberFormat="0" applyBorder="0" applyAlignment="0" applyProtection="0">
      <alignment vertical="center"/>
    </xf>
    <xf numFmtId="0" fontId="7" fillId="2" borderId="0" applyNumberFormat="0" applyBorder="0" applyAlignment="0" applyProtection="0">
      <alignment vertical="center"/>
    </xf>
    <xf numFmtId="0" fontId="7" fillId="3" borderId="0" applyNumberFormat="0" applyBorder="0" applyAlignment="0" applyProtection="0">
      <alignment vertical="center"/>
    </xf>
    <xf numFmtId="0" fontId="7" fillId="9" borderId="0" applyNumberFormat="0" applyBorder="0" applyAlignment="0" applyProtection="0">
      <alignment vertical="center"/>
    </xf>
    <xf numFmtId="0" fontId="7" fillId="12" borderId="0" applyNumberFormat="0" applyBorder="0" applyAlignment="0" applyProtection="0">
      <alignment vertical="center"/>
    </xf>
    <xf numFmtId="0" fontId="7" fillId="13" borderId="0" applyNumberFormat="0" applyBorder="0" applyAlignment="0" applyProtection="0">
      <alignment vertical="center"/>
    </xf>
    <xf numFmtId="0" fontId="7" fillId="8" borderId="0" applyNumberFormat="0" applyBorder="0" applyAlignment="0" applyProtection="0">
      <alignment vertical="center"/>
    </xf>
    <xf numFmtId="0" fontId="7" fillId="9" borderId="0" applyNumberFormat="0" applyBorder="0" applyAlignment="0" applyProtection="0">
      <alignment vertical="center"/>
    </xf>
    <xf numFmtId="0" fontId="7" fillId="14" borderId="0" applyNumberFormat="0" applyBorder="0" applyAlignment="0" applyProtection="0">
      <alignment vertical="center"/>
    </xf>
    <xf numFmtId="0" fontId="8" fillId="17" borderId="0" applyNumberFormat="0" applyBorder="0" applyAlignment="0" applyProtection="0">
      <alignment vertical="center"/>
    </xf>
    <xf numFmtId="0" fontId="8" fillId="12" borderId="0" applyNumberFormat="0" applyBorder="0" applyAlignment="0" applyProtection="0">
      <alignment vertical="center"/>
    </xf>
    <xf numFmtId="0" fontId="8" fillId="13" borderId="0" applyNumberFormat="0" applyBorder="0" applyAlignment="0" applyProtection="0">
      <alignment vertical="center"/>
    </xf>
    <xf numFmtId="0" fontId="8" fillId="18" borderId="0" applyNumberFormat="0" applyBorder="0" applyAlignment="0" applyProtection="0">
      <alignment vertical="center"/>
    </xf>
    <xf numFmtId="0" fontId="8" fillId="15" borderId="0" applyNumberFormat="0" applyBorder="0" applyAlignment="0" applyProtection="0">
      <alignment vertical="center"/>
    </xf>
    <xf numFmtId="0" fontId="8" fillId="19" borderId="0" applyNumberFormat="0" applyBorder="0" applyAlignment="0" applyProtection="0">
      <alignment vertical="center"/>
    </xf>
    <xf numFmtId="164" fontId="9" fillId="0" borderId="0" applyFont="0" applyFill="0" applyBorder="0" applyAlignment="0" applyProtection="0">
      <alignment vertical="center"/>
    </xf>
    <xf numFmtId="0" fontId="11" fillId="0" borderId="0" applyNumberFormat="0" applyFill="0" applyBorder="0" applyAlignment="0" applyProtection="0">
      <alignment vertical="top"/>
      <protection locked="0"/>
    </xf>
    <xf numFmtId="0" fontId="6" fillId="0" borderId="0"/>
    <xf numFmtId="0" fontId="64" fillId="0" borderId="0"/>
    <xf numFmtId="0" fontId="10" fillId="0" borderId="0">
      <alignment vertical="center"/>
    </xf>
    <xf numFmtId="0" fontId="16" fillId="7" borderId="0" applyNumberFormat="0" applyBorder="0" applyAlignment="0" applyProtection="0">
      <alignment vertical="center"/>
    </xf>
    <xf numFmtId="0" fontId="7" fillId="0" borderId="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16" borderId="0" applyNumberFormat="0" applyBorder="0" applyAlignment="0" applyProtection="0">
      <alignment vertical="center"/>
    </xf>
    <xf numFmtId="0" fontId="8" fillId="18" borderId="0" applyNumberFormat="0" applyBorder="0" applyAlignment="0" applyProtection="0">
      <alignment vertical="center"/>
    </xf>
    <xf numFmtId="0" fontId="8" fillId="15" borderId="0" applyNumberFormat="0" applyBorder="0" applyAlignment="0" applyProtection="0">
      <alignment vertical="center"/>
    </xf>
    <xf numFmtId="0" fontId="8" fillId="20" borderId="0" applyNumberFormat="0" applyBorder="0" applyAlignment="0" applyProtection="0">
      <alignment vertical="center"/>
    </xf>
    <xf numFmtId="0" fontId="12" fillId="0" borderId="0" applyNumberFormat="0" applyFill="0" applyBorder="0" applyAlignment="0" applyProtection="0">
      <alignment vertical="center"/>
    </xf>
    <xf numFmtId="0" fontId="13" fillId="0" borderId="6" applyNumberFormat="0" applyFill="0" applyAlignment="0" applyProtection="0">
      <alignment vertical="center"/>
    </xf>
    <xf numFmtId="0" fontId="14" fillId="0" borderId="7" applyNumberFormat="0" applyFill="0" applyAlignment="0" applyProtection="0">
      <alignment vertical="center"/>
    </xf>
    <xf numFmtId="0" fontId="15" fillId="0" borderId="8" applyNumberFormat="0" applyFill="0" applyAlignment="0" applyProtection="0">
      <alignment vertical="center"/>
    </xf>
    <xf numFmtId="0" fontId="15" fillId="0" borderId="0" applyNumberFormat="0" applyFill="0" applyBorder="0" applyAlignment="0" applyProtection="0">
      <alignment vertical="center"/>
    </xf>
    <xf numFmtId="0" fontId="19" fillId="21" borderId="2" applyNumberFormat="0" applyAlignment="0" applyProtection="0">
      <alignment vertical="center"/>
    </xf>
    <xf numFmtId="0" fontId="17" fillId="0" borderId="9" applyNumberFormat="0" applyFill="0" applyAlignment="0" applyProtection="0">
      <alignment vertical="center"/>
    </xf>
    <xf numFmtId="0" fontId="7" fillId="4" borderId="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8" fillId="10" borderId="1" applyNumberFormat="0" applyAlignment="0" applyProtection="0">
      <alignment vertical="center"/>
    </xf>
    <xf numFmtId="0" fontId="25" fillId="3" borderId="1" applyNumberFormat="0" applyAlignment="0" applyProtection="0">
      <alignment vertical="center"/>
    </xf>
    <xf numFmtId="0" fontId="24" fillId="10" borderId="5" applyNumberFormat="0" applyAlignment="0" applyProtection="0">
      <alignment vertical="center"/>
    </xf>
    <xf numFmtId="0" fontId="23" fillId="11" borderId="0" applyNumberFormat="0" applyBorder="0" applyAlignment="0" applyProtection="0">
      <alignment vertical="center"/>
    </xf>
    <xf numFmtId="0" fontId="22" fillId="0" borderId="3" applyNumberFormat="0" applyFill="0" applyAlignment="0" applyProtection="0">
      <alignment vertical="center"/>
    </xf>
  </cellStyleXfs>
  <cellXfs count="481">
    <xf numFmtId="0" fontId="0" fillId="0" borderId="0" xfId="0"/>
    <xf numFmtId="0" fontId="1" fillId="0" borderId="0" xfId="0" applyFont="1" applyBorder="1" applyAlignment="1" applyProtection="1">
      <alignment horizontal="center" vertical="center"/>
      <protection hidden="1"/>
    </xf>
    <xf numFmtId="0" fontId="1" fillId="0" borderId="0" xfId="0" applyFont="1" applyBorder="1" applyAlignment="1" applyProtection="1">
      <alignment vertical="center"/>
      <protection hidden="1"/>
    </xf>
    <xf numFmtId="0" fontId="1" fillId="0" borderId="0" xfId="0" applyFont="1" applyBorder="1" applyAlignment="1" applyProtection="1">
      <alignment horizontal="right" vertical="center"/>
      <protection hidden="1"/>
    </xf>
    <xf numFmtId="0" fontId="1" fillId="0" borderId="0" xfId="0" applyFont="1" applyBorder="1" applyAlignment="1" applyProtection="1">
      <alignment horizontal="center"/>
      <protection hidden="1"/>
    </xf>
    <xf numFmtId="0" fontId="1" fillId="0" borderId="0" xfId="0" applyNumberFormat="1" applyFont="1" applyFill="1" applyBorder="1" applyAlignment="1" applyProtection="1">
      <alignment horizontal="left" vertical="center"/>
      <protection hidden="1"/>
    </xf>
    <xf numFmtId="0" fontId="1" fillId="0" borderId="0" xfId="0" applyFont="1" applyFill="1" applyBorder="1" applyAlignment="1" applyProtection="1">
      <alignment vertical="center"/>
      <protection hidden="1"/>
    </xf>
    <xf numFmtId="0" fontId="1" fillId="0" borderId="0" xfId="0" applyNumberFormat="1" applyFont="1" applyBorder="1" applyAlignment="1" applyProtection="1">
      <alignment horizontal="left" vertical="center"/>
      <protection hidden="1"/>
    </xf>
    <xf numFmtId="0" fontId="1" fillId="0" borderId="0" xfId="0" applyNumberFormat="1" applyFont="1" applyFill="1" applyBorder="1" applyAlignment="1" applyProtection="1">
      <alignment horizontal="right" vertical="center"/>
      <protection hidden="1"/>
    </xf>
    <xf numFmtId="0" fontId="1" fillId="0" borderId="0" xfId="0" applyFont="1" applyFill="1" applyBorder="1" applyAlignment="1" applyProtection="1">
      <alignment horizontal="left" vertical="center"/>
      <protection hidden="1"/>
    </xf>
    <xf numFmtId="0" fontId="2" fillId="0" borderId="0" xfId="0" applyNumberFormat="1" applyFont="1" applyFill="1" applyBorder="1" applyAlignment="1" applyProtection="1">
      <alignment horizontal="left" vertical="center"/>
      <protection hidden="1"/>
    </xf>
    <xf numFmtId="0" fontId="2" fillId="0" borderId="0" xfId="0" applyNumberFormat="1" applyFont="1" applyFill="1" applyBorder="1" applyAlignment="1" applyProtection="1">
      <alignment horizontal="right" vertical="center"/>
      <protection hidden="1"/>
    </xf>
    <xf numFmtId="0" fontId="2" fillId="0" borderId="0" xfId="0" applyFont="1" applyFill="1" applyBorder="1" applyAlignment="1" applyProtection="1">
      <alignment vertical="center"/>
      <protection hidden="1"/>
    </xf>
    <xf numFmtId="14" fontId="1" fillId="0" borderId="0" xfId="0" applyNumberFormat="1" applyFont="1" applyBorder="1" applyAlignment="1" applyProtection="1">
      <alignment horizontal="right" vertical="center"/>
      <protection hidden="1"/>
    </xf>
    <xf numFmtId="0" fontId="1" fillId="0" borderId="0" xfId="0" applyFont="1" applyFill="1" applyBorder="1" applyAlignment="1" applyProtection="1">
      <alignment horizontal="right" vertical="center"/>
      <protection hidden="1"/>
    </xf>
    <xf numFmtId="0" fontId="1" fillId="0" borderId="0" xfId="0" applyNumberFormat="1" applyFont="1" applyFill="1" applyBorder="1" applyAlignment="1" applyProtection="1">
      <alignment vertical="center"/>
      <protection hidden="1"/>
    </xf>
    <xf numFmtId="0" fontId="1" fillId="0" borderId="0" xfId="0" applyNumberFormat="1" applyFont="1" applyBorder="1" applyAlignment="1" applyProtection="1">
      <alignment horizontal="center" vertical="center"/>
      <protection hidden="1"/>
    </xf>
    <xf numFmtId="0" fontId="1" fillId="0" borderId="0" xfId="0" applyNumberFormat="1" applyFont="1" applyBorder="1" applyAlignment="1" applyProtection="1">
      <alignment vertical="center"/>
      <protection hidden="1"/>
    </xf>
    <xf numFmtId="167" fontId="1" fillId="0" borderId="0" xfId="0" applyNumberFormat="1" applyFont="1" applyBorder="1" applyAlignment="1" applyProtection="1">
      <alignment vertical="center"/>
      <protection hidden="1"/>
    </xf>
    <xf numFmtId="169" fontId="1" fillId="0" borderId="0" xfId="0" applyNumberFormat="1" applyFont="1" applyBorder="1" applyAlignment="1" applyProtection="1">
      <alignment vertical="center"/>
      <protection hidden="1"/>
    </xf>
    <xf numFmtId="166" fontId="1" fillId="0" borderId="0" xfId="0" applyNumberFormat="1" applyFont="1" applyBorder="1" applyAlignment="1" applyProtection="1">
      <alignment vertical="center"/>
      <protection hidden="1"/>
    </xf>
    <xf numFmtId="166" fontId="1" fillId="0" borderId="0" xfId="0" applyNumberFormat="1" applyFont="1" applyBorder="1" applyAlignment="1" applyProtection="1">
      <alignment horizontal="left" vertical="center"/>
      <protection hidden="1"/>
    </xf>
    <xf numFmtId="167" fontId="1" fillId="0" borderId="0" xfId="0" applyNumberFormat="1" applyFont="1" applyBorder="1" applyAlignment="1" applyProtection="1">
      <alignment horizontal="right" vertical="center"/>
      <protection hidden="1"/>
    </xf>
    <xf numFmtId="14" fontId="1" fillId="0" borderId="0" xfId="0" applyNumberFormat="1" applyFont="1" applyBorder="1" applyAlignment="1" applyProtection="1">
      <alignment vertical="center"/>
      <protection hidden="1"/>
    </xf>
    <xf numFmtId="0" fontId="1" fillId="0" borderId="0" xfId="0" applyFont="1" applyBorder="1" applyAlignment="1" applyProtection="1">
      <alignment horizontal="left" vertical="center"/>
      <protection hidden="1"/>
    </xf>
    <xf numFmtId="0" fontId="1" fillId="0" borderId="0" xfId="0" quotePrefix="1" applyFont="1" applyFill="1" applyBorder="1" applyAlignment="1" applyProtection="1">
      <alignment horizontal="left" vertical="center"/>
      <protection hidden="1"/>
    </xf>
    <xf numFmtId="0" fontId="2" fillId="0" borderId="0" xfId="0" applyFont="1" applyFill="1" applyBorder="1" applyAlignment="1" applyProtection="1">
      <alignment horizontal="right" vertical="center"/>
      <protection hidden="1"/>
    </xf>
    <xf numFmtId="0" fontId="2" fillId="0" borderId="0" xfId="0" applyNumberFormat="1" applyFont="1" applyFill="1" applyBorder="1" applyAlignment="1" applyProtection="1">
      <alignment horizontal="center" vertical="center"/>
      <protection hidden="1"/>
    </xf>
    <xf numFmtId="0" fontId="2" fillId="0" borderId="0" xfId="0" applyNumberFormat="1" applyFont="1" applyFill="1" applyBorder="1" applyAlignment="1" applyProtection="1">
      <alignment vertical="center"/>
      <protection hidden="1"/>
    </xf>
    <xf numFmtId="167" fontId="2" fillId="0" borderId="0" xfId="0" applyNumberFormat="1" applyFont="1" applyFill="1" applyBorder="1" applyAlignment="1" applyProtection="1">
      <alignment vertical="center"/>
      <protection hidden="1"/>
    </xf>
    <xf numFmtId="169" fontId="2" fillId="0" borderId="0" xfId="0" applyNumberFormat="1" applyFont="1" applyFill="1" applyBorder="1" applyAlignment="1" applyProtection="1">
      <alignment vertical="center"/>
      <protection hidden="1"/>
    </xf>
    <xf numFmtId="167" fontId="2" fillId="0" borderId="0" xfId="0" applyNumberFormat="1" applyFont="1" applyFill="1" applyBorder="1" applyAlignment="1" applyProtection="1">
      <alignment horizontal="right" vertical="center"/>
      <protection hidden="1"/>
    </xf>
    <xf numFmtId="14" fontId="2" fillId="0" borderId="0" xfId="0" applyNumberFormat="1" applyFont="1" applyFill="1" applyBorder="1" applyAlignment="1" applyProtection="1">
      <alignment vertical="center"/>
      <protection hidden="1"/>
    </xf>
    <xf numFmtId="0" fontId="2" fillId="0" borderId="0" xfId="0" applyFont="1" applyFill="1" applyBorder="1" applyAlignment="1" applyProtection="1">
      <alignment horizontal="left" vertical="center"/>
      <protection hidden="1"/>
    </xf>
    <xf numFmtId="14" fontId="1" fillId="0" borderId="0" xfId="0" applyNumberFormat="1" applyFont="1" applyFill="1" applyBorder="1" applyAlignment="1" applyProtection="1">
      <alignment horizontal="left" vertical="center"/>
      <protection hidden="1"/>
    </xf>
    <xf numFmtId="14" fontId="1" fillId="0" borderId="0" xfId="0" applyNumberFormat="1" applyFont="1" applyBorder="1" applyProtection="1">
      <protection hidden="1"/>
    </xf>
    <xf numFmtId="0" fontId="2" fillId="0" borderId="0" xfId="0" applyFont="1" applyBorder="1" applyAlignment="1" applyProtection="1">
      <alignment vertical="center"/>
      <protection hidden="1"/>
    </xf>
    <xf numFmtId="0" fontId="1" fillId="0" borderId="10" xfId="0" applyFont="1" applyBorder="1" applyAlignment="1" applyProtection="1">
      <alignment horizontal="right" vertical="center"/>
      <protection hidden="1"/>
    </xf>
    <xf numFmtId="0" fontId="1" fillId="0" borderId="11" xfId="0" applyFont="1" applyFill="1" applyBorder="1" applyAlignment="1" applyProtection="1">
      <alignment horizontal="center" vertical="center"/>
      <protection hidden="1"/>
    </xf>
    <xf numFmtId="0" fontId="1" fillId="0" borderId="10" xfId="0" applyFont="1" applyBorder="1" applyAlignment="1" applyProtection="1">
      <alignment vertical="center"/>
      <protection hidden="1"/>
    </xf>
    <xf numFmtId="0" fontId="1" fillId="0" borderId="12" xfId="0" applyFont="1" applyFill="1" applyBorder="1" applyAlignment="1" applyProtection="1">
      <alignment vertical="center"/>
      <protection hidden="1"/>
    </xf>
    <xf numFmtId="0" fontId="1" fillId="0" borderId="13" xfId="0" applyFont="1" applyBorder="1" applyAlignment="1" applyProtection="1">
      <alignment vertical="center"/>
      <protection hidden="1"/>
    </xf>
    <xf numFmtId="0" fontId="1" fillId="0" borderId="11" xfId="0" applyFont="1" applyBorder="1" applyAlignment="1" applyProtection="1">
      <alignment horizontal="right" vertical="center"/>
      <protection hidden="1"/>
    </xf>
    <xf numFmtId="0" fontId="1" fillId="0" borderId="14" xfId="0" applyFont="1" applyBorder="1" applyAlignment="1" applyProtection="1">
      <alignment horizontal="center" vertical="center"/>
      <protection hidden="1"/>
    </xf>
    <xf numFmtId="0" fontId="1" fillId="0" borderId="13" xfId="0" applyFont="1" applyBorder="1" applyAlignment="1" applyProtection="1">
      <alignment horizontal="right" vertical="center"/>
      <protection hidden="1"/>
    </xf>
    <xf numFmtId="0" fontId="1" fillId="0" borderId="14" xfId="0" applyFont="1" applyBorder="1" applyAlignment="1" applyProtection="1">
      <alignment horizontal="right"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vertical="center"/>
      <protection hidden="1"/>
    </xf>
    <xf numFmtId="0" fontId="2" fillId="0" borderId="13" xfId="0" applyFont="1" applyBorder="1" applyAlignment="1" applyProtection="1">
      <alignment horizontal="left" vertical="center"/>
      <protection hidden="1"/>
    </xf>
    <xf numFmtId="0" fontId="2" fillId="0" borderId="15" xfId="0" applyFont="1" applyFill="1" applyBorder="1" applyAlignment="1" applyProtection="1">
      <alignment vertical="center"/>
      <protection hidden="1"/>
    </xf>
    <xf numFmtId="0" fontId="1" fillId="0" borderId="16" xfId="0" applyFont="1" applyBorder="1" applyAlignment="1" applyProtection="1">
      <alignment vertical="center"/>
      <protection hidden="1"/>
    </xf>
    <xf numFmtId="0" fontId="1" fillId="0" borderId="17" xfId="0" applyFont="1" applyBorder="1" applyAlignment="1" applyProtection="1">
      <alignment vertical="center"/>
      <protection hidden="1"/>
    </xf>
    <xf numFmtId="0" fontId="1" fillId="0" borderId="18" xfId="0" applyNumberFormat="1" applyFont="1" applyFill="1" applyBorder="1" applyAlignment="1" applyProtection="1">
      <alignment vertical="center"/>
      <protection hidden="1"/>
    </xf>
    <xf numFmtId="0" fontId="1" fillId="0" borderId="19" xfId="0" applyNumberFormat="1" applyFont="1" applyFill="1" applyBorder="1" applyAlignment="1" applyProtection="1">
      <alignment horizontal="right" vertical="center"/>
      <protection hidden="1"/>
    </xf>
    <xf numFmtId="0" fontId="1" fillId="0" borderId="20" xfId="0" applyNumberFormat="1" applyFont="1" applyFill="1" applyBorder="1" applyAlignment="1" applyProtection="1">
      <alignment vertical="center"/>
      <protection hidden="1"/>
    </xf>
    <xf numFmtId="0" fontId="1" fillId="0" borderId="10" xfId="0" applyNumberFormat="1" applyFont="1" applyFill="1" applyBorder="1" applyAlignment="1" applyProtection="1">
      <alignment vertical="center"/>
      <protection hidden="1"/>
    </xf>
    <xf numFmtId="0" fontId="1" fillId="0" borderId="11" xfId="0" applyFont="1" applyFill="1" applyBorder="1" applyAlignment="1" applyProtection="1">
      <alignment horizontal="right" vertical="center"/>
      <protection hidden="1"/>
    </xf>
    <xf numFmtId="0" fontId="1" fillId="0" borderId="12" xfId="0" applyNumberFormat="1" applyFont="1" applyFill="1" applyBorder="1" applyAlignment="1" applyProtection="1">
      <alignment vertical="center"/>
      <protection hidden="1"/>
    </xf>
    <xf numFmtId="0" fontId="1" fillId="0" borderId="13" xfId="0" applyFont="1" applyFill="1" applyBorder="1" applyAlignment="1" applyProtection="1">
      <alignment horizontal="right" vertical="center"/>
      <protection hidden="1"/>
    </xf>
    <xf numFmtId="0" fontId="66" fillId="0" borderId="0" xfId="23" applyFont="1" applyAlignment="1" applyProtection="1">
      <alignment vertical="center"/>
    </xf>
    <xf numFmtId="0" fontId="66" fillId="0" borderId="0" xfId="22" applyFont="1" applyAlignment="1">
      <alignment horizontal="center"/>
    </xf>
    <xf numFmtId="0" fontId="66" fillId="0" borderId="0" xfId="23" applyFont="1" applyAlignment="1" applyProtection="1">
      <alignment vertical="center"/>
      <protection hidden="1"/>
    </xf>
    <xf numFmtId="0" fontId="10" fillId="0" borderId="0" xfId="23" applyAlignment="1" applyProtection="1">
      <alignment vertical="center"/>
      <protection hidden="1"/>
    </xf>
    <xf numFmtId="0" fontId="66" fillId="0" borderId="0" xfId="22" applyFont="1" applyBorder="1" applyAlignment="1" applyProtection="1">
      <alignment horizontal="center"/>
    </xf>
    <xf numFmtId="189" fontId="67" fillId="24" borderId="0" xfId="22" applyNumberFormat="1" applyFont="1" applyFill="1" applyBorder="1" applyAlignment="1" applyProtection="1">
      <alignment horizontal="center"/>
    </xf>
    <xf numFmtId="0" fontId="67" fillId="0" borderId="0" xfId="22" applyFont="1" applyBorder="1" applyAlignment="1" applyProtection="1">
      <alignment horizontal="center" vertical="center"/>
    </xf>
    <xf numFmtId="49" fontId="67" fillId="0" borderId="0" xfId="22" applyNumberFormat="1" applyFont="1" applyBorder="1" applyAlignment="1" applyProtection="1">
      <alignment horizontal="center"/>
    </xf>
    <xf numFmtId="0" fontId="66" fillId="0" borderId="0" xfId="22" applyFont="1" applyBorder="1" applyAlignment="1">
      <alignment horizontal="center"/>
    </xf>
    <xf numFmtId="0" fontId="66" fillId="0" borderId="21" xfId="22" applyFont="1" applyBorder="1" applyAlignment="1"/>
    <xf numFmtId="0" fontId="66" fillId="0" borderId="0" xfId="22" applyFont="1" applyBorder="1" applyAlignment="1"/>
    <xf numFmtId="0" fontId="66" fillId="0" borderId="22" xfId="22" applyFont="1" applyBorder="1" applyAlignment="1"/>
    <xf numFmtId="0" fontId="66" fillId="0" borderId="0" xfId="22" applyFont="1" applyFill="1" applyBorder="1" applyAlignment="1">
      <alignment horizontal="center"/>
    </xf>
    <xf numFmtId="0" fontId="66" fillId="0" borderId="0" xfId="22" applyFont="1" applyBorder="1" applyAlignment="1">
      <alignment horizontal="center" vertical="center"/>
    </xf>
    <xf numFmtId="0" fontId="66" fillId="0" borderId="0" xfId="22" applyFont="1" applyFill="1" applyBorder="1" applyAlignment="1">
      <alignment horizontal="center" vertical="center"/>
    </xf>
    <xf numFmtId="0" fontId="66" fillId="0" borderId="0" xfId="22" applyFont="1" applyFill="1" applyAlignment="1">
      <alignment horizontal="center" vertical="center"/>
    </xf>
    <xf numFmtId="14" fontId="66" fillId="0" borderId="0" xfId="22" applyNumberFormat="1" applyFont="1" applyBorder="1" applyAlignment="1"/>
    <xf numFmtId="20" fontId="66" fillId="0" borderId="0" xfId="22" applyNumberFormat="1" applyFont="1" applyFill="1" applyAlignment="1"/>
    <xf numFmtId="0" fontId="66" fillId="0" borderId="0" xfId="22" applyFont="1" applyFill="1" applyAlignment="1"/>
    <xf numFmtId="0" fontId="66" fillId="0" borderId="0" xfId="22" applyFont="1" applyFill="1" applyBorder="1" applyAlignment="1"/>
    <xf numFmtId="0" fontId="66" fillId="0" borderId="0" xfId="22" applyFont="1" applyAlignment="1"/>
    <xf numFmtId="0" fontId="65" fillId="0" borderId="0" xfId="22" applyFont="1" applyAlignment="1"/>
    <xf numFmtId="0" fontId="66" fillId="0" borderId="0" xfId="22" applyFont="1" applyBorder="1" applyAlignment="1" applyProtection="1">
      <alignment horizontal="center" vertical="center"/>
    </xf>
    <xf numFmtId="0" fontId="67" fillId="0" borderId="0" xfId="22" applyFont="1" applyFill="1" applyBorder="1" applyAlignment="1" applyProtection="1"/>
    <xf numFmtId="0" fontId="69" fillId="0" borderId="0" xfId="22" applyFont="1" applyFill="1" applyBorder="1" applyAlignment="1">
      <alignment horizontal="center" vertical="center"/>
    </xf>
    <xf numFmtId="0" fontId="66" fillId="0" borderId="0" xfId="22" applyFont="1" applyBorder="1" applyAlignment="1">
      <alignment horizontal="center" vertical="center" textRotation="90"/>
    </xf>
    <xf numFmtId="0" fontId="66" fillId="0" borderId="14" xfId="22" applyFont="1" applyBorder="1" applyAlignment="1">
      <alignment vertical="center"/>
    </xf>
    <xf numFmtId="0" fontId="70" fillId="0" borderId="23" xfId="22" applyFont="1" applyBorder="1" applyAlignment="1">
      <alignment horizontal="center"/>
    </xf>
    <xf numFmtId="0" fontId="66" fillId="0" borderId="23" xfId="22" applyFont="1" applyBorder="1" applyAlignment="1">
      <alignment horizontal="center"/>
    </xf>
    <xf numFmtId="0" fontId="66" fillId="0" borderId="0" xfId="22" applyFont="1" applyBorder="1" applyAlignment="1" applyProtection="1"/>
    <xf numFmtId="49" fontId="66" fillId="0" borderId="0" xfId="22" applyNumberFormat="1" applyFont="1" applyBorder="1" applyAlignment="1">
      <alignment horizontal="center"/>
    </xf>
    <xf numFmtId="0" fontId="69" fillId="0" borderId="18" xfId="22" applyFont="1" applyBorder="1" applyAlignment="1">
      <alignment horizontal="center" vertical="center"/>
    </xf>
    <xf numFmtId="0" fontId="69" fillId="0" borderId="19" xfId="22" applyFont="1" applyBorder="1" applyAlignment="1">
      <alignment horizontal="center" vertical="center"/>
    </xf>
    <xf numFmtId="0" fontId="71" fillId="0" borderId="19" xfId="22" applyFont="1" applyBorder="1" applyAlignment="1">
      <alignment horizontal="center" vertical="center"/>
    </xf>
    <xf numFmtId="0" fontId="69" fillId="0" borderId="20" xfId="22" applyFont="1" applyBorder="1" applyAlignment="1">
      <alignment horizontal="center" vertical="center"/>
    </xf>
    <xf numFmtId="0" fontId="66" fillId="0" borderId="23" xfId="22" applyFont="1" applyFill="1" applyBorder="1" applyAlignment="1">
      <alignment horizontal="center" vertical="center"/>
    </xf>
    <xf numFmtId="0" fontId="66" fillId="0" borderId="23" xfId="22" applyFont="1" applyBorder="1" applyAlignment="1">
      <alignment horizontal="center" vertical="center"/>
    </xf>
    <xf numFmtId="0" fontId="72" fillId="0" borderId="23" xfId="22" applyFont="1" applyBorder="1" applyAlignment="1">
      <alignment horizontal="center" vertical="center"/>
    </xf>
    <xf numFmtId="0" fontId="66" fillId="0" borderId="23" xfId="22" applyFont="1" applyFill="1" applyBorder="1" applyAlignment="1">
      <alignment horizontal="center"/>
    </xf>
    <xf numFmtId="0" fontId="73" fillId="0" borderId="23" xfId="22" applyFont="1" applyFill="1" applyBorder="1" applyAlignment="1">
      <alignment horizontal="center"/>
    </xf>
    <xf numFmtId="49" fontId="66" fillId="0" borderId="24" xfId="22" applyNumberFormat="1" applyFont="1" applyBorder="1" applyAlignment="1">
      <alignment horizontal="center" vertical="center"/>
    </xf>
    <xf numFmtId="49" fontId="66" fillId="0" borderId="23" xfId="22" applyNumberFormat="1" applyFont="1" applyFill="1" applyBorder="1" applyAlignment="1">
      <alignment horizontal="center" vertical="center"/>
    </xf>
    <xf numFmtId="0" fontId="66" fillId="0" borderId="25" xfId="22" applyFont="1" applyFill="1" applyBorder="1" applyAlignment="1">
      <alignment horizontal="center" vertical="center"/>
    </xf>
    <xf numFmtId="20" fontId="66" fillId="0" borderId="23" xfId="22" applyNumberFormat="1" applyFont="1" applyBorder="1" applyAlignment="1">
      <alignment horizontal="center"/>
    </xf>
    <xf numFmtId="183" fontId="71" fillId="0" borderId="23" xfId="23" applyNumberFormat="1" applyFont="1" applyFill="1" applyBorder="1" applyAlignment="1">
      <alignment horizontal="center" vertical="center"/>
    </xf>
    <xf numFmtId="20" fontId="66" fillId="0" borderId="23" xfId="22" applyNumberFormat="1" applyFont="1" applyFill="1" applyBorder="1" applyAlignment="1">
      <alignment horizontal="center"/>
    </xf>
    <xf numFmtId="0" fontId="66" fillId="0" borderId="24" xfId="22" applyFont="1" applyBorder="1" applyAlignment="1">
      <alignment horizontal="center"/>
    </xf>
    <xf numFmtId="0" fontId="66" fillId="0" borderId="12" xfId="22" applyFont="1" applyBorder="1" applyAlignment="1">
      <alignment vertical="center"/>
    </xf>
    <xf numFmtId="0" fontId="66" fillId="0" borderId="14" xfId="22" applyFont="1" applyBorder="1" applyAlignment="1">
      <alignment horizontal="center" vertical="center"/>
    </xf>
    <xf numFmtId="0" fontId="69" fillId="0" borderId="13" xfId="22" applyFont="1" applyBorder="1" applyAlignment="1">
      <alignment horizontal="center" vertical="center"/>
    </xf>
    <xf numFmtId="0" fontId="72" fillId="0" borderId="23" xfId="22" applyFont="1" applyFill="1" applyBorder="1" applyAlignment="1">
      <alignment horizontal="center" vertical="center"/>
    </xf>
    <xf numFmtId="0" fontId="71" fillId="0" borderId="23" xfId="22" applyFont="1" applyBorder="1" applyAlignment="1">
      <alignment horizontal="center"/>
    </xf>
    <xf numFmtId="0" fontId="69" fillId="0" borderId="23" xfId="22" applyFont="1" applyBorder="1" applyAlignment="1">
      <alignment horizontal="center"/>
    </xf>
    <xf numFmtId="0" fontId="69" fillId="0" borderId="24" xfId="22" applyFont="1" applyBorder="1" applyAlignment="1">
      <alignment horizontal="center"/>
    </xf>
    <xf numFmtId="0" fontId="71" fillId="0" borderId="23" xfId="22" applyFont="1" applyFill="1" applyBorder="1" applyAlignment="1">
      <alignment horizontal="center"/>
    </xf>
    <xf numFmtId="0" fontId="71" fillId="0" borderId="23" xfId="22" applyNumberFormat="1" applyFont="1" applyFill="1" applyBorder="1" applyAlignment="1">
      <alignment horizontal="center"/>
    </xf>
    <xf numFmtId="0" fontId="69" fillId="0" borderId="23" xfId="22" applyFont="1" applyFill="1" applyBorder="1" applyAlignment="1">
      <alignment horizontal="center"/>
    </xf>
    <xf numFmtId="0" fontId="71" fillId="0" borderId="23" xfId="22" applyFont="1" applyBorder="1" applyAlignment="1">
      <alignment horizontal="center" wrapText="1"/>
    </xf>
    <xf numFmtId="0" fontId="71" fillId="0" borderId="23" xfId="22" applyFont="1" applyFill="1" applyBorder="1" applyAlignment="1">
      <alignment horizontal="center" wrapText="1"/>
    </xf>
    <xf numFmtId="0" fontId="66" fillId="0" borderId="19" xfId="22" applyFont="1" applyBorder="1" applyAlignment="1">
      <alignment vertical="center"/>
    </xf>
    <xf numFmtId="0" fontId="66" fillId="0" borderId="20" xfId="22" applyFont="1" applyFill="1" applyBorder="1" applyAlignment="1">
      <alignment horizontal="center" vertical="center"/>
    </xf>
    <xf numFmtId="189" fontId="67" fillId="0" borderId="0" xfId="22" applyNumberFormat="1" applyFont="1" applyFill="1" applyBorder="1" applyAlignment="1" applyProtection="1">
      <alignment horizontal="center"/>
    </xf>
    <xf numFmtId="0" fontId="66" fillId="0" borderId="10" xfId="22" applyFont="1" applyBorder="1" applyAlignment="1">
      <alignment vertical="center"/>
    </xf>
    <xf numFmtId="0" fontId="66" fillId="0" borderId="0" xfId="22" applyFont="1" applyBorder="1" applyAlignment="1">
      <alignment vertical="center"/>
    </xf>
    <xf numFmtId="0" fontId="71" fillId="0" borderId="0" xfId="22" applyFont="1" applyBorder="1" applyAlignment="1">
      <alignment horizontal="center" vertical="center"/>
    </xf>
    <xf numFmtId="0" fontId="69" fillId="0" borderId="11" xfId="22" applyFont="1" applyBorder="1" applyAlignment="1">
      <alignment horizontal="center" vertical="center"/>
    </xf>
    <xf numFmtId="0" fontId="66" fillId="0" borderId="19" xfId="22" applyFont="1" applyBorder="1" applyAlignment="1">
      <alignment horizontal="center" vertical="center"/>
    </xf>
    <xf numFmtId="0" fontId="66" fillId="0" borderId="13" xfId="22" applyFont="1" applyBorder="1" applyAlignment="1">
      <alignment vertical="center"/>
    </xf>
    <xf numFmtId="188" fontId="66" fillId="0" borderId="0" xfId="22" applyNumberFormat="1" applyFont="1" applyBorder="1" applyAlignment="1"/>
    <xf numFmtId="0" fontId="69" fillId="0" borderId="0" xfId="22" applyFont="1" applyBorder="1" applyAlignment="1">
      <alignment horizontal="center"/>
    </xf>
    <xf numFmtId="0" fontId="74" fillId="0" borderId="0" xfId="22" applyFont="1" applyBorder="1" applyAlignment="1">
      <alignment horizontal="center"/>
    </xf>
    <xf numFmtId="0" fontId="74" fillId="0" borderId="0" xfId="22" applyFont="1" applyFill="1" applyBorder="1" applyAlignment="1">
      <alignment horizontal="center"/>
    </xf>
    <xf numFmtId="0" fontId="73" fillId="0" borderId="0" xfId="22" applyFont="1" applyBorder="1" applyAlignment="1">
      <alignment horizontal="center"/>
    </xf>
    <xf numFmtId="0" fontId="70" fillId="0" borderId="0" xfId="22" applyFont="1" applyBorder="1" applyAlignment="1">
      <alignment horizontal="center"/>
    </xf>
    <xf numFmtId="0" fontId="66" fillId="0" borderId="23" xfId="22" applyFont="1" applyBorder="1" applyAlignment="1"/>
    <xf numFmtId="0" fontId="66" fillId="0" borderId="0" xfId="22" applyFont="1" applyBorder="1" applyAlignment="1">
      <alignment horizontal="right"/>
    </xf>
    <xf numFmtId="0" fontId="66" fillId="0" borderId="0" xfId="22" applyFont="1" applyBorder="1" applyAlignment="1">
      <alignment horizontal="right" vertical="center"/>
    </xf>
    <xf numFmtId="0" fontId="66" fillId="0" borderId="22" xfId="22" applyFont="1" applyBorder="1" applyAlignment="1">
      <alignment horizontal="right"/>
    </xf>
    <xf numFmtId="0" fontId="66" fillId="0" borderId="21" xfId="22" applyFont="1" applyBorder="1" applyAlignment="1">
      <alignment horizontal="right"/>
    </xf>
    <xf numFmtId="0" fontId="73" fillId="0" borderId="0" xfId="22" applyFont="1" applyFill="1" applyBorder="1" applyAlignment="1">
      <alignment horizontal="center"/>
    </xf>
    <xf numFmtId="0" fontId="66" fillId="0" borderId="24" xfId="22" applyFont="1" applyBorder="1" applyAlignment="1">
      <alignment horizontal="center" vertical="center"/>
    </xf>
    <xf numFmtId="0" fontId="66" fillId="0" borderId="0" xfId="22" quotePrefix="1" applyFont="1" applyBorder="1" applyAlignment="1">
      <alignment horizontal="center" vertical="center"/>
    </xf>
    <xf numFmtId="0" fontId="66" fillId="0" borderId="0" xfId="23" applyFont="1" applyAlignment="1" applyProtection="1">
      <alignment horizontal="left" vertical="center"/>
    </xf>
    <xf numFmtId="0" fontId="66" fillId="0" borderId="0" xfId="22" applyFont="1" applyFill="1" applyBorder="1" applyAlignment="1">
      <alignment horizontal="right"/>
    </xf>
    <xf numFmtId="191" fontId="66" fillId="0" borderId="0" xfId="22" applyNumberFormat="1" applyFont="1" applyFill="1" applyBorder="1" applyAlignment="1">
      <alignment horizontal="center"/>
    </xf>
    <xf numFmtId="0" fontId="66" fillId="0" borderId="0" xfId="22" applyFont="1" applyAlignment="1">
      <alignment horizontal="center" vertical="center"/>
    </xf>
    <xf numFmtId="0" fontId="66" fillId="0" borderId="0" xfId="22" applyFont="1" applyFill="1" applyAlignment="1">
      <alignment horizontal="center"/>
    </xf>
    <xf numFmtId="183" fontId="66" fillId="0" borderId="23" xfId="22" applyNumberFormat="1" applyFont="1" applyFill="1" applyBorder="1" applyAlignment="1">
      <alignment horizontal="center" vertical="center"/>
    </xf>
    <xf numFmtId="0" fontId="66" fillId="0" borderId="0" xfId="23" applyFont="1" applyAlignment="1" applyProtection="1">
      <alignment horizontal="center" vertical="center"/>
      <protection hidden="1"/>
    </xf>
    <xf numFmtId="0" fontId="67" fillId="0" borderId="0" xfId="22" applyFont="1" applyBorder="1" applyAlignment="1" applyProtection="1">
      <alignment horizontal="left" vertical="center"/>
    </xf>
    <xf numFmtId="1" fontId="66" fillId="0" borderId="23" xfId="22" applyNumberFormat="1" applyFont="1" applyBorder="1" applyAlignment="1">
      <alignment horizontal="center" vertical="center"/>
    </xf>
    <xf numFmtId="0" fontId="66" fillId="0" borderId="0" xfId="22" applyFont="1" applyFill="1" applyBorder="1" applyAlignment="1">
      <alignment horizontal="left" vertical="center"/>
    </xf>
    <xf numFmtId="0" fontId="66" fillId="0" borderId="0" xfId="22" applyFont="1" applyBorder="1" applyAlignment="1" applyProtection="1">
      <alignment horizontal="left"/>
    </xf>
    <xf numFmtId="0" fontId="66" fillId="0" borderId="23" xfId="22" applyFont="1" applyBorder="1" applyAlignment="1">
      <alignment horizontal="left" vertical="center"/>
    </xf>
    <xf numFmtId="0" fontId="2" fillId="0" borderId="0" xfId="0" applyNumberFormat="1" applyFont="1" applyBorder="1" applyAlignment="1" applyProtection="1">
      <alignment horizontal="righ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2" fillId="0" borderId="0" xfId="0" applyFont="1" applyFill="1" applyBorder="1" applyAlignment="1" applyProtection="1">
      <alignment horizontal="left"/>
      <protection hidden="1"/>
    </xf>
    <xf numFmtId="0" fontId="2" fillId="0" borderId="0" xfId="0" applyFont="1" applyProtection="1">
      <protection hidden="1"/>
    </xf>
    <xf numFmtId="169" fontId="1" fillId="0" borderId="0" xfId="0" applyNumberFormat="1" applyFont="1" applyBorder="1" applyProtection="1">
      <protection hidden="1"/>
    </xf>
    <xf numFmtId="22" fontId="1" fillId="0" borderId="0" xfId="0" applyNumberFormat="1" applyFont="1" applyBorder="1" applyProtection="1">
      <protection hidden="1"/>
    </xf>
    <xf numFmtId="167" fontId="1" fillId="0" borderId="0" xfId="0" applyNumberFormat="1" applyFont="1" applyBorder="1" applyProtection="1">
      <protection hidden="1"/>
    </xf>
    <xf numFmtId="49" fontId="1" fillId="0" borderId="0" xfId="0" applyNumberFormat="1" applyFont="1" applyBorder="1" applyProtection="1">
      <protection hidden="1"/>
    </xf>
    <xf numFmtId="167" fontId="1" fillId="0" borderId="0" xfId="0" applyNumberFormat="1" applyFont="1" applyBorder="1" applyAlignment="1" applyProtection="1">
      <alignment horizontal="right"/>
      <protection hidden="1"/>
    </xf>
    <xf numFmtId="0" fontId="1" fillId="0" borderId="0" xfId="0" applyFont="1" applyBorder="1" applyProtection="1">
      <protection hidden="1"/>
    </xf>
    <xf numFmtId="0" fontId="1" fillId="0" borderId="0" xfId="0" applyFont="1" applyBorder="1" applyAlignment="1" applyProtection="1">
      <protection hidden="1"/>
    </xf>
    <xf numFmtId="0" fontId="1" fillId="0" borderId="0" xfId="0" applyNumberFormat="1" applyFont="1" applyBorder="1" applyAlignment="1" applyProtection="1">
      <alignment horizontal="right"/>
      <protection hidden="1"/>
    </xf>
    <xf numFmtId="0" fontId="1" fillId="0" borderId="0" xfId="0" quotePrefix="1" applyFont="1" applyBorder="1" applyProtection="1">
      <protection hidden="1"/>
    </xf>
    <xf numFmtId="0" fontId="1" fillId="0" borderId="0" xfId="0" applyNumberFormat="1" applyFont="1" applyBorder="1" applyAlignment="1" applyProtection="1">
      <alignment horizontal="left"/>
      <protection hidden="1"/>
    </xf>
    <xf numFmtId="0" fontId="1" fillId="0" borderId="0" xfId="0" applyFont="1" applyBorder="1" applyAlignment="1" applyProtection="1">
      <alignment horizontal="left"/>
      <protection hidden="1"/>
    </xf>
    <xf numFmtId="0" fontId="1" fillId="0" borderId="0" xfId="0" applyFont="1" applyProtection="1">
      <protection hidden="1"/>
    </xf>
    <xf numFmtId="0" fontId="1" fillId="0" borderId="14" xfId="0" applyFont="1" applyFill="1" applyBorder="1" applyAlignment="1" applyProtection="1">
      <alignment horizontal="left" vertical="center"/>
      <protection hidden="1"/>
    </xf>
    <xf numFmtId="0" fontId="1" fillId="0" borderId="0" xfId="0" applyFont="1" applyBorder="1" applyAlignment="1" applyProtection="1">
      <alignment horizontal="right"/>
      <protection hidden="1"/>
    </xf>
    <xf numFmtId="22" fontId="1" fillId="0" borderId="0" xfId="0" applyNumberFormat="1" applyFont="1" applyFill="1" applyBorder="1" applyAlignment="1" applyProtection="1">
      <alignment horizontal="left" vertical="center"/>
      <protection hidden="1"/>
    </xf>
    <xf numFmtId="168" fontId="1" fillId="0" borderId="0" xfId="0" applyNumberFormat="1" applyFont="1" applyFill="1" applyBorder="1" applyAlignment="1" applyProtection="1">
      <alignment horizontal="left" vertical="center"/>
      <protection hidden="1"/>
    </xf>
    <xf numFmtId="0" fontId="1" fillId="0" borderId="0" xfId="0" applyFont="1" applyFill="1" applyBorder="1" applyAlignment="1" applyProtection="1">
      <protection hidden="1"/>
    </xf>
    <xf numFmtId="0" fontId="1" fillId="0" borderId="0" xfId="0" applyFont="1" applyFill="1" applyBorder="1" applyAlignment="1" applyProtection="1">
      <alignment horizontal="left"/>
      <protection hidden="1"/>
    </xf>
    <xf numFmtId="166" fontId="1" fillId="0" borderId="0" xfId="0" applyNumberFormat="1" applyFont="1" applyBorder="1" applyProtection="1">
      <protection hidden="1"/>
    </xf>
    <xf numFmtId="14" fontId="1" fillId="0" borderId="0" xfId="0" applyNumberFormat="1" applyFont="1" applyFill="1" applyBorder="1" applyAlignment="1" applyProtection="1">
      <alignment vertical="center"/>
      <protection hidden="1"/>
    </xf>
    <xf numFmtId="0" fontId="1" fillId="0" borderId="19" xfId="0" applyNumberFormat="1" applyFont="1" applyFill="1" applyBorder="1" applyAlignment="1" applyProtection="1">
      <alignment horizontal="left" vertical="center"/>
      <protection hidden="1"/>
    </xf>
    <xf numFmtId="0" fontId="1" fillId="0" borderId="19" xfId="0" applyFont="1" applyFill="1" applyBorder="1" applyAlignment="1" applyProtection="1">
      <alignment horizontal="left" vertical="center"/>
      <protection hidden="1"/>
    </xf>
    <xf numFmtId="0" fontId="1" fillId="0" borderId="20" xfId="0" applyNumberFormat="1" applyFont="1" applyFill="1" applyBorder="1" applyAlignment="1" applyProtection="1">
      <alignment horizontal="left" vertical="center"/>
      <protection hidden="1"/>
    </xf>
    <xf numFmtId="0" fontId="1" fillId="0" borderId="0" xfId="0" applyNumberFormat="1" applyFont="1" applyFill="1" applyBorder="1" applyAlignment="1" applyProtection="1">
      <alignment horizontal="right"/>
      <protection hidden="1"/>
    </xf>
    <xf numFmtId="0" fontId="1" fillId="0" borderId="0" xfId="0" applyFont="1" applyFill="1" applyBorder="1" applyAlignment="1" applyProtection="1">
      <alignment horizontal="center"/>
      <protection hidden="1"/>
    </xf>
    <xf numFmtId="0" fontId="1" fillId="0" borderId="13" xfId="0" applyNumberFormat="1" applyFont="1" applyFill="1" applyBorder="1" applyAlignment="1" applyProtection="1">
      <alignment horizontal="left" vertical="center"/>
      <protection hidden="1"/>
    </xf>
    <xf numFmtId="0" fontId="27" fillId="0" borderId="0" xfId="23" applyFont="1" applyProtection="1">
      <alignment vertical="center"/>
      <protection hidden="1"/>
    </xf>
    <xf numFmtId="1" fontId="28" fillId="25" borderId="23" xfId="23" applyNumberFormat="1" applyFont="1" applyFill="1" applyBorder="1" applyAlignment="1" applyProtection="1">
      <alignment horizontal="center" vertical="center"/>
      <protection hidden="1"/>
    </xf>
    <xf numFmtId="0" fontId="10" fillId="0" borderId="0" xfId="23" applyProtection="1">
      <alignment vertical="center"/>
      <protection hidden="1"/>
    </xf>
    <xf numFmtId="182" fontId="10" fillId="0" borderId="0" xfId="23" applyNumberFormat="1" applyProtection="1">
      <alignment vertical="center"/>
      <protection hidden="1"/>
    </xf>
    <xf numFmtId="175" fontId="10" fillId="0" borderId="0" xfId="23" applyNumberFormat="1" applyProtection="1">
      <alignment vertical="center"/>
      <protection hidden="1"/>
    </xf>
    <xf numFmtId="173" fontId="10" fillId="0" borderId="0" xfId="23" applyNumberFormat="1" applyProtection="1">
      <alignment vertical="center"/>
      <protection hidden="1"/>
    </xf>
    <xf numFmtId="181" fontId="31" fillId="26" borderId="23" xfId="23" applyNumberFormat="1" applyFont="1" applyFill="1" applyBorder="1" applyAlignment="1" applyProtection="1">
      <alignment horizontal="center" vertical="center"/>
      <protection hidden="1"/>
    </xf>
    <xf numFmtId="0" fontId="32" fillId="26" borderId="23" xfId="23" applyFont="1" applyFill="1" applyBorder="1" applyAlignment="1" applyProtection="1">
      <alignment horizontal="center" vertical="center" wrapText="1"/>
      <protection hidden="1"/>
    </xf>
    <xf numFmtId="183" fontId="34" fillId="25" borderId="23" xfId="23" applyNumberFormat="1" applyFont="1" applyFill="1" applyBorder="1" applyAlignment="1" applyProtection="1">
      <alignment horizontal="center" vertical="center"/>
      <protection hidden="1"/>
    </xf>
    <xf numFmtId="190" fontId="35" fillId="25" borderId="23" xfId="23" applyNumberFormat="1" applyFont="1" applyFill="1" applyBorder="1" applyAlignment="1" applyProtection="1">
      <alignment horizontal="center" vertical="center"/>
      <protection hidden="1"/>
    </xf>
    <xf numFmtId="178" fontId="10" fillId="0" borderId="0" xfId="23" applyNumberFormat="1" applyProtection="1">
      <alignment vertical="center"/>
      <protection hidden="1"/>
    </xf>
    <xf numFmtId="0" fontId="10" fillId="0" borderId="0" xfId="23" applyNumberFormat="1" applyProtection="1">
      <alignment vertical="center"/>
      <protection hidden="1"/>
    </xf>
    <xf numFmtId="0" fontId="10" fillId="0" borderId="0" xfId="23" applyFont="1" applyAlignment="1" applyProtection="1">
      <alignment vertical="center" wrapText="1"/>
      <protection hidden="1"/>
    </xf>
    <xf numFmtId="179" fontId="31" fillId="27" borderId="23" xfId="23" applyNumberFormat="1" applyFont="1" applyFill="1" applyBorder="1" applyAlignment="1" applyProtection="1">
      <alignment horizontal="center" vertical="center"/>
      <protection hidden="1"/>
    </xf>
    <xf numFmtId="0" fontId="32" fillId="27" borderId="23" xfId="23" applyFont="1" applyFill="1" applyBorder="1" applyAlignment="1" applyProtection="1">
      <alignment horizontal="center" vertical="center" wrapText="1"/>
      <protection hidden="1"/>
    </xf>
    <xf numFmtId="0" fontId="39" fillId="0" borderId="0" xfId="23" applyFont="1" applyProtection="1">
      <alignment vertical="center"/>
      <protection hidden="1"/>
    </xf>
    <xf numFmtId="0" fontId="10" fillId="0" borderId="0" xfId="23" applyFont="1" applyProtection="1">
      <alignment vertical="center"/>
      <protection hidden="1"/>
    </xf>
    <xf numFmtId="0" fontId="40" fillId="0" borderId="0" xfId="23" applyFont="1" applyProtection="1">
      <alignment vertical="center"/>
      <protection hidden="1"/>
    </xf>
    <xf numFmtId="170" fontId="10" fillId="0" borderId="0" xfId="23" applyNumberFormat="1" applyProtection="1">
      <alignment vertical="center"/>
      <protection hidden="1"/>
    </xf>
    <xf numFmtId="184" fontId="31" fillId="27" borderId="23" xfId="23" applyNumberFormat="1" applyFont="1" applyFill="1" applyBorder="1" applyAlignment="1" applyProtection="1">
      <alignment horizontal="center" vertical="center"/>
      <protection hidden="1"/>
    </xf>
    <xf numFmtId="0" fontId="10" fillId="27" borderId="23" xfId="23" applyFill="1" applyBorder="1" applyAlignment="1" applyProtection="1">
      <alignment horizontal="center" vertical="center" wrapText="1"/>
      <protection hidden="1"/>
    </xf>
    <xf numFmtId="173" fontId="44" fillId="0" borderId="0" xfId="23" applyNumberFormat="1" applyFont="1" applyAlignment="1" applyProtection="1">
      <alignment horizontal="center" vertical="center"/>
      <protection hidden="1"/>
    </xf>
    <xf numFmtId="0" fontId="45" fillId="0" borderId="0" xfId="23" applyFont="1" applyProtection="1">
      <alignment vertical="center"/>
      <protection hidden="1"/>
    </xf>
    <xf numFmtId="0" fontId="46" fillId="0" borderId="0" xfId="23" applyFont="1" applyProtection="1">
      <alignment vertical="center"/>
      <protection hidden="1"/>
    </xf>
    <xf numFmtId="185" fontId="31" fillId="27" borderId="23" xfId="23" applyNumberFormat="1" applyFont="1" applyFill="1" applyBorder="1" applyAlignment="1" applyProtection="1">
      <alignment horizontal="center" vertical="center"/>
      <protection hidden="1"/>
    </xf>
    <xf numFmtId="0" fontId="41" fillId="27" borderId="23" xfId="23" applyFont="1" applyFill="1" applyBorder="1" applyAlignment="1" applyProtection="1">
      <alignment horizontal="center" vertical="center" wrapText="1"/>
      <protection hidden="1"/>
    </xf>
    <xf numFmtId="174" fontId="44" fillId="0" borderId="0" xfId="19" applyNumberFormat="1" applyFont="1" applyBorder="1" applyAlignment="1" applyProtection="1">
      <alignment horizontal="center" vertical="center"/>
      <protection hidden="1"/>
    </xf>
    <xf numFmtId="172" fontId="10" fillId="0" borderId="0" xfId="23" applyNumberFormat="1" applyProtection="1">
      <alignment vertical="center"/>
      <protection hidden="1"/>
    </xf>
    <xf numFmtId="0" fontId="10" fillId="0" borderId="0" xfId="23" quotePrefix="1" applyProtection="1">
      <alignment vertical="center"/>
      <protection hidden="1"/>
    </xf>
    <xf numFmtId="0" fontId="10" fillId="0" borderId="0" xfId="23" applyBorder="1" applyProtection="1">
      <alignment vertical="center"/>
      <protection hidden="1"/>
    </xf>
    <xf numFmtId="177" fontId="10" fillId="0" borderId="0" xfId="23" applyNumberFormat="1" applyProtection="1">
      <alignment vertical="center"/>
      <protection hidden="1"/>
    </xf>
    <xf numFmtId="0" fontId="47" fillId="28" borderId="23" xfId="23" applyFont="1" applyFill="1" applyBorder="1" applyAlignment="1" applyProtection="1">
      <alignment horizontal="center" vertical="center"/>
      <protection hidden="1"/>
    </xf>
    <xf numFmtId="0" fontId="48" fillId="28" borderId="23" xfId="23" applyFont="1" applyFill="1" applyBorder="1" applyAlignment="1" applyProtection="1">
      <alignment horizontal="right" vertical="center"/>
      <protection hidden="1"/>
    </xf>
    <xf numFmtId="0" fontId="49" fillId="0" borderId="0" xfId="23" applyFont="1" applyProtection="1">
      <alignment vertical="center"/>
      <protection hidden="1"/>
    </xf>
    <xf numFmtId="0" fontId="50" fillId="0" borderId="0" xfId="23" applyNumberFormat="1" applyFont="1" applyBorder="1" applyAlignment="1" applyProtection="1">
      <alignment vertical="center"/>
      <protection hidden="1"/>
    </xf>
    <xf numFmtId="0" fontId="51" fillId="0" borderId="0" xfId="23" applyFont="1" applyProtection="1">
      <alignment vertical="center"/>
      <protection hidden="1"/>
    </xf>
    <xf numFmtId="0" fontId="52" fillId="29" borderId="23" xfId="23" applyFont="1" applyFill="1" applyBorder="1" applyProtection="1">
      <alignment vertical="center"/>
      <protection hidden="1"/>
    </xf>
    <xf numFmtId="0" fontId="10" fillId="29" borderId="23" xfId="23" applyFill="1" applyBorder="1" applyProtection="1">
      <alignment vertical="center"/>
      <protection hidden="1"/>
    </xf>
    <xf numFmtId="171" fontId="10" fillId="0" borderId="0" xfId="23" applyNumberFormat="1" applyProtection="1">
      <alignment vertical="center"/>
      <protection hidden="1"/>
    </xf>
    <xf numFmtId="176" fontId="10" fillId="0" borderId="0" xfId="23" applyNumberFormat="1" applyFill="1" applyProtection="1">
      <alignment vertical="center"/>
      <protection hidden="1"/>
    </xf>
    <xf numFmtId="0" fontId="42" fillId="30" borderId="23" xfId="23" applyFont="1" applyFill="1" applyBorder="1" applyAlignment="1" applyProtection="1">
      <alignment horizontal="center" vertical="center"/>
      <protection hidden="1"/>
    </xf>
    <xf numFmtId="0" fontId="39" fillId="30" borderId="23" xfId="23" applyFont="1" applyFill="1" applyBorder="1" applyAlignment="1" applyProtection="1">
      <alignment horizontal="center" vertical="center"/>
      <protection hidden="1"/>
    </xf>
    <xf numFmtId="0" fontId="53" fillId="30" borderId="23" xfId="23" applyFont="1" applyFill="1" applyBorder="1" applyAlignment="1" applyProtection="1">
      <alignment horizontal="center" vertical="center"/>
      <protection hidden="1"/>
    </xf>
    <xf numFmtId="0" fontId="54" fillId="30" borderId="23" xfId="23" applyFont="1" applyFill="1" applyBorder="1" applyAlignment="1" applyProtection="1">
      <alignment horizontal="center" vertical="center"/>
      <protection hidden="1"/>
    </xf>
    <xf numFmtId="0" fontId="55" fillId="25" borderId="23" xfId="23" applyFont="1" applyFill="1" applyBorder="1" applyAlignment="1" applyProtection="1">
      <alignment horizontal="center" vertical="center"/>
      <protection hidden="1"/>
    </xf>
    <xf numFmtId="0" fontId="10" fillId="31" borderId="23" xfId="23" applyFont="1" applyFill="1" applyBorder="1" applyAlignment="1" applyProtection="1">
      <alignment horizontal="center" vertical="center"/>
      <protection hidden="1"/>
    </xf>
    <xf numFmtId="0" fontId="10" fillId="0" borderId="23" xfId="23" applyBorder="1" applyAlignment="1" applyProtection="1">
      <alignment horizontal="center" vertical="center"/>
      <protection hidden="1"/>
    </xf>
    <xf numFmtId="171" fontId="10" fillId="0" borderId="0" xfId="23" applyNumberFormat="1" applyAlignment="1" applyProtection="1">
      <alignment horizontal="right" vertical="center"/>
      <protection hidden="1"/>
    </xf>
    <xf numFmtId="180" fontId="10" fillId="0" borderId="0" xfId="23" applyNumberFormat="1" applyProtection="1">
      <alignment vertical="center"/>
      <protection hidden="1"/>
    </xf>
    <xf numFmtId="0" fontId="32" fillId="30" borderId="23" xfId="23" applyFont="1" applyFill="1" applyBorder="1" applyAlignment="1" applyProtection="1">
      <alignment horizontal="center" vertical="center"/>
      <protection hidden="1"/>
    </xf>
    <xf numFmtId="186" fontId="56" fillId="30" borderId="23" xfId="23" applyNumberFormat="1" applyFont="1" applyFill="1" applyBorder="1" applyProtection="1">
      <alignment vertical="center"/>
      <protection hidden="1"/>
    </xf>
    <xf numFmtId="171" fontId="56" fillId="30" borderId="23" xfId="23" applyNumberFormat="1" applyFont="1" applyFill="1" applyBorder="1" applyProtection="1">
      <alignment vertical="center"/>
      <protection hidden="1"/>
    </xf>
    <xf numFmtId="170" fontId="56" fillId="30" borderId="23" xfId="23" applyNumberFormat="1" applyFont="1" applyFill="1" applyBorder="1" applyProtection="1">
      <alignment vertical="center"/>
      <protection hidden="1"/>
    </xf>
    <xf numFmtId="170" fontId="57" fillId="30" borderId="23" xfId="23" applyNumberFormat="1" applyFont="1" applyFill="1" applyBorder="1" applyAlignment="1" applyProtection="1">
      <alignment horizontal="center" vertical="center"/>
      <protection hidden="1"/>
    </xf>
    <xf numFmtId="173" fontId="56" fillId="30" borderId="23" xfId="23" applyNumberFormat="1" applyFont="1" applyFill="1" applyBorder="1" applyProtection="1">
      <alignment vertical="center"/>
      <protection hidden="1"/>
    </xf>
    <xf numFmtId="187" fontId="58" fillId="25" borderId="23" xfId="23" applyNumberFormat="1" applyFont="1" applyFill="1" applyBorder="1" applyAlignment="1" applyProtection="1">
      <alignment horizontal="center" vertical="center"/>
      <protection hidden="1"/>
    </xf>
    <xf numFmtId="185" fontId="49" fillId="27" borderId="23" xfId="23" applyNumberFormat="1" applyFont="1" applyFill="1" applyBorder="1" applyAlignment="1" applyProtection="1">
      <alignment horizontal="right" vertical="center"/>
      <protection hidden="1"/>
    </xf>
    <xf numFmtId="0" fontId="48" fillId="27" borderId="23" xfId="23" applyFont="1" applyFill="1" applyBorder="1" applyAlignment="1" applyProtection="1">
      <alignment horizontal="right" vertical="center"/>
      <protection hidden="1"/>
    </xf>
    <xf numFmtId="0" fontId="59" fillId="0" borderId="23" xfId="23" applyFont="1" applyBorder="1" applyAlignment="1" applyProtection="1">
      <alignment horizontal="right" vertical="center"/>
      <protection hidden="1"/>
    </xf>
    <xf numFmtId="0" fontId="10" fillId="0" borderId="23" xfId="23" applyFont="1" applyBorder="1" applyAlignment="1" applyProtection="1">
      <alignment horizontal="right" vertical="center"/>
      <protection hidden="1"/>
    </xf>
    <xf numFmtId="0" fontId="10" fillId="0" borderId="10" xfId="23" applyFont="1" applyFill="1" applyBorder="1" applyAlignment="1" applyProtection="1">
      <alignment horizontal="center" vertical="center"/>
      <protection hidden="1"/>
    </xf>
    <xf numFmtId="0" fontId="10" fillId="25" borderId="23" xfId="23" applyFont="1" applyFill="1" applyBorder="1" applyAlignment="1" applyProtection="1">
      <alignment horizontal="center" vertical="center"/>
      <protection hidden="1"/>
    </xf>
    <xf numFmtId="0" fontId="60" fillId="25" borderId="23" xfId="23" applyFont="1" applyFill="1" applyBorder="1" applyAlignment="1" applyProtection="1">
      <alignment horizontal="center" vertical="center" wrapText="1"/>
      <protection hidden="1"/>
    </xf>
    <xf numFmtId="0" fontId="61" fillId="25" borderId="23" xfId="23" applyFont="1" applyFill="1" applyBorder="1" applyAlignment="1" applyProtection="1">
      <alignment horizontal="center" vertical="center"/>
      <protection hidden="1"/>
    </xf>
    <xf numFmtId="0" fontId="10" fillId="0" borderId="0" xfId="23" applyFont="1" applyFill="1" applyBorder="1" applyAlignment="1" applyProtection="1">
      <alignment horizontal="center" vertical="center"/>
      <protection hidden="1"/>
    </xf>
    <xf numFmtId="179" fontId="10" fillId="0" borderId="0" xfId="23" applyNumberFormat="1" applyProtection="1">
      <alignment vertical="center"/>
      <protection hidden="1"/>
    </xf>
    <xf numFmtId="0" fontId="87" fillId="0" borderId="23" xfId="22" applyFont="1" applyBorder="1" applyAlignment="1">
      <alignment horizontal="center" vertical="center"/>
    </xf>
    <xf numFmtId="0" fontId="75" fillId="0" borderId="0" xfId="22" applyFont="1" applyAlignment="1" applyProtection="1">
      <alignment horizontal="center" vertical="center"/>
    </xf>
    <xf numFmtId="0" fontId="75" fillId="0" borderId="0" xfId="22" applyFont="1" applyAlignment="1" applyProtection="1">
      <alignment horizontal="center"/>
    </xf>
    <xf numFmtId="0" fontId="76" fillId="0" borderId="0" xfId="23" applyFont="1" applyAlignment="1" applyProtection="1">
      <alignment vertical="center"/>
    </xf>
    <xf numFmtId="0" fontId="75" fillId="0" borderId="0" xfId="23" applyFont="1" applyAlignment="1" applyProtection="1">
      <alignment vertical="center"/>
    </xf>
    <xf numFmtId="0" fontId="75" fillId="0" borderId="0" xfId="22" applyFont="1" applyBorder="1" applyAlignment="1" applyProtection="1">
      <alignment horizontal="center" vertical="center"/>
    </xf>
    <xf numFmtId="0" fontId="76" fillId="0" borderId="0" xfId="22" applyFont="1" applyFill="1" applyBorder="1" applyAlignment="1" applyProtection="1">
      <alignment horizontal="center" vertical="center"/>
    </xf>
    <xf numFmtId="165" fontId="76" fillId="24" borderId="0" xfId="22" applyNumberFormat="1" applyFont="1" applyFill="1" applyBorder="1" applyAlignment="1" applyProtection="1">
      <alignment horizontal="center" vertical="center"/>
    </xf>
    <xf numFmtId="165" fontId="76" fillId="24" borderId="0" xfId="22" applyNumberFormat="1" applyFont="1" applyFill="1" applyAlignment="1" applyProtection="1">
      <alignment horizontal="center" vertical="center"/>
    </xf>
    <xf numFmtId="0" fontId="77" fillId="0" borderId="0" xfId="22" applyFont="1" applyFill="1" applyAlignment="1" applyProtection="1">
      <alignment horizontal="center" vertical="center"/>
    </xf>
    <xf numFmtId="0" fontId="77" fillId="0" borderId="0" xfId="22" applyFont="1" applyFill="1" applyAlignment="1" applyProtection="1">
      <alignment horizontal="left" vertical="center"/>
    </xf>
    <xf numFmtId="0" fontId="76" fillId="0" borderId="0" xfId="22" applyFont="1" applyBorder="1" applyAlignment="1" applyProtection="1">
      <alignment horizontal="center" vertical="center"/>
    </xf>
    <xf numFmtId="49" fontId="76" fillId="0" borderId="0" xfId="22" applyNumberFormat="1" applyFont="1" applyBorder="1" applyAlignment="1" applyProtection="1">
      <alignment horizontal="center" vertical="center"/>
    </xf>
    <xf numFmtId="0" fontId="75" fillId="0" borderId="0" xfId="22" applyFont="1" applyBorder="1" applyAlignment="1" applyProtection="1">
      <alignment horizontal="center"/>
    </xf>
    <xf numFmtId="0" fontId="76" fillId="0" borderId="0" xfId="22" applyFont="1" applyAlignment="1" applyProtection="1">
      <alignment horizontal="center" vertical="center"/>
    </xf>
    <xf numFmtId="22" fontId="75" fillId="0" borderId="0" xfId="23" applyNumberFormat="1" applyFont="1" applyAlignment="1" applyProtection="1">
      <alignment vertical="center"/>
    </xf>
    <xf numFmtId="0" fontId="76" fillId="0" borderId="0" xfId="22" applyFont="1" applyFill="1" applyAlignment="1" applyProtection="1">
      <alignment horizontal="center" vertical="center"/>
    </xf>
    <xf numFmtId="0" fontId="76" fillId="24" borderId="0" xfId="22" applyFont="1" applyFill="1" applyAlignment="1" applyProtection="1">
      <alignment horizontal="center" vertical="center"/>
    </xf>
    <xf numFmtId="189" fontId="76" fillId="0" borderId="0" xfId="22" applyNumberFormat="1" applyFont="1" applyFill="1" applyBorder="1" applyAlignment="1" applyProtection="1">
      <alignment horizontal="center"/>
    </xf>
    <xf numFmtId="0" fontId="75" fillId="0" borderId="0" xfId="22" applyFont="1" applyBorder="1" applyAlignment="1" applyProtection="1"/>
    <xf numFmtId="0" fontId="75" fillId="33" borderId="18" xfId="22" applyFont="1" applyFill="1" applyBorder="1" applyAlignment="1" applyProtection="1">
      <alignment horizontal="center" vertical="center"/>
    </xf>
    <xf numFmtId="0" fontId="76" fillId="33" borderId="19" xfId="22" applyFont="1" applyFill="1" applyBorder="1" applyAlignment="1" applyProtection="1">
      <alignment horizontal="center" vertical="center"/>
    </xf>
    <xf numFmtId="0" fontId="75" fillId="34" borderId="18" xfId="22" applyFont="1" applyFill="1" applyBorder="1" applyAlignment="1" applyProtection="1">
      <alignment horizontal="center" vertical="center"/>
    </xf>
    <xf numFmtId="0" fontId="76" fillId="34" borderId="19" xfId="22" applyFont="1" applyFill="1" applyBorder="1" applyAlignment="1" applyProtection="1">
      <alignment horizontal="center" vertical="center"/>
    </xf>
    <xf numFmtId="0" fontId="76" fillId="33" borderId="20" xfId="22" applyFont="1" applyFill="1" applyBorder="1" applyAlignment="1" applyProtection="1">
      <alignment horizontal="center" vertical="center"/>
    </xf>
    <xf numFmtId="0" fontId="75" fillId="0" borderId="0" xfId="22" applyFont="1" applyBorder="1" applyAlignment="1" applyProtection="1">
      <alignment horizontal="left" vertical="center"/>
    </xf>
    <xf numFmtId="0" fontId="75" fillId="33" borderId="10" xfId="22" applyFont="1" applyFill="1" applyBorder="1" applyAlignment="1" applyProtection="1">
      <alignment horizontal="center" vertical="center"/>
    </xf>
    <xf numFmtId="0" fontId="76" fillId="33" borderId="0" xfId="22" applyFont="1" applyFill="1" applyBorder="1" applyAlignment="1" applyProtection="1">
      <alignment horizontal="center" vertical="center"/>
    </xf>
    <xf numFmtId="0" fontId="78" fillId="33" borderId="0" xfId="22" applyFont="1" applyFill="1" applyBorder="1" applyAlignment="1" applyProtection="1">
      <alignment horizontal="center" vertical="center"/>
    </xf>
    <xf numFmtId="0" fontId="78" fillId="34" borderId="10" xfId="22" applyFont="1" applyFill="1" applyBorder="1" applyAlignment="1" applyProtection="1">
      <alignment horizontal="center" vertical="center"/>
    </xf>
    <xf numFmtId="0" fontId="76" fillId="34" borderId="0" xfId="22" applyFont="1" applyFill="1" applyBorder="1" applyAlignment="1" applyProtection="1">
      <alignment horizontal="center" vertical="center"/>
    </xf>
    <xf numFmtId="0" fontId="78" fillId="34" borderId="0" xfId="22" applyFont="1" applyFill="1" applyBorder="1" applyAlignment="1" applyProtection="1">
      <alignment horizontal="center" vertical="center"/>
    </xf>
    <xf numFmtId="0" fontId="76" fillId="33" borderId="11" xfId="22" applyFont="1" applyFill="1" applyBorder="1" applyAlignment="1" applyProtection="1">
      <alignment horizontal="center" vertical="center"/>
    </xf>
    <xf numFmtId="0" fontId="75" fillId="33" borderId="0" xfId="22" applyFont="1" applyFill="1" applyBorder="1" applyAlignment="1" applyProtection="1">
      <alignment horizontal="center" vertical="center"/>
    </xf>
    <xf numFmtId="0" fontId="79" fillId="33" borderId="0" xfId="22" applyFont="1" applyFill="1" applyBorder="1" applyAlignment="1" applyProtection="1">
      <alignment horizontal="center" vertical="center"/>
    </xf>
    <xf numFmtId="0" fontId="75" fillId="34" borderId="10" xfId="22" applyFont="1" applyFill="1" applyBorder="1" applyAlignment="1" applyProtection="1">
      <alignment horizontal="center" vertical="center"/>
    </xf>
    <xf numFmtId="0" fontId="75" fillId="34" borderId="0" xfId="22" applyFont="1" applyFill="1" applyBorder="1" applyAlignment="1" applyProtection="1">
      <alignment horizontal="center" vertical="center"/>
    </xf>
    <xf numFmtId="0" fontId="79" fillId="34" borderId="0" xfId="22" applyFont="1" applyFill="1" applyBorder="1" applyAlignment="1" applyProtection="1">
      <alignment horizontal="center" vertical="center"/>
    </xf>
    <xf numFmtId="0" fontId="76" fillId="33" borderId="10" xfId="22" applyFont="1" applyFill="1" applyBorder="1" applyAlignment="1" applyProtection="1">
      <alignment horizontal="center" vertical="center"/>
    </xf>
    <xf numFmtId="0" fontId="76" fillId="34" borderId="10" xfId="22" applyFont="1" applyFill="1" applyBorder="1" applyAlignment="1" applyProtection="1">
      <alignment horizontal="center" vertical="center"/>
    </xf>
    <xf numFmtId="0" fontId="78" fillId="33" borderId="11" xfId="22" applyFont="1" applyFill="1" applyBorder="1" applyAlignment="1" applyProtection="1">
      <alignment horizontal="center" vertical="center"/>
    </xf>
    <xf numFmtId="0" fontId="76" fillId="32" borderId="18" xfId="22" applyFont="1" applyFill="1" applyBorder="1" applyAlignment="1" applyProtection="1">
      <alignment horizontal="center" vertical="center"/>
    </xf>
    <xf numFmtId="0" fontId="76" fillId="32" borderId="19" xfId="22" applyFont="1" applyFill="1" applyBorder="1" applyAlignment="1" applyProtection="1">
      <alignment horizontal="center" vertical="center"/>
    </xf>
    <xf numFmtId="0" fontId="76" fillId="32" borderId="19" xfId="22" applyFont="1" applyFill="1" applyBorder="1" applyAlignment="1" applyProtection="1">
      <alignment vertical="center"/>
    </xf>
    <xf numFmtId="0" fontId="76" fillId="32" borderId="19" xfId="22" applyFont="1" applyFill="1" applyBorder="1" applyAlignment="1" applyProtection="1">
      <alignment horizontal="right" vertical="center"/>
    </xf>
    <xf numFmtId="0" fontId="76" fillId="34" borderId="20" xfId="22" applyFont="1" applyFill="1" applyBorder="1" applyAlignment="1" applyProtection="1">
      <alignment horizontal="center" vertical="center"/>
    </xf>
    <xf numFmtId="0" fontId="76" fillId="32" borderId="10" xfId="22" applyFont="1" applyFill="1" applyBorder="1" applyAlignment="1" applyProtection="1">
      <alignment horizontal="left" vertical="center"/>
    </xf>
    <xf numFmtId="0" fontId="76" fillId="32" borderId="0" xfId="22" applyFont="1" applyFill="1" applyBorder="1" applyAlignment="1" applyProtection="1">
      <alignment horizontal="center" vertical="center"/>
    </xf>
    <xf numFmtId="0" fontId="76" fillId="32" borderId="0" xfId="22" applyFont="1" applyFill="1" applyBorder="1" applyAlignment="1" applyProtection="1">
      <alignment horizontal="right" vertical="center"/>
    </xf>
    <xf numFmtId="0" fontId="76" fillId="34" borderId="11" xfId="22" applyFont="1" applyFill="1" applyBorder="1" applyAlignment="1" applyProtection="1">
      <alignment horizontal="center" vertical="center"/>
    </xf>
    <xf numFmtId="0" fontId="76" fillId="32" borderId="10" xfId="22" applyFont="1" applyFill="1" applyBorder="1" applyAlignment="1" applyProtection="1">
      <alignment horizontal="center" vertical="center"/>
    </xf>
    <xf numFmtId="0" fontId="76" fillId="32" borderId="0" xfId="22" applyFont="1" applyFill="1" applyBorder="1" applyAlignment="1" applyProtection="1">
      <alignment vertical="center"/>
    </xf>
    <xf numFmtId="0" fontId="76" fillId="33" borderId="12" xfId="22" applyFont="1" applyFill="1" applyBorder="1" applyAlignment="1" applyProtection="1">
      <alignment horizontal="center" vertical="center"/>
    </xf>
    <xf numFmtId="0" fontId="76" fillId="33" borderId="14" xfId="22" applyFont="1" applyFill="1" applyBorder="1" applyAlignment="1" applyProtection="1">
      <alignment horizontal="center" vertical="center"/>
    </xf>
    <xf numFmtId="0" fontId="78" fillId="33" borderId="14" xfId="22" applyFont="1" applyFill="1" applyBorder="1" applyAlignment="1" applyProtection="1">
      <alignment horizontal="center" vertical="center"/>
    </xf>
    <xf numFmtId="0" fontId="76" fillId="34" borderId="12" xfId="22" applyFont="1" applyFill="1" applyBorder="1" applyAlignment="1" applyProtection="1">
      <alignment horizontal="center" vertical="center"/>
    </xf>
    <xf numFmtId="0" fontId="76" fillId="34" borderId="14" xfId="22" applyFont="1" applyFill="1" applyBorder="1" applyAlignment="1" applyProtection="1">
      <alignment horizontal="center" vertical="center"/>
    </xf>
    <xf numFmtId="0" fontId="78" fillId="34" borderId="14" xfId="22" applyFont="1" applyFill="1" applyBorder="1" applyAlignment="1" applyProtection="1">
      <alignment horizontal="center" vertical="center"/>
    </xf>
    <xf numFmtId="0" fontId="78" fillId="33" borderId="13" xfId="22" applyFont="1" applyFill="1" applyBorder="1" applyAlignment="1" applyProtection="1">
      <alignment horizontal="center" vertical="center"/>
    </xf>
    <xf numFmtId="0" fontId="75" fillId="0" borderId="0" xfId="22" applyFont="1" applyAlignment="1" applyProtection="1">
      <alignment horizontal="left"/>
    </xf>
    <xf numFmtId="0" fontId="75" fillId="0" borderId="0" xfId="22" applyFont="1" applyBorder="1" applyAlignment="1" applyProtection="1">
      <alignment horizontal="left"/>
    </xf>
    <xf numFmtId="0" fontId="77" fillId="0" borderId="0" xfId="22" applyFont="1" applyFill="1" applyBorder="1" applyAlignment="1" applyProtection="1">
      <alignment horizontal="center" vertical="center"/>
    </xf>
    <xf numFmtId="0" fontId="75" fillId="0" borderId="0" xfId="23" applyFont="1" applyFill="1" applyBorder="1" applyAlignment="1" applyProtection="1">
      <alignment vertical="center"/>
    </xf>
    <xf numFmtId="0" fontId="75" fillId="0" borderId="0" xfId="23" applyFont="1" applyFill="1" applyBorder="1" applyAlignment="1" applyProtection="1">
      <alignment horizontal="center" vertical="center"/>
    </xf>
    <xf numFmtId="0" fontId="75" fillId="0" borderId="0" xfId="22" applyFont="1" applyFill="1" applyBorder="1" applyAlignment="1" applyProtection="1">
      <alignment horizontal="center" vertical="center"/>
    </xf>
    <xf numFmtId="0" fontId="75" fillId="0" borderId="0" xfId="22" applyFont="1" applyFill="1" applyBorder="1" applyAlignment="1" applyProtection="1">
      <alignment horizontal="center"/>
    </xf>
    <xf numFmtId="1" fontId="76" fillId="0" borderId="0" xfId="22" applyNumberFormat="1" applyFont="1" applyFill="1" applyBorder="1" applyAlignment="1" applyProtection="1">
      <alignment horizontal="center" vertical="center"/>
    </xf>
    <xf numFmtId="165" fontId="76" fillId="0" borderId="0" xfId="22" applyNumberFormat="1" applyFont="1" applyFill="1" applyBorder="1" applyAlignment="1" applyProtection="1">
      <alignment horizontal="center" vertical="center"/>
    </xf>
    <xf numFmtId="0" fontId="76" fillId="0" borderId="0" xfId="23" applyFont="1" applyFill="1" applyBorder="1" applyAlignment="1" applyProtection="1">
      <alignment horizontal="left" vertical="center"/>
    </xf>
    <xf numFmtId="0" fontId="75" fillId="0" borderId="0" xfId="23" applyFont="1" applyFill="1" applyBorder="1" applyAlignment="1" applyProtection="1">
      <alignment horizontal="center" vertical="center" wrapText="1"/>
    </xf>
    <xf numFmtId="0" fontId="75" fillId="0" borderId="0" xfId="22" applyFont="1" applyFill="1" applyBorder="1" applyAlignment="1" applyProtection="1">
      <alignment wrapText="1"/>
    </xf>
    <xf numFmtId="0" fontId="88" fillId="0" borderId="0" xfId="22" applyFont="1" applyFill="1" applyBorder="1" applyAlignment="1" applyProtection="1">
      <alignment horizontal="center" vertical="center"/>
    </xf>
    <xf numFmtId="0" fontId="80" fillId="0" borderId="0" xfId="22" applyFont="1" applyAlignment="1" applyProtection="1">
      <alignment horizontal="center" vertical="center"/>
      <protection locked="0" hidden="1"/>
    </xf>
    <xf numFmtId="0" fontId="80" fillId="0" borderId="0" xfId="22" applyFont="1" applyAlignment="1" applyProtection="1">
      <alignment horizontal="center" vertical="center"/>
      <protection hidden="1"/>
    </xf>
    <xf numFmtId="0" fontId="80" fillId="0" borderId="0" xfId="22" applyFont="1" applyAlignment="1" applyProtection="1">
      <alignment horizontal="center"/>
      <protection hidden="1"/>
    </xf>
    <xf numFmtId="0" fontId="81" fillId="0" borderId="0" xfId="23" applyFont="1" applyAlignment="1" applyProtection="1">
      <alignment vertical="center"/>
      <protection hidden="1"/>
    </xf>
    <xf numFmtId="0" fontId="80" fillId="0" borderId="0" xfId="23" applyFont="1" applyAlignment="1" applyProtection="1">
      <alignment vertical="center"/>
      <protection hidden="1"/>
    </xf>
    <xf numFmtId="0" fontId="80" fillId="0" borderId="0" xfId="22" applyFont="1" applyBorder="1" applyAlignment="1" applyProtection="1">
      <alignment horizontal="center" vertical="center"/>
      <protection hidden="1"/>
    </xf>
    <xf numFmtId="0" fontId="81" fillId="0" borderId="0" xfId="22" applyFont="1" applyFill="1" applyBorder="1" applyAlignment="1" applyProtection="1">
      <alignment horizontal="center" vertical="center"/>
      <protection hidden="1"/>
    </xf>
    <xf numFmtId="165" fontId="81" fillId="24" borderId="0" xfId="22" applyNumberFormat="1" applyFont="1" applyFill="1" applyBorder="1" applyAlignment="1" applyProtection="1">
      <alignment horizontal="center" vertical="center"/>
      <protection locked="0"/>
    </xf>
    <xf numFmtId="165" fontId="81" fillId="24" borderId="0" xfId="22" applyNumberFormat="1" applyFont="1" applyFill="1" applyAlignment="1" applyProtection="1">
      <alignment horizontal="center" vertical="center"/>
      <protection locked="0"/>
    </xf>
    <xf numFmtId="0" fontId="82" fillId="0" borderId="0" xfId="22" applyFont="1" applyFill="1" applyAlignment="1" applyProtection="1">
      <alignment horizontal="center" vertical="center"/>
      <protection hidden="1"/>
    </xf>
    <xf numFmtId="0" fontId="82" fillId="0" borderId="0" xfId="22" applyFont="1" applyFill="1" applyAlignment="1" applyProtection="1">
      <alignment horizontal="left" vertical="center"/>
      <protection hidden="1"/>
    </xf>
    <xf numFmtId="0" fontId="81" fillId="0" borderId="0" xfId="22" applyFont="1" applyBorder="1" applyAlignment="1" applyProtection="1">
      <alignment horizontal="center" vertical="center"/>
      <protection hidden="1"/>
    </xf>
    <xf numFmtId="49" fontId="81" fillId="0" borderId="0" xfId="22" applyNumberFormat="1" applyFont="1" applyBorder="1" applyAlignment="1" applyProtection="1">
      <alignment horizontal="center" vertical="center"/>
      <protection hidden="1"/>
    </xf>
    <xf numFmtId="0" fontId="80" fillId="0" borderId="0" xfId="22" applyFont="1" applyBorder="1" applyAlignment="1" applyProtection="1">
      <alignment horizontal="center"/>
      <protection hidden="1"/>
    </xf>
    <xf numFmtId="0" fontId="81" fillId="0" borderId="0" xfId="22" applyFont="1" applyAlignment="1" applyProtection="1">
      <alignment horizontal="center" vertical="center"/>
      <protection hidden="1"/>
    </xf>
    <xf numFmtId="22" fontId="80" fillId="0" borderId="0" xfId="23" applyNumberFormat="1" applyFont="1" applyAlignment="1" applyProtection="1">
      <alignment vertical="center"/>
      <protection hidden="1"/>
    </xf>
    <xf numFmtId="0" fontId="81" fillId="0" borderId="0" xfId="22" applyFont="1" applyFill="1" applyAlignment="1" applyProtection="1">
      <alignment horizontal="center" vertical="center"/>
      <protection hidden="1"/>
    </xf>
    <xf numFmtId="0" fontId="81" fillId="24" borderId="0" xfId="22" applyFont="1" applyFill="1" applyAlignment="1" applyProtection="1">
      <alignment horizontal="center" vertical="center"/>
      <protection locked="0"/>
    </xf>
    <xf numFmtId="189" fontId="81" fillId="0" borderId="0" xfId="22" applyNumberFormat="1" applyFont="1" applyFill="1" applyBorder="1" applyAlignment="1" applyProtection="1">
      <alignment horizontal="center"/>
      <protection hidden="1"/>
    </xf>
    <xf numFmtId="0" fontId="80" fillId="0" borderId="0" xfId="22" applyFont="1" applyBorder="1" applyAlignment="1" applyProtection="1">
      <protection hidden="1"/>
    </xf>
    <xf numFmtId="0" fontId="80" fillId="0" borderId="0" xfId="22" applyFont="1" applyBorder="1" applyAlignment="1" applyProtection="1">
      <alignment horizontal="left" vertical="center"/>
      <protection hidden="1"/>
    </xf>
    <xf numFmtId="0" fontId="81" fillId="0" borderId="0" xfId="23" applyFont="1" applyBorder="1" applyAlignment="1" applyProtection="1">
      <alignment horizontal="left" vertical="center"/>
      <protection hidden="1"/>
    </xf>
    <xf numFmtId="0" fontId="80" fillId="0" borderId="0" xfId="23" applyFont="1" applyBorder="1" applyAlignment="1" applyProtection="1">
      <alignment horizontal="center" vertical="center"/>
      <protection hidden="1"/>
    </xf>
    <xf numFmtId="0" fontId="80" fillId="0" borderId="26" xfId="22" applyFont="1" applyBorder="1" applyAlignment="1" applyProtection="1">
      <alignment horizontal="center" vertical="center"/>
      <protection hidden="1"/>
    </xf>
    <xf numFmtId="0" fontId="80" fillId="0" borderId="26" xfId="23" applyFont="1" applyBorder="1" applyAlignment="1" applyProtection="1">
      <alignment horizontal="center" vertical="center"/>
      <protection hidden="1"/>
    </xf>
    <xf numFmtId="0" fontId="80" fillId="0" borderId="27" xfId="23" applyFont="1" applyBorder="1" applyAlignment="1" applyProtection="1">
      <alignment horizontal="center" vertical="center"/>
      <protection hidden="1"/>
    </xf>
    <xf numFmtId="0" fontId="80" fillId="0" borderId="28" xfId="23" applyFont="1" applyBorder="1" applyAlignment="1" applyProtection="1">
      <alignment horizontal="center" vertical="center"/>
      <protection hidden="1"/>
    </xf>
    <xf numFmtId="0" fontId="80" fillId="0" borderId="29" xfId="22" applyFont="1" applyFill="1" applyBorder="1" applyAlignment="1" applyProtection="1">
      <alignment horizontal="center" vertical="center"/>
      <protection hidden="1"/>
    </xf>
    <xf numFmtId="0" fontId="80" fillId="0" borderId="29" xfId="22" applyFont="1" applyBorder="1" applyAlignment="1" applyProtection="1">
      <alignment horizontal="center" vertical="center"/>
      <protection hidden="1"/>
    </xf>
    <xf numFmtId="0" fontId="80" fillId="0" borderId="29" xfId="23" applyFont="1" applyBorder="1" applyAlignment="1" applyProtection="1">
      <alignment horizontal="center" vertical="center"/>
      <protection hidden="1"/>
    </xf>
    <xf numFmtId="0" fontId="80" fillId="0" borderId="30" xfId="22" applyFont="1" applyFill="1" applyBorder="1" applyAlignment="1" applyProtection="1">
      <alignment horizontal="center" vertical="center"/>
      <protection hidden="1"/>
    </xf>
    <xf numFmtId="0" fontId="80" fillId="0" borderId="30" xfId="22" applyFont="1" applyBorder="1" applyAlignment="1" applyProtection="1">
      <alignment horizontal="center" vertical="center"/>
      <protection hidden="1"/>
    </xf>
    <xf numFmtId="0" fontId="80" fillId="0" borderId="30" xfId="23" applyFont="1" applyBorder="1" applyAlignment="1" applyProtection="1">
      <alignment horizontal="center" vertical="center"/>
      <protection hidden="1"/>
    </xf>
    <xf numFmtId="0" fontId="80" fillId="0" borderId="0" xfId="23" applyFont="1" applyAlignment="1" applyProtection="1">
      <alignment horizontal="center" vertical="center"/>
      <protection hidden="1"/>
    </xf>
    <xf numFmtId="0" fontId="80" fillId="0" borderId="31" xfId="22" applyFont="1" applyBorder="1" applyAlignment="1" applyProtection="1">
      <alignment horizontal="center" vertical="center"/>
      <protection hidden="1"/>
    </xf>
    <xf numFmtId="0" fontId="80" fillId="0" borderId="32" xfId="22" applyFont="1" applyBorder="1" applyAlignment="1" applyProtection="1">
      <alignment horizontal="center" vertical="center"/>
      <protection hidden="1"/>
    </xf>
    <xf numFmtId="0" fontId="80" fillId="0" borderId="32" xfId="23" applyFont="1" applyBorder="1" applyAlignment="1" applyProtection="1">
      <alignment horizontal="center" vertical="center"/>
      <protection hidden="1"/>
    </xf>
    <xf numFmtId="0" fontId="80" fillId="0" borderId="33" xfId="22" applyFont="1" applyFill="1" applyBorder="1" applyAlignment="1" applyProtection="1">
      <alignment horizontal="center" vertical="center"/>
      <protection hidden="1"/>
    </xf>
    <xf numFmtId="0" fontId="80" fillId="0" borderId="34" xfId="23" applyFont="1" applyBorder="1" applyAlignment="1" applyProtection="1">
      <alignment horizontal="center" vertical="center"/>
      <protection hidden="1"/>
    </xf>
    <xf numFmtId="0" fontId="80" fillId="0" borderId="0" xfId="22" applyFont="1" applyAlignment="1" applyProtection="1">
      <alignment horizontal="left"/>
      <protection hidden="1"/>
    </xf>
    <xf numFmtId="0" fontId="80" fillId="0" borderId="0" xfId="22" applyFont="1" applyBorder="1" applyAlignment="1" applyProtection="1">
      <alignment horizontal="left"/>
      <protection hidden="1"/>
    </xf>
    <xf numFmtId="0" fontId="80" fillId="0" borderId="24" xfId="23" applyFont="1" applyBorder="1" applyAlignment="1" applyProtection="1">
      <alignment horizontal="center" vertical="center"/>
      <protection hidden="1"/>
    </xf>
    <xf numFmtId="0" fontId="80" fillId="0" borderId="35" xfId="22" applyFont="1" applyBorder="1" applyAlignment="1" applyProtection="1">
      <alignment horizontal="center" vertical="center"/>
      <protection hidden="1"/>
    </xf>
    <xf numFmtId="0" fontId="67" fillId="0" borderId="0" xfId="22" applyFont="1" applyBorder="1" applyAlignment="1" applyProtection="1">
      <alignment horizontal="center"/>
    </xf>
    <xf numFmtId="1" fontId="67" fillId="24" borderId="0" xfId="22" applyNumberFormat="1" applyFont="1" applyFill="1" applyBorder="1" applyAlignment="1" applyProtection="1">
      <alignment horizontal="center"/>
    </xf>
    <xf numFmtId="0" fontId="67" fillId="0" borderId="0" xfId="22" applyFont="1" applyFill="1" applyBorder="1" applyAlignment="1" applyProtection="1">
      <alignment horizontal="center"/>
    </xf>
    <xf numFmtId="0" fontId="67" fillId="0" borderId="0" xfId="22" applyFont="1" applyFill="1" applyBorder="1" applyAlignment="1" applyProtection="1">
      <alignment horizontal="center" vertical="center"/>
    </xf>
    <xf numFmtId="0" fontId="75" fillId="33" borderId="0" xfId="22" applyFont="1" applyFill="1" applyBorder="1" applyAlignment="1" applyProtection="1">
      <alignment horizontal="center"/>
    </xf>
    <xf numFmtId="0" fontId="75" fillId="33" borderId="10" xfId="22" applyFont="1" applyFill="1" applyBorder="1" applyAlignment="1" applyProtection="1">
      <alignment horizontal="center"/>
    </xf>
    <xf numFmtId="0" fontId="75" fillId="33" borderId="11" xfId="22" applyFont="1" applyFill="1" applyBorder="1" applyAlignment="1" applyProtection="1">
      <alignment horizontal="center"/>
    </xf>
    <xf numFmtId="0" fontId="75" fillId="34" borderId="0" xfId="22" applyFont="1" applyFill="1" applyBorder="1" applyAlignment="1" applyProtection="1">
      <alignment horizontal="center"/>
    </xf>
    <xf numFmtId="0" fontId="76" fillId="34" borderId="13" xfId="22" applyFont="1" applyFill="1" applyBorder="1" applyAlignment="1" applyProtection="1">
      <alignment horizontal="center" vertical="center"/>
    </xf>
    <xf numFmtId="0" fontId="76" fillId="32" borderId="20" xfId="22" applyFont="1" applyFill="1" applyBorder="1" applyAlignment="1" applyProtection="1">
      <alignment horizontal="right" vertical="center"/>
    </xf>
    <xf numFmtId="0" fontId="76" fillId="32" borderId="11" xfId="22" applyFont="1" applyFill="1" applyBorder="1" applyAlignment="1" applyProtection="1">
      <alignment horizontal="right" vertical="center"/>
    </xf>
    <xf numFmtId="0" fontId="76" fillId="32" borderId="11" xfId="22" applyFont="1" applyFill="1" applyBorder="1" applyAlignment="1" applyProtection="1">
      <alignment vertical="center"/>
    </xf>
    <xf numFmtId="0" fontId="76" fillId="32" borderId="12" xfId="22" applyFont="1" applyFill="1" applyBorder="1" applyAlignment="1" applyProtection="1">
      <alignment horizontal="left" vertical="center"/>
    </xf>
    <xf numFmtId="0" fontId="76" fillId="32" borderId="14" xfId="22" applyFont="1" applyFill="1" applyBorder="1" applyAlignment="1" applyProtection="1">
      <alignment horizontal="center" vertical="center"/>
    </xf>
    <xf numFmtId="0" fontId="76" fillId="32" borderId="14" xfId="22" applyFont="1" applyFill="1" applyBorder="1" applyAlignment="1" applyProtection="1">
      <alignment vertical="center"/>
    </xf>
    <xf numFmtId="0" fontId="66" fillId="0" borderId="0" xfId="22" applyFont="1" applyBorder="1" applyAlignment="1" applyProtection="1">
      <alignment horizontal="left" vertical="center"/>
    </xf>
    <xf numFmtId="0" fontId="68" fillId="0" borderId="0" xfId="22" applyFont="1" applyFill="1" applyBorder="1" applyAlignment="1" applyProtection="1">
      <alignment horizontal="center"/>
    </xf>
    <xf numFmtId="1" fontId="67" fillId="0" borderId="0" xfId="22" applyNumberFormat="1" applyFont="1" applyFill="1" applyBorder="1" applyAlignment="1" applyProtection="1">
      <alignment vertical="center"/>
    </xf>
    <xf numFmtId="0" fontId="67" fillId="24" borderId="0" xfId="22" applyFont="1" applyFill="1" applyBorder="1" applyAlignment="1" applyProtection="1">
      <alignment horizontal="center"/>
    </xf>
    <xf numFmtId="0" fontId="75" fillId="34" borderId="10" xfId="22" applyFont="1" applyFill="1" applyBorder="1" applyAlignment="1" applyProtection="1">
      <alignment horizontal="center"/>
    </xf>
    <xf numFmtId="0" fontId="66" fillId="0" borderId="14" xfId="22" applyFont="1" applyBorder="1" applyAlignment="1">
      <alignment horizontal="center"/>
    </xf>
    <xf numFmtId="0" fontId="66" fillId="0" borderId="14" xfId="22" applyFont="1" applyFill="1" applyBorder="1" applyAlignment="1">
      <alignment horizontal="center"/>
    </xf>
    <xf numFmtId="0" fontId="66" fillId="0" borderId="15" xfId="22" applyFont="1" applyBorder="1" applyAlignment="1">
      <alignment horizontal="center"/>
    </xf>
    <xf numFmtId="0" fontId="71" fillId="0" borderId="15" xfId="22" applyFont="1" applyBorder="1" applyAlignment="1">
      <alignment horizontal="center"/>
    </xf>
    <xf numFmtId="0" fontId="69" fillId="0" borderId="15" xfId="22" applyFont="1" applyBorder="1" applyAlignment="1">
      <alignment horizontal="center"/>
    </xf>
    <xf numFmtId="0" fontId="66" fillId="0" borderId="18" xfId="22" applyFont="1" applyBorder="1" applyAlignment="1">
      <alignment horizontal="center"/>
    </xf>
    <xf numFmtId="0" fontId="66" fillId="0" borderId="19" xfId="22" applyFont="1" applyBorder="1" applyAlignment="1">
      <alignment horizontal="center"/>
    </xf>
    <xf numFmtId="0" fontId="71" fillId="0" borderId="19" xfId="22" applyFont="1" applyBorder="1" applyAlignment="1">
      <alignment horizontal="center"/>
    </xf>
    <xf numFmtId="0" fontId="69" fillId="0" borderId="19" xfId="22" applyFont="1" applyBorder="1" applyAlignment="1">
      <alignment horizontal="center"/>
    </xf>
    <xf numFmtId="0" fontId="66" fillId="0" borderId="10" xfId="22" applyFont="1" applyBorder="1" applyAlignment="1">
      <alignment horizontal="center"/>
    </xf>
    <xf numFmtId="0" fontId="71" fillId="0" borderId="0" xfId="22" applyFont="1" applyBorder="1" applyAlignment="1">
      <alignment horizontal="center"/>
    </xf>
    <xf numFmtId="0" fontId="66" fillId="0" borderId="12" xfId="22" applyFont="1" applyBorder="1" applyAlignment="1">
      <alignment horizontal="center"/>
    </xf>
    <xf numFmtId="0" fontId="66" fillId="0" borderId="13" xfId="22" applyFont="1" applyBorder="1" applyAlignment="1">
      <alignment horizontal="center"/>
    </xf>
    <xf numFmtId="0" fontId="71" fillId="0" borderId="25" xfId="22" applyFont="1" applyFill="1" applyBorder="1" applyAlignment="1">
      <alignment horizontal="center"/>
    </xf>
    <xf numFmtId="0" fontId="69" fillId="0" borderId="18" xfId="22" applyFont="1" applyBorder="1" applyAlignment="1">
      <alignment horizontal="center"/>
    </xf>
    <xf numFmtId="0" fontId="71" fillId="0" borderId="15" xfId="22" applyFont="1" applyFill="1" applyBorder="1" applyAlignment="1">
      <alignment horizontal="center"/>
    </xf>
    <xf numFmtId="0" fontId="71" fillId="0" borderId="19" xfId="22" applyFont="1" applyFill="1" applyBorder="1" applyAlignment="1">
      <alignment horizontal="center"/>
    </xf>
    <xf numFmtId="0" fontId="71" fillId="0" borderId="0" xfId="22" applyFont="1" applyFill="1" applyBorder="1" applyAlignment="1">
      <alignment horizontal="center"/>
    </xf>
    <xf numFmtId="0" fontId="71" fillId="0" borderId="15" xfId="22" applyNumberFormat="1" applyFont="1" applyFill="1" applyBorder="1" applyAlignment="1">
      <alignment horizontal="center"/>
    </xf>
    <xf numFmtId="0" fontId="69" fillId="0" borderId="15" xfId="22" applyFont="1" applyFill="1" applyBorder="1" applyAlignment="1">
      <alignment horizontal="center"/>
    </xf>
    <xf numFmtId="0" fontId="71" fillId="0" borderId="18" xfId="22" applyFont="1" applyFill="1" applyBorder="1" applyAlignment="1">
      <alignment horizontal="center"/>
    </xf>
    <xf numFmtId="0" fontId="71" fillId="0" borderId="19" xfId="22" applyNumberFormat="1" applyFont="1" applyFill="1" applyBorder="1" applyAlignment="1">
      <alignment horizontal="center"/>
    </xf>
    <xf numFmtId="0" fontId="69" fillId="0" borderId="19" xfId="22" applyFont="1" applyFill="1" applyBorder="1" applyAlignment="1">
      <alignment horizontal="center"/>
    </xf>
    <xf numFmtId="0" fontId="69" fillId="0" borderId="20" xfId="22" applyFont="1" applyFill="1" applyBorder="1" applyAlignment="1">
      <alignment horizontal="center"/>
    </xf>
    <xf numFmtId="0" fontId="71" fillId="0" borderId="10" xfId="22" applyFont="1" applyFill="1" applyBorder="1" applyAlignment="1">
      <alignment horizontal="center"/>
    </xf>
    <xf numFmtId="0" fontId="71" fillId="0" borderId="0" xfId="22" applyNumberFormat="1" applyFont="1" applyFill="1" applyBorder="1" applyAlignment="1">
      <alignment horizontal="center"/>
    </xf>
    <xf numFmtId="0" fontId="69" fillId="0" borderId="0" xfId="22" applyFont="1" applyFill="1" applyBorder="1" applyAlignment="1">
      <alignment horizontal="center"/>
    </xf>
    <xf numFmtId="0" fontId="69" fillId="0" borderId="11" xfId="22" applyFont="1" applyFill="1" applyBorder="1" applyAlignment="1">
      <alignment horizontal="center"/>
    </xf>
    <xf numFmtId="0" fontId="74" fillId="0" borderId="19" xfId="22" applyFont="1" applyBorder="1" applyAlignment="1">
      <alignment horizontal="center"/>
    </xf>
    <xf numFmtId="0" fontId="74" fillId="0" borderId="18" xfId="22" applyFont="1" applyBorder="1" applyAlignment="1">
      <alignment horizontal="center"/>
    </xf>
    <xf numFmtId="0" fontId="74" fillId="0" borderId="10" xfId="22" applyFont="1" applyBorder="1" applyAlignment="1">
      <alignment horizontal="center"/>
    </xf>
    <xf numFmtId="0" fontId="74" fillId="0" borderId="20" xfId="22" applyFont="1" applyFill="1" applyBorder="1" applyAlignment="1">
      <alignment horizontal="center"/>
    </xf>
    <xf numFmtId="0" fontId="66" fillId="0" borderId="11" xfId="22" applyFont="1" applyBorder="1" applyAlignment="1"/>
    <xf numFmtId="0" fontId="66" fillId="0" borderId="11" xfId="22" applyFont="1" applyFill="1" applyBorder="1" applyAlignment="1">
      <alignment horizontal="center"/>
    </xf>
    <xf numFmtId="0" fontId="66" fillId="0" borderId="13" xfId="22" applyFont="1" applyFill="1" applyBorder="1" applyAlignment="1">
      <alignment horizontal="center"/>
    </xf>
    <xf numFmtId="0" fontId="70" fillId="0" borderId="19" xfId="22" applyFont="1" applyBorder="1" applyAlignment="1">
      <alignment horizontal="center"/>
    </xf>
    <xf numFmtId="0" fontId="66" fillId="0" borderId="20" xfId="22" applyFont="1" applyFill="1" applyBorder="1" applyAlignment="1">
      <alignment horizontal="center"/>
    </xf>
    <xf numFmtId="0" fontId="66" fillId="0" borderId="19" xfId="22" applyFont="1" applyFill="1" applyBorder="1" applyAlignment="1">
      <alignment horizontal="center"/>
    </xf>
    <xf numFmtId="0" fontId="66" fillId="0" borderId="10" xfId="22" applyFont="1" applyFill="1" applyBorder="1" applyAlignment="1">
      <alignment horizontal="center"/>
    </xf>
    <xf numFmtId="0" fontId="66" fillId="0" borderId="18" xfId="22" applyFont="1" applyFill="1" applyBorder="1" applyAlignment="1">
      <alignment horizontal="center"/>
    </xf>
    <xf numFmtId="0" fontId="66" fillId="0" borderId="12" xfId="22" applyFont="1" applyFill="1" applyBorder="1" applyAlignment="1">
      <alignment horizontal="center"/>
    </xf>
    <xf numFmtId="0" fontId="66" fillId="35" borderId="23" xfId="22" applyFont="1" applyFill="1" applyBorder="1" applyAlignment="1">
      <alignment horizontal="center"/>
    </xf>
    <xf numFmtId="0" fontId="67" fillId="0" borderId="0" xfId="22" applyFont="1" applyFill="1" applyBorder="1" applyAlignment="1" applyProtection="1">
      <alignment horizontal="center" vertical="center"/>
      <protection hidden="1"/>
    </xf>
    <xf numFmtId="0" fontId="66" fillId="0" borderId="29" xfId="22" applyFont="1" applyBorder="1" applyAlignment="1" applyProtection="1">
      <alignment horizontal="center" vertical="center"/>
      <protection hidden="1"/>
    </xf>
    <xf numFmtId="0" fontId="66" fillId="0" borderId="29" xfId="23" applyFont="1" applyBorder="1" applyAlignment="1" applyProtection="1">
      <alignment horizontal="center" vertical="center"/>
      <protection hidden="1"/>
    </xf>
    <xf numFmtId="0" fontId="81" fillId="0" borderId="0" xfId="22" applyFont="1" applyBorder="1" applyAlignment="1" applyProtection="1">
      <alignment vertical="center"/>
      <protection hidden="1"/>
    </xf>
    <xf numFmtId="1" fontId="76" fillId="24" borderId="0" xfId="22" applyNumberFormat="1" applyFont="1" applyFill="1" applyBorder="1" applyAlignment="1" applyProtection="1">
      <alignment horizontal="center" vertical="center"/>
    </xf>
    <xf numFmtId="0" fontId="76" fillId="0" borderId="0" xfId="22" applyFont="1" applyBorder="1" applyAlignment="1" applyProtection="1">
      <alignment horizontal="center" vertical="center"/>
    </xf>
    <xf numFmtId="0" fontId="76" fillId="0" borderId="0" xfId="22" applyFont="1" applyFill="1" applyBorder="1" applyAlignment="1" applyProtection="1">
      <alignment horizontal="center" vertical="center"/>
    </xf>
    <xf numFmtId="190" fontId="77" fillId="0" borderId="0" xfId="23" applyNumberFormat="1" applyFont="1" applyFill="1" applyBorder="1" applyAlignment="1" applyProtection="1">
      <alignment horizontal="center" vertical="center"/>
    </xf>
    <xf numFmtId="1" fontId="76" fillId="0" borderId="0" xfId="22" applyNumberFormat="1" applyFont="1" applyFill="1" applyAlignment="1" applyProtection="1">
      <alignment horizontal="left" vertical="center"/>
    </xf>
    <xf numFmtId="0" fontId="76" fillId="0" borderId="0" xfId="22" applyFont="1" applyFill="1" applyAlignment="1" applyProtection="1">
      <alignment horizontal="center" vertical="center"/>
    </xf>
    <xf numFmtId="0" fontId="66" fillId="0" borderId="0" xfId="22" applyFont="1" applyFill="1" applyBorder="1" applyAlignment="1">
      <alignment horizontal="center" textRotation="90"/>
    </xf>
    <xf numFmtId="0" fontId="66" fillId="0" borderId="19" xfId="22" applyFont="1" applyFill="1" applyBorder="1" applyAlignment="1">
      <alignment horizontal="center" textRotation="90"/>
    </xf>
    <xf numFmtId="0" fontId="66" fillId="0" borderId="20" xfId="22" applyFont="1" applyFill="1" applyBorder="1" applyAlignment="1">
      <alignment horizontal="center" textRotation="90"/>
    </xf>
    <xf numFmtId="0" fontId="66" fillId="0" borderId="11" xfId="22" applyFont="1" applyFill="1" applyBorder="1" applyAlignment="1">
      <alignment horizontal="center" textRotation="90"/>
    </xf>
    <xf numFmtId="0" fontId="66" fillId="0" borderId="19" xfId="22" applyFont="1" applyBorder="1" applyAlignment="1">
      <alignment horizontal="center" vertical="center" textRotation="90"/>
    </xf>
    <xf numFmtId="0" fontId="66" fillId="0" borderId="0" xfId="22" applyFont="1" applyBorder="1" applyAlignment="1">
      <alignment horizontal="center" vertical="center" textRotation="90"/>
    </xf>
    <xf numFmtId="0" fontId="66" fillId="0" borderId="24" xfId="22" applyFont="1" applyFill="1" applyBorder="1" applyAlignment="1">
      <alignment horizontal="center"/>
    </xf>
    <xf numFmtId="0" fontId="66" fillId="0" borderId="36" xfId="22" applyFont="1" applyFill="1" applyBorder="1" applyAlignment="1">
      <alignment horizontal="center"/>
    </xf>
    <xf numFmtId="0" fontId="66" fillId="0" borderId="25" xfId="22" applyFont="1" applyFill="1" applyBorder="1" applyAlignment="1">
      <alignment horizontal="center"/>
    </xf>
    <xf numFmtId="0" fontId="66" fillId="0" borderId="18" xfId="22" applyFont="1" applyBorder="1" applyAlignment="1">
      <alignment horizontal="center" vertical="center" textRotation="90"/>
    </xf>
    <xf numFmtId="0" fontId="66" fillId="0" borderId="10" xfId="22" applyFont="1" applyBorder="1" applyAlignment="1">
      <alignment horizontal="center" vertical="center" textRotation="90"/>
    </xf>
    <xf numFmtId="0" fontId="66" fillId="0" borderId="18" xfId="22" applyFont="1" applyFill="1" applyBorder="1" applyAlignment="1">
      <alignment horizontal="center" textRotation="90"/>
    </xf>
    <xf numFmtId="0" fontId="66" fillId="0" borderId="10" xfId="22" applyFont="1" applyFill="1" applyBorder="1" applyAlignment="1">
      <alignment horizontal="center" textRotation="90"/>
    </xf>
    <xf numFmtId="0" fontId="67" fillId="0" borderId="0" xfId="22" applyFont="1" applyFill="1" applyBorder="1" applyAlignment="1" applyProtection="1">
      <alignment horizontal="center" vertical="center"/>
    </xf>
    <xf numFmtId="190" fontId="68" fillId="0" borderId="0" xfId="23" applyNumberFormat="1" applyFont="1" applyFill="1" applyBorder="1" applyAlignment="1" applyProtection="1">
      <alignment horizontal="center" vertical="center"/>
    </xf>
    <xf numFmtId="0" fontId="67" fillId="0" borderId="0" xfId="22" applyFont="1" applyFill="1" applyBorder="1" applyAlignment="1" applyProtection="1">
      <alignment horizontal="center"/>
    </xf>
    <xf numFmtId="187" fontId="66" fillId="0" borderId="0" xfId="22" applyNumberFormat="1" applyFont="1" applyFill="1" applyBorder="1" applyAlignment="1" applyProtection="1">
      <alignment horizontal="center"/>
      <protection locked="0"/>
    </xf>
    <xf numFmtId="1" fontId="67" fillId="24" borderId="0" xfId="22" applyNumberFormat="1" applyFont="1" applyFill="1" applyBorder="1" applyAlignment="1" applyProtection="1">
      <alignment horizontal="center"/>
    </xf>
    <xf numFmtId="0" fontId="67" fillId="0" borderId="0" xfId="22" applyFont="1" applyBorder="1" applyAlignment="1" applyProtection="1">
      <alignment horizontal="center"/>
    </xf>
    <xf numFmtId="0" fontId="66" fillId="0" borderId="14" xfId="22" applyFont="1" applyBorder="1" applyAlignment="1">
      <alignment horizontal="center"/>
    </xf>
    <xf numFmtId="0" fontId="66" fillId="0" borderId="24" xfId="22" applyFont="1" applyBorder="1" applyAlignment="1">
      <alignment horizontal="center"/>
    </xf>
    <xf numFmtId="0" fontId="66" fillId="0" borderId="25" xfId="22" applyFont="1" applyBorder="1" applyAlignment="1">
      <alignment horizontal="center"/>
    </xf>
    <xf numFmtId="0" fontId="66" fillId="0" borderId="36" xfId="22" applyFont="1" applyBorder="1" applyAlignment="1">
      <alignment horizontal="center"/>
    </xf>
    <xf numFmtId="0" fontId="66" fillId="0" borderId="0" xfId="22" applyFont="1" applyFill="1" applyBorder="1" applyAlignment="1">
      <alignment horizontal="center" vertical="center" textRotation="90"/>
    </xf>
    <xf numFmtId="0" fontId="66" fillId="0" borderId="14" xfId="22" applyFont="1" applyFill="1" applyBorder="1" applyAlignment="1">
      <alignment horizontal="center"/>
    </xf>
    <xf numFmtId="0" fontId="66" fillId="0" borderId="18" xfId="22" applyFont="1" applyBorder="1" applyAlignment="1">
      <alignment horizontal="center" wrapText="1"/>
    </xf>
    <xf numFmtId="0" fontId="66" fillId="0" borderId="20" xfId="22" applyFont="1" applyBorder="1" applyAlignment="1">
      <alignment horizontal="center" wrapText="1"/>
    </xf>
    <xf numFmtId="0" fontId="66" fillId="0" borderId="12" xfId="22" applyFont="1" applyBorder="1" applyAlignment="1">
      <alignment horizontal="center" wrapText="1"/>
    </xf>
    <xf numFmtId="0" fontId="66" fillId="0" borderId="13" xfId="22" applyFont="1" applyBorder="1" applyAlignment="1">
      <alignment horizontal="center" wrapText="1"/>
    </xf>
    <xf numFmtId="0" fontId="36" fillId="0" borderId="0" xfId="20" applyFont="1" applyAlignment="1" applyProtection="1">
      <alignment horizontal="left" vertical="center"/>
      <protection hidden="1"/>
    </xf>
    <xf numFmtId="0" fontId="39" fillId="0" borderId="0" xfId="23" applyFont="1" applyAlignment="1" applyProtection="1">
      <alignment horizontal="left" vertical="center" wrapText="1"/>
      <protection hidden="1"/>
    </xf>
    <xf numFmtId="0" fontId="29" fillId="0" borderId="0" xfId="20" applyFont="1" applyFill="1" applyAlignment="1" applyProtection="1">
      <alignment horizontal="left" vertical="center"/>
      <protection hidden="1"/>
    </xf>
    <xf numFmtId="0" fontId="30" fillId="0" borderId="0" xfId="20" applyFont="1" applyAlignment="1" applyProtection="1">
      <alignment horizontal="center" vertical="center"/>
      <protection hidden="1"/>
    </xf>
    <xf numFmtId="0" fontId="2" fillId="0" borderId="0" xfId="0" applyNumberFormat="1" applyFont="1" applyFill="1" applyBorder="1" applyAlignment="1" applyProtection="1">
      <alignment horizontal="center" vertical="center"/>
      <protection hidden="1"/>
    </xf>
    <xf numFmtId="0" fontId="2" fillId="0" borderId="0" xfId="0" applyFont="1" applyBorder="1" applyAlignment="1" applyProtection="1">
      <alignment horizontal="center" vertical="center"/>
      <protection hidden="1"/>
    </xf>
    <xf numFmtId="0" fontId="2" fillId="0" borderId="18" xfId="0" applyFont="1" applyBorder="1" applyAlignment="1" applyProtection="1">
      <alignment horizontal="center" vertical="center"/>
      <protection hidden="1"/>
    </xf>
    <xf numFmtId="0" fontId="2" fillId="0" borderId="20" xfId="0" applyFont="1" applyBorder="1" applyAlignment="1" applyProtection="1">
      <alignment horizontal="center" vertical="center"/>
      <protection hidden="1"/>
    </xf>
    <xf numFmtId="0" fontId="2" fillId="0" borderId="19" xfId="0" applyFont="1" applyBorder="1" applyAlignment="1" applyProtection="1">
      <alignment horizontal="center" vertical="center"/>
      <protection hidden="1"/>
    </xf>
    <xf numFmtId="0" fontId="81" fillId="0" borderId="0" xfId="22" applyFont="1" applyBorder="1" applyAlignment="1" applyProtection="1">
      <alignment horizontal="center" vertical="center"/>
      <protection hidden="1"/>
    </xf>
    <xf numFmtId="0" fontId="81" fillId="0" borderId="0" xfId="22" applyFont="1" applyFill="1" applyBorder="1" applyAlignment="1" applyProtection="1">
      <alignment horizontal="center" vertical="center"/>
      <protection hidden="1"/>
    </xf>
    <xf numFmtId="1" fontId="81" fillId="0" borderId="0" xfId="22" applyNumberFormat="1" applyFont="1" applyFill="1" applyAlignment="1" applyProtection="1">
      <alignment horizontal="left" vertical="center"/>
      <protection hidden="1"/>
    </xf>
    <xf numFmtId="1" fontId="81" fillId="24" borderId="0" xfId="22" applyNumberFormat="1" applyFont="1" applyFill="1" applyBorder="1" applyAlignment="1" applyProtection="1">
      <alignment horizontal="center" vertical="center"/>
      <protection locked="0"/>
    </xf>
    <xf numFmtId="190" fontId="82" fillId="0" borderId="0" xfId="23" applyNumberFormat="1" applyFont="1" applyFill="1" applyBorder="1" applyAlignment="1" applyProtection="1">
      <alignment horizontal="center" vertical="center"/>
      <protection hidden="1"/>
    </xf>
    <xf numFmtId="0" fontId="81" fillId="0" borderId="0" xfId="22" applyFont="1" applyFill="1" applyAlignment="1" applyProtection="1">
      <alignment horizontal="center" vertical="center"/>
      <protection hidden="1"/>
    </xf>
  </cellXfs>
  <cellStyles count="47">
    <cellStyle name="20% - 强调文字颜色 1" xfId="1" xr:uid="{00000000-0005-0000-0000-000000000000}"/>
    <cellStyle name="20% - 强调文字颜色 2" xfId="2" xr:uid="{00000000-0005-0000-0000-000001000000}"/>
    <cellStyle name="20% - 强调文字颜色 3" xfId="3" xr:uid="{00000000-0005-0000-0000-000002000000}"/>
    <cellStyle name="20% - 强调文字颜色 4" xfId="4" xr:uid="{00000000-0005-0000-0000-000003000000}"/>
    <cellStyle name="20% - 强调文字颜色 5" xfId="5" xr:uid="{00000000-0005-0000-0000-000004000000}"/>
    <cellStyle name="20% - 强调文字颜色 6" xfId="6" xr:uid="{00000000-0005-0000-0000-000005000000}"/>
    <cellStyle name="40% - 强调文字颜色 1" xfId="7" xr:uid="{00000000-0005-0000-0000-000006000000}"/>
    <cellStyle name="40% - 强调文字颜色 2" xfId="8" xr:uid="{00000000-0005-0000-0000-000007000000}"/>
    <cellStyle name="40% - 强调文字颜色 3" xfId="9" xr:uid="{00000000-0005-0000-0000-000008000000}"/>
    <cellStyle name="40% - 强调文字颜色 4" xfId="10" xr:uid="{00000000-0005-0000-0000-000009000000}"/>
    <cellStyle name="40% - 强调文字颜色 5" xfId="11" xr:uid="{00000000-0005-0000-0000-00000A000000}"/>
    <cellStyle name="40% - 强调文字颜色 6" xfId="12" xr:uid="{00000000-0005-0000-0000-00000B000000}"/>
    <cellStyle name="60% - 强调文字颜色 1" xfId="13" xr:uid="{00000000-0005-0000-0000-00000C000000}"/>
    <cellStyle name="60% - 强调文字颜色 2" xfId="14" xr:uid="{00000000-0005-0000-0000-00000D000000}"/>
    <cellStyle name="60% - 强调文字颜色 3" xfId="15" xr:uid="{00000000-0005-0000-0000-00000E000000}"/>
    <cellStyle name="60% - 强调文字颜色 4" xfId="16" xr:uid="{00000000-0005-0000-0000-00000F000000}"/>
    <cellStyle name="60% - 强调文字颜色 5" xfId="17" xr:uid="{00000000-0005-0000-0000-000010000000}"/>
    <cellStyle name="60% - 强调文字颜色 6" xfId="18" xr:uid="{00000000-0005-0000-0000-000011000000}"/>
    <cellStyle name="Comma_陰遁甲程式" xfId="19" xr:uid="{00000000-0005-0000-0000-000012000000}"/>
    <cellStyle name="Hyperlink_陰遁甲程式" xfId="20" xr:uid="{00000000-0005-0000-0000-000013000000}"/>
    <cellStyle name="Normal" xfId="0" builtinId="0"/>
    <cellStyle name="Normal 2" xfId="21" xr:uid="{00000000-0005-0000-0000-000015000000}"/>
    <cellStyle name="Normal_Program" xfId="22" xr:uid="{00000000-0005-0000-0000-000016000000}"/>
    <cellStyle name="Normal_陰遁甲程式" xfId="23" xr:uid="{00000000-0005-0000-0000-000017000000}"/>
    <cellStyle name="差" xfId="24" xr:uid="{00000000-0005-0000-0000-000018000000}"/>
    <cellStyle name="常规_Final1" xfId="25" xr:uid="{00000000-0005-0000-0000-000019000000}"/>
    <cellStyle name="强调文字颜色 1" xfId="26" xr:uid="{00000000-0005-0000-0000-00001A000000}"/>
    <cellStyle name="强调文字颜色 2" xfId="27" xr:uid="{00000000-0005-0000-0000-00001B000000}"/>
    <cellStyle name="强调文字颜色 3" xfId="28" xr:uid="{00000000-0005-0000-0000-00001C000000}"/>
    <cellStyle name="强调文字颜色 4" xfId="29" xr:uid="{00000000-0005-0000-0000-00001D000000}"/>
    <cellStyle name="强调文字颜色 5" xfId="30" xr:uid="{00000000-0005-0000-0000-00001E000000}"/>
    <cellStyle name="强调文字颜色 6" xfId="31" xr:uid="{00000000-0005-0000-0000-00001F000000}"/>
    <cellStyle name="标题" xfId="32" xr:uid="{00000000-0005-0000-0000-000020000000}"/>
    <cellStyle name="标题 1" xfId="33" xr:uid="{00000000-0005-0000-0000-000021000000}"/>
    <cellStyle name="标题 2" xfId="34" xr:uid="{00000000-0005-0000-0000-000022000000}"/>
    <cellStyle name="标题 3" xfId="35" xr:uid="{00000000-0005-0000-0000-000023000000}"/>
    <cellStyle name="标题 4" xfId="36" xr:uid="{00000000-0005-0000-0000-000024000000}"/>
    <cellStyle name="检查单元格" xfId="37" xr:uid="{00000000-0005-0000-0000-000025000000}"/>
    <cellStyle name="汇总" xfId="38" xr:uid="{00000000-0005-0000-0000-000026000000}"/>
    <cellStyle name="注释" xfId="39" xr:uid="{00000000-0005-0000-0000-000027000000}"/>
    <cellStyle name="解释性文本" xfId="40" xr:uid="{00000000-0005-0000-0000-000028000000}"/>
    <cellStyle name="警告文本" xfId="41" xr:uid="{00000000-0005-0000-0000-000029000000}"/>
    <cellStyle name="计算" xfId="42" xr:uid="{00000000-0005-0000-0000-00002A000000}"/>
    <cellStyle name="输入" xfId="43" xr:uid="{00000000-0005-0000-0000-00002B000000}"/>
    <cellStyle name="输出" xfId="44" xr:uid="{00000000-0005-0000-0000-00002C000000}"/>
    <cellStyle name="适中" xfId="45" xr:uid="{00000000-0005-0000-0000-00002D000000}"/>
    <cellStyle name="链接单元格" xfId="46" xr:uid="{00000000-0005-0000-0000-00002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jpeg"/><Relationship Id="rId16" Type="http://schemas.openxmlformats.org/officeDocument/2006/relationships/image" Target="../media/image17.emf"/><Relationship Id="rId1" Type="http://schemas.openxmlformats.org/officeDocument/2006/relationships/image" Target="../media/image2.jpeg"/><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jpeg"/><Relationship Id="rId16" Type="http://schemas.openxmlformats.org/officeDocument/2006/relationships/image" Target="../media/image17.emf"/><Relationship Id="rId1" Type="http://schemas.openxmlformats.org/officeDocument/2006/relationships/image" Target="../media/image2.jpeg"/><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50800</xdr:colOff>
      <xdr:row>9</xdr:row>
      <xdr:rowOff>25400</xdr:rowOff>
    </xdr:from>
    <xdr:to>
      <xdr:col>44</xdr:col>
      <xdr:colOff>317500</xdr:colOff>
      <xdr:row>23</xdr:row>
      <xdr:rowOff>12700</xdr:rowOff>
    </xdr:to>
    <xdr:pic>
      <xdr:nvPicPr>
        <xdr:cNvPr id="1028" name="Picture 1">
          <a:extLst>
            <a:ext uri="{FF2B5EF4-FFF2-40B4-BE49-F238E27FC236}">
              <a16:creationId xmlns:a16="http://schemas.microsoft.com/office/drawing/2014/main" id="{690A4151-1CEF-E2B5-BE82-95F8DB8B16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74700"/>
          <a:ext cx="168910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xdr:colOff>
      <xdr:row>9</xdr:row>
      <xdr:rowOff>25400</xdr:rowOff>
    </xdr:from>
    <xdr:to>
      <xdr:col>19</xdr:col>
      <xdr:colOff>50800</xdr:colOff>
      <xdr:row>22</xdr:row>
      <xdr:rowOff>63500</xdr:rowOff>
    </xdr:to>
    <xdr:pic>
      <xdr:nvPicPr>
        <xdr:cNvPr id="2052" name="Picture 1">
          <a:extLst>
            <a:ext uri="{FF2B5EF4-FFF2-40B4-BE49-F238E27FC236}">
              <a16:creationId xmlns:a16="http://schemas.microsoft.com/office/drawing/2014/main" id="{6DB72999-543E-26C9-8B38-0C8FCA9BAF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774700"/>
          <a:ext cx="1714500" cy="1193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92</xdr:col>
      <xdr:colOff>50800</xdr:colOff>
      <xdr:row>2</xdr:row>
      <xdr:rowOff>76200</xdr:rowOff>
    </xdr:from>
    <xdr:to>
      <xdr:col>101</xdr:col>
      <xdr:colOff>520700</xdr:colOff>
      <xdr:row>7</xdr:row>
      <xdr:rowOff>25400</xdr:rowOff>
    </xdr:to>
    <xdr:pic>
      <xdr:nvPicPr>
        <xdr:cNvPr id="3133" name="Picture 192" descr="2010c">
          <a:extLst>
            <a:ext uri="{FF2B5EF4-FFF2-40B4-BE49-F238E27FC236}">
              <a16:creationId xmlns:a16="http://schemas.microsoft.com/office/drawing/2014/main" id="{8EBE8D29-14DF-D181-CAFE-4BF239D6C9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22400"/>
          <a:ext cx="0" cy="248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93</xdr:col>
      <xdr:colOff>393700</xdr:colOff>
      <xdr:row>7</xdr:row>
      <xdr:rowOff>571500</xdr:rowOff>
    </xdr:from>
    <xdr:to>
      <xdr:col>101</xdr:col>
      <xdr:colOff>190500</xdr:colOff>
      <xdr:row>10</xdr:row>
      <xdr:rowOff>584200</xdr:rowOff>
    </xdr:to>
    <xdr:pic>
      <xdr:nvPicPr>
        <xdr:cNvPr id="3134" name="Picture 191" descr="areatheory">
          <a:extLst>
            <a:ext uri="{FF2B5EF4-FFF2-40B4-BE49-F238E27FC236}">
              <a16:creationId xmlns:a16="http://schemas.microsoft.com/office/drawing/2014/main" id="{193B0F91-F4EC-4307-FB96-2216FEC4A69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21558" r="4102" b="24156"/>
        <a:stretch>
          <a:fillRect/>
        </a:stretch>
      </xdr:blipFill>
      <xdr:spPr bwMode="auto">
        <a:xfrm>
          <a:off x="0" y="4394200"/>
          <a:ext cx="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165100</xdr:colOff>
      <xdr:row>17</xdr:row>
      <xdr:rowOff>101600</xdr:rowOff>
    </xdr:from>
    <xdr:to>
      <xdr:col>94</xdr:col>
      <xdr:colOff>431800</xdr:colOff>
      <xdr:row>18</xdr:row>
      <xdr:rowOff>317500</xdr:rowOff>
    </xdr:to>
    <xdr:pic>
      <xdr:nvPicPr>
        <xdr:cNvPr id="3135" name="Picture 190">
          <a:extLst>
            <a:ext uri="{FF2B5EF4-FFF2-40B4-BE49-F238E27FC236}">
              <a16:creationId xmlns:a16="http://schemas.microsoft.com/office/drawing/2014/main" id="{0B2FE36F-B607-E6C8-0A06-5A6C1C50CE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067800"/>
          <a:ext cx="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0</xdr:colOff>
      <xdr:row>27</xdr:row>
      <xdr:rowOff>0</xdr:rowOff>
    </xdr:from>
    <xdr:to>
      <xdr:col>92</xdr:col>
      <xdr:colOff>114300</xdr:colOff>
      <xdr:row>27</xdr:row>
      <xdr:rowOff>215900</xdr:rowOff>
    </xdr:to>
    <xdr:pic>
      <xdr:nvPicPr>
        <xdr:cNvPr id="3136" name="Picture 189">
          <a:extLst>
            <a:ext uri="{FF2B5EF4-FFF2-40B4-BE49-F238E27FC236}">
              <a16:creationId xmlns:a16="http://schemas.microsoft.com/office/drawing/2014/main" id="{0AFF7F9C-F5F2-6D44-CD8E-DB45E8304C7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046200"/>
          <a:ext cx="0" cy="21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254000</xdr:colOff>
      <xdr:row>22</xdr:row>
      <xdr:rowOff>152400</xdr:rowOff>
    </xdr:from>
    <xdr:to>
      <xdr:col>93</xdr:col>
      <xdr:colOff>596900</xdr:colOff>
      <xdr:row>24</xdr:row>
      <xdr:rowOff>215900</xdr:rowOff>
    </xdr:to>
    <xdr:pic>
      <xdr:nvPicPr>
        <xdr:cNvPr id="3137" name="Picture 188">
          <a:extLst>
            <a:ext uri="{FF2B5EF4-FFF2-40B4-BE49-F238E27FC236}">
              <a16:creationId xmlns:a16="http://schemas.microsoft.com/office/drawing/2014/main" id="{69360B5A-503C-9A06-7C2A-496B409F855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1658600"/>
          <a:ext cx="0" cy="1079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177800</xdr:colOff>
      <xdr:row>26</xdr:row>
      <xdr:rowOff>165100</xdr:rowOff>
    </xdr:from>
    <xdr:to>
      <xdr:col>94</xdr:col>
      <xdr:colOff>266700</xdr:colOff>
      <xdr:row>27</xdr:row>
      <xdr:rowOff>317500</xdr:rowOff>
    </xdr:to>
    <xdr:pic>
      <xdr:nvPicPr>
        <xdr:cNvPr id="3138" name="Picture 187">
          <a:extLst>
            <a:ext uri="{FF2B5EF4-FFF2-40B4-BE49-F238E27FC236}">
              <a16:creationId xmlns:a16="http://schemas.microsoft.com/office/drawing/2014/main" id="{6967A7A9-792F-691D-D097-47B862ACC95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13703300"/>
          <a:ext cx="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29</xdr:row>
      <xdr:rowOff>76200</xdr:rowOff>
    </xdr:from>
    <xdr:to>
      <xdr:col>93</xdr:col>
      <xdr:colOff>596900</xdr:colOff>
      <xdr:row>30</xdr:row>
      <xdr:rowOff>266700</xdr:rowOff>
    </xdr:to>
    <xdr:pic>
      <xdr:nvPicPr>
        <xdr:cNvPr id="3139" name="Picture 186">
          <a:extLst>
            <a:ext uri="{FF2B5EF4-FFF2-40B4-BE49-F238E27FC236}">
              <a16:creationId xmlns:a16="http://schemas.microsoft.com/office/drawing/2014/main" id="{0451807E-8763-8A8B-8C54-41844B820E9F}"/>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5138400"/>
          <a:ext cx="0" cy="69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95</xdr:col>
      <xdr:colOff>304800</xdr:colOff>
      <xdr:row>25</xdr:row>
      <xdr:rowOff>304800</xdr:rowOff>
    </xdr:from>
    <xdr:to>
      <xdr:col>103</xdr:col>
      <xdr:colOff>152400</xdr:colOff>
      <xdr:row>32</xdr:row>
      <xdr:rowOff>139700</xdr:rowOff>
    </xdr:to>
    <xdr:pic>
      <xdr:nvPicPr>
        <xdr:cNvPr id="3140" name="Picture 185" descr="areadrv">
          <a:extLst>
            <a:ext uri="{FF2B5EF4-FFF2-40B4-BE49-F238E27FC236}">
              <a16:creationId xmlns:a16="http://schemas.microsoft.com/office/drawing/2014/main" id="{9F2F0F4E-9133-5830-208F-51061280721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l="10278" t="8791" r="4723" b="12637"/>
        <a:stretch>
          <a:fillRect/>
        </a:stretch>
      </xdr:blipFill>
      <xdr:spPr bwMode="auto">
        <a:xfrm>
          <a:off x="0" y="13335000"/>
          <a:ext cx="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177800</xdr:colOff>
      <xdr:row>33</xdr:row>
      <xdr:rowOff>241300</xdr:rowOff>
    </xdr:from>
    <xdr:to>
      <xdr:col>95</xdr:col>
      <xdr:colOff>38100</xdr:colOff>
      <xdr:row>35</xdr:row>
      <xdr:rowOff>177800</xdr:rowOff>
    </xdr:to>
    <xdr:pic>
      <xdr:nvPicPr>
        <xdr:cNvPr id="3141" name="Picture 184">
          <a:extLst>
            <a:ext uri="{FF2B5EF4-FFF2-40B4-BE49-F238E27FC236}">
              <a16:creationId xmlns:a16="http://schemas.microsoft.com/office/drawing/2014/main" id="{1BA40BBD-A49D-A764-3D5B-2239246E5BB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7335500"/>
          <a:ext cx="0" cy="952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37</xdr:row>
      <xdr:rowOff>139700</xdr:rowOff>
    </xdr:from>
    <xdr:to>
      <xdr:col>94</xdr:col>
      <xdr:colOff>355600</xdr:colOff>
      <xdr:row>39</xdr:row>
      <xdr:rowOff>139700</xdr:rowOff>
    </xdr:to>
    <xdr:pic>
      <xdr:nvPicPr>
        <xdr:cNvPr id="3142" name="Picture 183">
          <a:extLst>
            <a:ext uri="{FF2B5EF4-FFF2-40B4-BE49-F238E27FC236}">
              <a16:creationId xmlns:a16="http://schemas.microsoft.com/office/drawing/2014/main" id="{79C3A210-0538-E3A4-8F09-AAB78B5C581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9265900"/>
          <a:ext cx="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41</xdr:row>
      <xdr:rowOff>215900</xdr:rowOff>
    </xdr:from>
    <xdr:to>
      <xdr:col>102</xdr:col>
      <xdr:colOff>127000</xdr:colOff>
      <xdr:row>44</xdr:row>
      <xdr:rowOff>190500</xdr:rowOff>
    </xdr:to>
    <xdr:pic>
      <xdr:nvPicPr>
        <xdr:cNvPr id="3143" name="Picture 182">
          <a:extLst>
            <a:ext uri="{FF2B5EF4-FFF2-40B4-BE49-F238E27FC236}">
              <a16:creationId xmlns:a16="http://schemas.microsoft.com/office/drawing/2014/main" id="{D25E55F1-3AD0-D247-D9F2-78599877103E}"/>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20612100"/>
          <a:ext cx="0" cy="73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46</xdr:row>
      <xdr:rowOff>203200</xdr:rowOff>
    </xdr:from>
    <xdr:to>
      <xdr:col>102</xdr:col>
      <xdr:colOff>114300</xdr:colOff>
      <xdr:row>48</xdr:row>
      <xdr:rowOff>254000</xdr:rowOff>
    </xdr:to>
    <xdr:pic>
      <xdr:nvPicPr>
        <xdr:cNvPr id="3144" name="Picture 181">
          <a:extLst>
            <a:ext uri="{FF2B5EF4-FFF2-40B4-BE49-F238E27FC236}">
              <a16:creationId xmlns:a16="http://schemas.microsoft.com/office/drawing/2014/main" id="{71A20E7A-1B55-FDC1-FA2A-8D06888C405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21869400"/>
          <a:ext cx="0" cy="55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93</xdr:col>
      <xdr:colOff>254000</xdr:colOff>
      <xdr:row>50</xdr:row>
      <xdr:rowOff>63500</xdr:rowOff>
    </xdr:from>
    <xdr:to>
      <xdr:col>94</xdr:col>
      <xdr:colOff>25400</xdr:colOff>
      <xdr:row>51</xdr:row>
      <xdr:rowOff>0</xdr:rowOff>
    </xdr:to>
    <xdr:pic>
      <xdr:nvPicPr>
        <xdr:cNvPr id="3145" name="Picture 180">
          <a:extLst>
            <a:ext uri="{FF2B5EF4-FFF2-40B4-BE49-F238E27FC236}">
              <a16:creationId xmlns:a16="http://schemas.microsoft.com/office/drawing/2014/main" id="{454A63C6-CE30-AB48-2FF7-AF2D8235F34A}"/>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22745700"/>
          <a:ext cx="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100</xdr:col>
      <xdr:colOff>0</xdr:colOff>
      <xdr:row>49</xdr:row>
      <xdr:rowOff>101600</xdr:rowOff>
    </xdr:from>
    <xdr:to>
      <xdr:col>101</xdr:col>
      <xdr:colOff>12700</xdr:colOff>
      <xdr:row>51</xdr:row>
      <xdr:rowOff>152400</xdr:rowOff>
    </xdr:to>
    <xdr:pic>
      <xdr:nvPicPr>
        <xdr:cNvPr id="3146" name="Picture 179">
          <a:extLst>
            <a:ext uri="{FF2B5EF4-FFF2-40B4-BE49-F238E27FC236}">
              <a16:creationId xmlns:a16="http://schemas.microsoft.com/office/drawing/2014/main" id="{0D8CD0CA-BCC4-DF3B-51FC-01554661DAE8}"/>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22529800"/>
          <a:ext cx="0" cy="55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177800</xdr:colOff>
      <xdr:row>52</xdr:row>
      <xdr:rowOff>0</xdr:rowOff>
    </xdr:from>
    <xdr:to>
      <xdr:col>100</xdr:col>
      <xdr:colOff>228600</xdr:colOff>
      <xdr:row>54</xdr:row>
      <xdr:rowOff>25400</xdr:rowOff>
    </xdr:to>
    <xdr:pic>
      <xdr:nvPicPr>
        <xdr:cNvPr id="3147" name="Picture 178">
          <a:extLst>
            <a:ext uri="{FF2B5EF4-FFF2-40B4-BE49-F238E27FC236}">
              <a16:creationId xmlns:a16="http://schemas.microsoft.com/office/drawing/2014/main" id="{50E59382-E2BB-36A9-98D9-7996B4BC66DE}"/>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23190200"/>
          <a:ext cx="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101600</xdr:colOff>
      <xdr:row>54</xdr:row>
      <xdr:rowOff>254000</xdr:rowOff>
    </xdr:from>
    <xdr:to>
      <xdr:col>100</xdr:col>
      <xdr:colOff>177800</xdr:colOff>
      <xdr:row>59</xdr:row>
      <xdr:rowOff>152400</xdr:rowOff>
    </xdr:to>
    <xdr:pic>
      <xdr:nvPicPr>
        <xdr:cNvPr id="3148" name="Picture 177">
          <a:extLst>
            <a:ext uri="{FF2B5EF4-FFF2-40B4-BE49-F238E27FC236}">
              <a16:creationId xmlns:a16="http://schemas.microsoft.com/office/drawing/2014/main" id="{524A8DFF-12D0-A09B-6BEB-6241EDE9E9B4}"/>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0" y="23952200"/>
          <a:ext cx="0" cy="116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0</xdr:colOff>
      <xdr:row>60</xdr:row>
      <xdr:rowOff>63500</xdr:rowOff>
    </xdr:from>
    <xdr:to>
      <xdr:col>101</xdr:col>
      <xdr:colOff>292100</xdr:colOff>
      <xdr:row>62</xdr:row>
      <xdr:rowOff>215900</xdr:rowOff>
    </xdr:to>
    <xdr:pic>
      <xdr:nvPicPr>
        <xdr:cNvPr id="3149" name="Picture 176">
          <a:extLst>
            <a:ext uri="{FF2B5EF4-FFF2-40B4-BE49-F238E27FC236}">
              <a16:creationId xmlns:a16="http://schemas.microsoft.com/office/drawing/2014/main" id="{E631E080-3757-AA46-8E06-A6559F7C38B4}"/>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25285700"/>
          <a:ext cx="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38100</xdr:colOff>
      <xdr:row>65</xdr:row>
      <xdr:rowOff>177800</xdr:rowOff>
    </xdr:from>
    <xdr:to>
      <xdr:col>100</xdr:col>
      <xdr:colOff>431800</xdr:colOff>
      <xdr:row>68</xdr:row>
      <xdr:rowOff>190500</xdr:rowOff>
    </xdr:to>
    <xdr:pic>
      <xdr:nvPicPr>
        <xdr:cNvPr id="3150" name="Picture 175">
          <a:extLst>
            <a:ext uri="{FF2B5EF4-FFF2-40B4-BE49-F238E27FC236}">
              <a16:creationId xmlns:a16="http://schemas.microsoft.com/office/drawing/2014/main" id="{29185149-44C6-0359-45F0-C006B3FC43BF}"/>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26670000"/>
          <a:ext cx="0" cy="774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127000</xdr:colOff>
      <xdr:row>70</xdr:row>
      <xdr:rowOff>190500</xdr:rowOff>
    </xdr:from>
    <xdr:to>
      <xdr:col>101</xdr:col>
      <xdr:colOff>127000</xdr:colOff>
      <xdr:row>73</xdr:row>
      <xdr:rowOff>190500</xdr:rowOff>
    </xdr:to>
    <xdr:pic>
      <xdr:nvPicPr>
        <xdr:cNvPr id="3151" name="Picture 174">
          <a:extLst>
            <a:ext uri="{FF2B5EF4-FFF2-40B4-BE49-F238E27FC236}">
              <a16:creationId xmlns:a16="http://schemas.microsoft.com/office/drawing/2014/main" id="{DEF0A6E3-F0ED-A5E1-B73F-2DF6B2FD6CCD}"/>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0" y="27952700"/>
          <a:ext cx="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4478</xdr:colOff>
      <xdr:row>0</xdr:row>
      <xdr:rowOff>99875</xdr:rowOff>
    </xdr:from>
    <xdr:to>
      <xdr:col>3</xdr:col>
      <xdr:colOff>185057</xdr:colOff>
      <xdr:row>0</xdr:row>
      <xdr:rowOff>805542</xdr:rowOff>
    </xdr:to>
    <xdr:sp macro="" textlink="">
      <xdr:nvSpPr>
        <xdr:cNvPr id="21" name="AutoShape 281">
          <a:extLst>
            <a:ext uri="{FF2B5EF4-FFF2-40B4-BE49-F238E27FC236}">
              <a16:creationId xmlns:a16="http://schemas.microsoft.com/office/drawing/2014/main" id="{8B21EC19-7BC4-E21B-B90B-28F17D6650CD}"/>
            </a:ext>
          </a:extLst>
        </xdr:cNvPr>
        <xdr:cNvSpPr>
          <a:spLocks noChangeArrowheads="1"/>
        </xdr:cNvSpPr>
      </xdr:nvSpPr>
      <xdr:spPr bwMode="auto">
        <a:xfrm flipH="1">
          <a:off x="2871503" y="99875"/>
          <a:ext cx="2761854" cy="705667"/>
        </a:xfrm>
        <a:prstGeom prst="rightArrow">
          <a:avLst>
            <a:gd name="adj1" fmla="val 50769"/>
            <a:gd name="adj2" fmla="val 122014"/>
          </a:avLst>
        </a:prstGeom>
        <a:solidFill>
          <a:srgbClr val="CCFFCC"/>
        </a:solidFill>
        <a:ln w="9525">
          <a:solidFill>
            <a:srgbClr val="000000"/>
          </a:solidFill>
          <a:miter lim="800000"/>
          <a:headEnd/>
          <a:tailEnd/>
        </a:ln>
      </xdr:spPr>
      <xdr:txBody>
        <a:bodyPr vertOverflow="clip" wrap="square" lIns="45720" tIns="41148" rIns="0" bIns="0" anchor="t" upright="1"/>
        <a:lstStyle/>
        <a:p>
          <a:pPr algn="l" rtl="0">
            <a:defRPr sz="1000"/>
          </a:pPr>
          <a:r>
            <a:rPr lang="zh-TW" altLang="en-US" sz="1800" b="1" i="1" u="none" strike="noStrike" baseline="0">
              <a:solidFill>
                <a:srgbClr val="FF0000"/>
              </a:solidFill>
              <a:latin typeface="標楷體"/>
              <a:ea typeface="標楷體"/>
            </a:rPr>
            <a:t>請於此格輸入年分</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92</xdr:col>
      <xdr:colOff>50800</xdr:colOff>
      <xdr:row>2</xdr:row>
      <xdr:rowOff>76200</xdr:rowOff>
    </xdr:from>
    <xdr:to>
      <xdr:col>101</xdr:col>
      <xdr:colOff>520700</xdr:colOff>
      <xdr:row>7</xdr:row>
      <xdr:rowOff>25400</xdr:rowOff>
    </xdr:to>
    <xdr:pic>
      <xdr:nvPicPr>
        <xdr:cNvPr id="4157" name="Picture 192" descr="2010c">
          <a:extLst>
            <a:ext uri="{FF2B5EF4-FFF2-40B4-BE49-F238E27FC236}">
              <a16:creationId xmlns:a16="http://schemas.microsoft.com/office/drawing/2014/main" id="{DA57AEAA-EBB1-B52A-52B2-14821838C3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22400"/>
          <a:ext cx="0" cy="248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93</xdr:col>
      <xdr:colOff>393700</xdr:colOff>
      <xdr:row>7</xdr:row>
      <xdr:rowOff>571500</xdr:rowOff>
    </xdr:from>
    <xdr:to>
      <xdr:col>101</xdr:col>
      <xdr:colOff>190500</xdr:colOff>
      <xdr:row>10</xdr:row>
      <xdr:rowOff>584200</xdr:rowOff>
    </xdr:to>
    <xdr:pic>
      <xdr:nvPicPr>
        <xdr:cNvPr id="4158" name="Picture 191" descr="areatheory">
          <a:extLst>
            <a:ext uri="{FF2B5EF4-FFF2-40B4-BE49-F238E27FC236}">
              <a16:creationId xmlns:a16="http://schemas.microsoft.com/office/drawing/2014/main" id="{5CC8EA75-D38C-1F3A-A644-16772F71357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21558" r="4102" b="24156"/>
        <a:stretch>
          <a:fillRect/>
        </a:stretch>
      </xdr:blipFill>
      <xdr:spPr bwMode="auto">
        <a:xfrm>
          <a:off x="0" y="4394200"/>
          <a:ext cx="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165100</xdr:colOff>
      <xdr:row>17</xdr:row>
      <xdr:rowOff>101600</xdr:rowOff>
    </xdr:from>
    <xdr:to>
      <xdr:col>94</xdr:col>
      <xdr:colOff>431800</xdr:colOff>
      <xdr:row>18</xdr:row>
      <xdr:rowOff>317500</xdr:rowOff>
    </xdr:to>
    <xdr:pic>
      <xdr:nvPicPr>
        <xdr:cNvPr id="4159" name="Picture 190">
          <a:extLst>
            <a:ext uri="{FF2B5EF4-FFF2-40B4-BE49-F238E27FC236}">
              <a16:creationId xmlns:a16="http://schemas.microsoft.com/office/drawing/2014/main" id="{BF6E2A20-8296-EC3F-9CC3-F8D940E7E9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067800"/>
          <a:ext cx="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0</xdr:colOff>
      <xdr:row>27</xdr:row>
      <xdr:rowOff>0</xdr:rowOff>
    </xdr:from>
    <xdr:to>
      <xdr:col>92</xdr:col>
      <xdr:colOff>114300</xdr:colOff>
      <xdr:row>27</xdr:row>
      <xdr:rowOff>215900</xdr:rowOff>
    </xdr:to>
    <xdr:pic>
      <xdr:nvPicPr>
        <xdr:cNvPr id="4160" name="Picture 189">
          <a:extLst>
            <a:ext uri="{FF2B5EF4-FFF2-40B4-BE49-F238E27FC236}">
              <a16:creationId xmlns:a16="http://schemas.microsoft.com/office/drawing/2014/main" id="{ABC28592-8391-6368-3055-B780D9CFBD9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046200"/>
          <a:ext cx="0" cy="21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254000</xdr:colOff>
      <xdr:row>22</xdr:row>
      <xdr:rowOff>152400</xdr:rowOff>
    </xdr:from>
    <xdr:to>
      <xdr:col>93</xdr:col>
      <xdr:colOff>596900</xdr:colOff>
      <xdr:row>24</xdr:row>
      <xdr:rowOff>215900</xdr:rowOff>
    </xdr:to>
    <xdr:pic>
      <xdr:nvPicPr>
        <xdr:cNvPr id="4161" name="Picture 188">
          <a:extLst>
            <a:ext uri="{FF2B5EF4-FFF2-40B4-BE49-F238E27FC236}">
              <a16:creationId xmlns:a16="http://schemas.microsoft.com/office/drawing/2014/main" id="{066053C7-D824-3804-E5EB-A8867629BFB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1658600"/>
          <a:ext cx="0" cy="1079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165100</xdr:colOff>
      <xdr:row>26</xdr:row>
      <xdr:rowOff>165100</xdr:rowOff>
    </xdr:from>
    <xdr:to>
      <xdr:col>94</xdr:col>
      <xdr:colOff>266700</xdr:colOff>
      <xdr:row>27</xdr:row>
      <xdr:rowOff>317500</xdr:rowOff>
    </xdr:to>
    <xdr:pic>
      <xdr:nvPicPr>
        <xdr:cNvPr id="4162" name="Picture 187">
          <a:extLst>
            <a:ext uri="{FF2B5EF4-FFF2-40B4-BE49-F238E27FC236}">
              <a16:creationId xmlns:a16="http://schemas.microsoft.com/office/drawing/2014/main" id="{97320E14-5890-DC7D-D14F-87BF7C18DFA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13703300"/>
          <a:ext cx="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29</xdr:row>
      <xdr:rowOff>76200</xdr:rowOff>
    </xdr:from>
    <xdr:to>
      <xdr:col>93</xdr:col>
      <xdr:colOff>596900</xdr:colOff>
      <xdr:row>30</xdr:row>
      <xdr:rowOff>266700</xdr:rowOff>
    </xdr:to>
    <xdr:pic>
      <xdr:nvPicPr>
        <xdr:cNvPr id="4163" name="Picture 186">
          <a:extLst>
            <a:ext uri="{FF2B5EF4-FFF2-40B4-BE49-F238E27FC236}">
              <a16:creationId xmlns:a16="http://schemas.microsoft.com/office/drawing/2014/main" id="{CB7C3865-A349-1F1F-AD75-541ECB86289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5138400"/>
          <a:ext cx="0" cy="69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95</xdr:col>
      <xdr:colOff>304800</xdr:colOff>
      <xdr:row>25</xdr:row>
      <xdr:rowOff>304800</xdr:rowOff>
    </xdr:from>
    <xdr:to>
      <xdr:col>103</xdr:col>
      <xdr:colOff>152400</xdr:colOff>
      <xdr:row>32</xdr:row>
      <xdr:rowOff>139700</xdr:rowOff>
    </xdr:to>
    <xdr:pic>
      <xdr:nvPicPr>
        <xdr:cNvPr id="4164" name="Picture 185" descr="areadrv">
          <a:extLst>
            <a:ext uri="{FF2B5EF4-FFF2-40B4-BE49-F238E27FC236}">
              <a16:creationId xmlns:a16="http://schemas.microsoft.com/office/drawing/2014/main" id="{4CCB1280-4BD2-D36E-A7E3-8CD700B148D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l="10278" t="8791" r="4723" b="12637"/>
        <a:stretch>
          <a:fillRect/>
        </a:stretch>
      </xdr:blipFill>
      <xdr:spPr bwMode="auto">
        <a:xfrm>
          <a:off x="0" y="13335000"/>
          <a:ext cx="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177800</xdr:colOff>
      <xdr:row>33</xdr:row>
      <xdr:rowOff>241300</xdr:rowOff>
    </xdr:from>
    <xdr:to>
      <xdr:col>95</xdr:col>
      <xdr:colOff>38100</xdr:colOff>
      <xdr:row>35</xdr:row>
      <xdr:rowOff>177800</xdr:rowOff>
    </xdr:to>
    <xdr:pic>
      <xdr:nvPicPr>
        <xdr:cNvPr id="4165" name="Picture 184">
          <a:extLst>
            <a:ext uri="{FF2B5EF4-FFF2-40B4-BE49-F238E27FC236}">
              <a16:creationId xmlns:a16="http://schemas.microsoft.com/office/drawing/2014/main" id="{2CB5501F-3C01-07E6-5A7E-134D75E2106F}"/>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7335500"/>
          <a:ext cx="0" cy="952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37</xdr:row>
      <xdr:rowOff>139700</xdr:rowOff>
    </xdr:from>
    <xdr:to>
      <xdr:col>94</xdr:col>
      <xdr:colOff>355600</xdr:colOff>
      <xdr:row>39</xdr:row>
      <xdr:rowOff>139700</xdr:rowOff>
    </xdr:to>
    <xdr:pic>
      <xdr:nvPicPr>
        <xdr:cNvPr id="4166" name="Picture 183">
          <a:extLst>
            <a:ext uri="{FF2B5EF4-FFF2-40B4-BE49-F238E27FC236}">
              <a16:creationId xmlns:a16="http://schemas.microsoft.com/office/drawing/2014/main" id="{B109D7BF-685E-D70F-0A1B-DF599CA82FB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9265900"/>
          <a:ext cx="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41</xdr:row>
      <xdr:rowOff>215900</xdr:rowOff>
    </xdr:from>
    <xdr:to>
      <xdr:col>102</xdr:col>
      <xdr:colOff>127000</xdr:colOff>
      <xdr:row>44</xdr:row>
      <xdr:rowOff>190500</xdr:rowOff>
    </xdr:to>
    <xdr:pic>
      <xdr:nvPicPr>
        <xdr:cNvPr id="4167" name="Picture 182">
          <a:extLst>
            <a:ext uri="{FF2B5EF4-FFF2-40B4-BE49-F238E27FC236}">
              <a16:creationId xmlns:a16="http://schemas.microsoft.com/office/drawing/2014/main" id="{95583271-9DFE-605F-3CF3-913DC59AE805}"/>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20612100"/>
          <a:ext cx="0" cy="73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88900</xdr:colOff>
      <xdr:row>46</xdr:row>
      <xdr:rowOff>203200</xdr:rowOff>
    </xdr:from>
    <xdr:to>
      <xdr:col>102</xdr:col>
      <xdr:colOff>114300</xdr:colOff>
      <xdr:row>48</xdr:row>
      <xdr:rowOff>254000</xdr:rowOff>
    </xdr:to>
    <xdr:pic>
      <xdr:nvPicPr>
        <xdr:cNvPr id="4168" name="Picture 181">
          <a:extLst>
            <a:ext uri="{FF2B5EF4-FFF2-40B4-BE49-F238E27FC236}">
              <a16:creationId xmlns:a16="http://schemas.microsoft.com/office/drawing/2014/main" id="{E85D4B57-A713-97A7-0FDD-C66CB3AD1D05}"/>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21869400"/>
          <a:ext cx="0" cy="55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93</xdr:col>
      <xdr:colOff>254000</xdr:colOff>
      <xdr:row>50</xdr:row>
      <xdr:rowOff>63500</xdr:rowOff>
    </xdr:from>
    <xdr:to>
      <xdr:col>94</xdr:col>
      <xdr:colOff>25400</xdr:colOff>
      <xdr:row>51</xdr:row>
      <xdr:rowOff>0</xdr:rowOff>
    </xdr:to>
    <xdr:pic>
      <xdr:nvPicPr>
        <xdr:cNvPr id="4169" name="Picture 180">
          <a:extLst>
            <a:ext uri="{FF2B5EF4-FFF2-40B4-BE49-F238E27FC236}">
              <a16:creationId xmlns:a16="http://schemas.microsoft.com/office/drawing/2014/main" id="{9CA4DF89-602E-3FB8-ABF2-76A0292522F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22745700"/>
          <a:ext cx="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100</xdr:col>
      <xdr:colOff>0</xdr:colOff>
      <xdr:row>49</xdr:row>
      <xdr:rowOff>101600</xdr:rowOff>
    </xdr:from>
    <xdr:to>
      <xdr:col>101</xdr:col>
      <xdr:colOff>12700</xdr:colOff>
      <xdr:row>51</xdr:row>
      <xdr:rowOff>152400</xdr:rowOff>
    </xdr:to>
    <xdr:pic>
      <xdr:nvPicPr>
        <xdr:cNvPr id="4170" name="Picture 179">
          <a:extLst>
            <a:ext uri="{FF2B5EF4-FFF2-40B4-BE49-F238E27FC236}">
              <a16:creationId xmlns:a16="http://schemas.microsoft.com/office/drawing/2014/main" id="{2E9B4289-B3DA-4AF1-8B9A-71D0A66AC78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22529800"/>
          <a:ext cx="0" cy="55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165100</xdr:colOff>
      <xdr:row>52</xdr:row>
      <xdr:rowOff>0</xdr:rowOff>
    </xdr:from>
    <xdr:to>
      <xdr:col>100</xdr:col>
      <xdr:colOff>228600</xdr:colOff>
      <xdr:row>54</xdr:row>
      <xdr:rowOff>25400</xdr:rowOff>
    </xdr:to>
    <xdr:pic>
      <xdr:nvPicPr>
        <xdr:cNvPr id="4171" name="Picture 178">
          <a:extLst>
            <a:ext uri="{FF2B5EF4-FFF2-40B4-BE49-F238E27FC236}">
              <a16:creationId xmlns:a16="http://schemas.microsoft.com/office/drawing/2014/main" id="{10F061F1-5286-A710-A812-5499595B3023}"/>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23190200"/>
          <a:ext cx="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101600</xdr:colOff>
      <xdr:row>54</xdr:row>
      <xdr:rowOff>254000</xdr:rowOff>
    </xdr:from>
    <xdr:to>
      <xdr:col>100</xdr:col>
      <xdr:colOff>177800</xdr:colOff>
      <xdr:row>59</xdr:row>
      <xdr:rowOff>152400</xdr:rowOff>
    </xdr:to>
    <xdr:pic>
      <xdr:nvPicPr>
        <xdr:cNvPr id="4172" name="Picture 177">
          <a:extLst>
            <a:ext uri="{FF2B5EF4-FFF2-40B4-BE49-F238E27FC236}">
              <a16:creationId xmlns:a16="http://schemas.microsoft.com/office/drawing/2014/main" id="{63CE5ABF-F269-628A-8575-2A5FD4A5B40E}"/>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0" y="23952200"/>
          <a:ext cx="0" cy="116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0</xdr:colOff>
      <xdr:row>60</xdr:row>
      <xdr:rowOff>63500</xdr:rowOff>
    </xdr:from>
    <xdr:to>
      <xdr:col>101</xdr:col>
      <xdr:colOff>292100</xdr:colOff>
      <xdr:row>62</xdr:row>
      <xdr:rowOff>215900</xdr:rowOff>
    </xdr:to>
    <xdr:pic>
      <xdr:nvPicPr>
        <xdr:cNvPr id="4173" name="Picture 176">
          <a:extLst>
            <a:ext uri="{FF2B5EF4-FFF2-40B4-BE49-F238E27FC236}">
              <a16:creationId xmlns:a16="http://schemas.microsoft.com/office/drawing/2014/main" id="{ED5C9589-9C11-FBCF-8180-13A0F3C7CD7E}"/>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25285700"/>
          <a:ext cx="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38100</xdr:colOff>
      <xdr:row>65</xdr:row>
      <xdr:rowOff>177800</xdr:rowOff>
    </xdr:from>
    <xdr:to>
      <xdr:col>100</xdr:col>
      <xdr:colOff>431800</xdr:colOff>
      <xdr:row>68</xdr:row>
      <xdr:rowOff>190500</xdr:rowOff>
    </xdr:to>
    <xdr:pic>
      <xdr:nvPicPr>
        <xdr:cNvPr id="4174" name="Picture 175">
          <a:extLst>
            <a:ext uri="{FF2B5EF4-FFF2-40B4-BE49-F238E27FC236}">
              <a16:creationId xmlns:a16="http://schemas.microsoft.com/office/drawing/2014/main" id="{F0474D5C-7691-BB32-98A8-EB56E9F5904C}"/>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26670000"/>
          <a:ext cx="0" cy="774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92</xdr:col>
      <xdr:colOff>127000</xdr:colOff>
      <xdr:row>70</xdr:row>
      <xdr:rowOff>190500</xdr:rowOff>
    </xdr:from>
    <xdr:to>
      <xdr:col>101</xdr:col>
      <xdr:colOff>127000</xdr:colOff>
      <xdr:row>73</xdr:row>
      <xdr:rowOff>190500</xdr:rowOff>
    </xdr:to>
    <xdr:pic>
      <xdr:nvPicPr>
        <xdr:cNvPr id="4175" name="Picture 174">
          <a:extLst>
            <a:ext uri="{FF2B5EF4-FFF2-40B4-BE49-F238E27FC236}">
              <a16:creationId xmlns:a16="http://schemas.microsoft.com/office/drawing/2014/main" id="{0811DC3F-324F-2B9D-3D6E-B73D7ACB740C}"/>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0" y="27952700"/>
          <a:ext cx="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4478</xdr:colOff>
      <xdr:row>0</xdr:row>
      <xdr:rowOff>99875</xdr:rowOff>
    </xdr:from>
    <xdr:to>
      <xdr:col>3</xdr:col>
      <xdr:colOff>185057</xdr:colOff>
      <xdr:row>0</xdr:row>
      <xdr:rowOff>805542</xdr:rowOff>
    </xdr:to>
    <xdr:sp macro="" textlink="">
      <xdr:nvSpPr>
        <xdr:cNvPr id="2329" name="AutoShape 281">
          <a:extLst>
            <a:ext uri="{FF2B5EF4-FFF2-40B4-BE49-F238E27FC236}">
              <a16:creationId xmlns:a16="http://schemas.microsoft.com/office/drawing/2014/main" id="{F34EDCB4-CB2E-C7A2-DAA6-E2F956E66240}"/>
            </a:ext>
          </a:extLst>
        </xdr:cNvPr>
        <xdr:cNvSpPr>
          <a:spLocks noChangeArrowheads="1"/>
        </xdr:cNvSpPr>
      </xdr:nvSpPr>
      <xdr:spPr bwMode="auto">
        <a:xfrm flipH="1">
          <a:off x="2584392" y="99875"/>
          <a:ext cx="2510122" cy="705667"/>
        </a:xfrm>
        <a:prstGeom prst="rightArrow">
          <a:avLst>
            <a:gd name="adj1" fmla="val 50769"/>
            <a:gd name="adj2" fmla="val 122014"/>
          </a:avLst>
        </a:prstGeom>
        <a:solidFill>
          <a:srgbClr val="CCFFCC"/>
        </a:solidFill>
        <a:ln w="9525">
          <a:solidFill>
            <a:srgbClr val="000000"/>
          </a:solidFill>
          <a:miter lim="800000"/>
          <a:headEnd/>
          <a:tailEnd/>
        </a:ln>
      </xdr:spPr>
      <xdr:txBody>
        <a:bodyPr vertOverflow="clip" wrap="square" lIns="45720" tIns="41148" rIns="0" bIns="0" anchor="t" upright="1"/>
        <a:lstStyle/>
        <a:p>
          <a:pPr algn="l" rtl="0">
            <a:defRPr sz="1000"/>
          </a:pPr>
          <a:r>
            <a:rPr lang="zh-TW" altLang="en-US" sz="1800" b="1" i="1" u="none" strike="noStrike" baseline="0">
              <a:solidFill>
                <a:srgbClr val="FF0000"/>
              </a:solidFill>
              <a:latin typeface="標楷體"/>
              <a:ea typeface="標楷體"/>
            </a:rPr>
            <a:t>請於此格輸入年分</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25400</xdr:colOff>
          <xdr:row>1</xdr:row>
          <xdr:rowOff>25400</xdr:rowOff>
        </xdr:from>
        <xdr:to>
          <xdr:col>20</xdr:col>
          <xdr:colOff>444500</xdr:colOff>
          <xdr:row>2</xdr:row>
          <xdr:rowOff>63500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A7A6E4E3-A458-4076-318B-4479E278C1BF}"/>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500" b="0" i="0" u="none" strike="noStrike" baseline="0">
                  <a:solidFill>
                    <a:srgbClr val="000000"/>
                  </a:solidFill>
                  <a:latin typeface="新細明體" pitchFamily="1" charset="-120"/>
                  <a:ea typeface="新細明體" pitchFamily="1" charset="-120"/>
                </a:rPr>
                <a:t>現在時間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xdr:colOff>
          <xdr:row>7</xdr:row>
          <xdr:rowOff>25400</xdr:rowOff>
        </xdr:from>
        <xdr:to>
          <xdr:col>20</xdr:col>
          <xdr:colOff>444500</xdr:colOff>
          <xdr:row>9</xdr:row>
          <xdr:rowOff>38100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6DA34B40-3E18-AE99-68A3-3F285017A04A}"/>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500" b="0" i="0" u="none" strike="noStrike" baseline="0">
                  <a:solidFill>
                    <a:srgbClr val="000000"/>
                  </a:solidFill>
                  <a:latin typeface="新細明體" pitchFamily="1" charset="-120"/>
                  <a:ea typeface="新細明體" pitchFamily="1" charset="-120"/>
                </a:rPr>
                <a:t>原來宮位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457200</xdr:colOff>
          <xdr:row>7</xdr:row>
          <xdr:rowOff>25400</xdr:rowOff>
        </xdr:from>
        <xdr:to>
          <xdr:col>23</xdr:col>
          <xdr:colOff>0</xdr:colOff>
          <xdr:row>9</xdr:row>
          <xdr:rowOff>38100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B66CC65B-6A1C-4FBB-8923-513AEBDF6F9C}"/>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500" b="0" i="0" u="none" strike="noStrike" baseline="0">
                  <a:solidFill>
                    <a:srgbClr val="000000"/>
                  </a:solidFill>
                  <a:latin typeface="新細明體" pitchFamily="1" charset="-120"/>
                  <a:ea typeface="新細明體" pitchFamily="1" charset="-120"/>
                </a:rPr>
                <a:t>順轉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12700</xdr:colOff>
          <xdr:row>7</xdr:row>
          <xdr:rowOff>25400</xdr:rowOff>
        </xdr:from>
        <xdr:to>
          <xdr:col>26</xdr:col>
          <xdr:colOff>12700</xdr:colOff>
          <xdr:row>9</xdr:row>
          <xdr:rowOff>38100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C87C99A1-8F1C-695C-52D4-1C7714EC0663}"/>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18288" tIns="18288" rIns="18288" bIns="18288" anchor="ctr" upright="1"/>
            <a:lstStyle/>
            <a:p>
              <a:pPr algn="ctr" rtl="0">
                <a:defRPr sz="1000"/>
              </a:pPr>
              <a:r>
                <a:rPr lang="en-US" sz="500" b="0" i="0" u="none" strike="noStrike" baseline="0">
                  <a:solidFill>
                    <a:srgbClr val="000000"/>
                  </a:solidFill>
                  <a:latin typeface="宋体" charset="-122"/>
                  <a:ea typeface="宋体" charset="-122"/>
                </a:rPr>
                <a:t>逆轉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xdr:colOff>
          <xdr:row>5</xdr:row>
          <xdr:rowOff>12700</xdr:rowOff>
        </xdr:from>
        <xdr:to>
          <xdr:col>20</xdr:col>
          <xdr:colOff>444500</xdr:colOff>
          <xdr:row>7</xdr:row>
          <xdr:rowOff>25400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4DB821A6-A904-4041-22D0-D9C3EFF28DF8}"/>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500" b="0" i="0" u="none" strike="noStrike" baseline="0">
                  <a:solidFill>
                    <a:srgbClr val="000000"/>
                  </a:solidFill>
                  <a:latin typeface="新細明體" pitchFamily="1" charset="-120"/>
                  <a:ea typeface="新細明體" pitchFamily="1" charset="-120"/>
                </a:rPr>
                <a:t>上一時辰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xdr:colOff>
          <xdr:row>2</xdr:row>
          <xdr:rowOff>76200</xdr:rowOff>
        </xdr:from>
        <xdr:to>
          <xdr:col>20</xdr:col>
          <xdr:colOff>444500</xdr:colOff>
          <xdr:row>5</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AF514A39-9E7E-A205-F222-6E77A703B28B}"/>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500" b="0" i="0" u="none" strike="noStrike" baseline="0">
                  <a:solidFill>
                    <a:srgbClr val="000000"/>
                  </a:solidFill>
                  <a:latin typeface="新細明體" pitchFamily="1" charset="-120"/>
                  <a:ea typeface="新細明體" pitchFamily="1" charset="-120"/>
                </a:rPr>
                <a:t>上一日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457200</xdr:colOff>
          <xdr:row>5</xdr:row>
          <xdr:rowOff>12700</xdr:rowOff>
        </xdr:from>
        <xdr:to>
          <xdr:col>23</xdr:col>
          <xdr:colOff>0</xdr:colOff>
          <xdr:row>7</xdr:row>
          <xdr:rowOff>25400</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698F47FC-81E4-1017-32CB-F5B7F6D1D4C1}"/>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500" b="0" i="0" u="none" strike="noStrike" baseline="0">
                  <a:solidFill>
                    <a:srgbClr val="000000"/>
                  </a:solidFill>
                  <a:latin typeface="新細明體" pitchFamily="1" charset="-120"/>
                  <a:ea typeface="新細明體" pitchFamily="1" charset="-120"/>
                </a:rPr>
                <a:t>下一時辰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457200</xdr:colOff>
          <xdr:row>2</xdr:row>
          <xdr:rowOff>76200</xdr:rowOff>
        </xdr:from>
        <xdr:to>
          <xdr:col>23</xdr:col>
          <xdr:colOff>0</xdr:colOff>
          <xdr:row>5</xdr:row>
          <xdr:rowOff>0</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EDEC0211-019A-EE14-B2EE-8E0CB673BA2E}"/>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500" b="0" i="0" u="none" strike="noStrike" baseline="0">
                  <a:solidFill>
                    <a:srgbClr val="000000"/>
                  </a:solidFill>
                  <a:latin typeface="新細明體" pitchFamily="1" charset="-120"/>
                  <a:ea typeface="新細明體" pitchFamily="1" charset="-120"/>
                </a:rPr>
                <a:t>下一日</a:t>
              </a:r>
            </a:p>
          </xdr:txBody>
        </xdr:sp>
        <xdr:clientData fPrintsWithSheet="0"/>
      </xdr:twoCellAnchor>
    </mc:Choice>
    <mc:Fallback/>
  </mc:AlternateContent>
  <xdr:twoCellAnchor editAs="oneCell">
    <xdr:from>
      <xdr:col>2</xdr:col>
      <xdr:colOff>0</xdr:colOff>
      <xdr:row>8</xdr:row>
      <xdr:rowOff>25400</xdr:rowOff>
    </xdr:from>
    <xdr:to>
      <xdr:col>18</xdr:col>
      <xdr:colOff>25400</xdr:colOff>
      <xdr:row>24</xdr:row>
      <xdr:rowOff>63500</xdr:rowOff>
    </xdr:to>
    <xdr:pic>
      <xdr:nvPicPr>
        <xdr:cNvPr id="14349" name="Picture 2">
          <a:extLst>
            <a:ext uri="{FF2B5EF4-FFF2-40B4-BE49-F238E27FC236}">
              <a16:creationId xmlns:a16="http://schemas.microsoft.com/office/drawing/2014/main" id="{CA912616-F644-2D42-D9C1-AC23A661469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596900"/>
          <a:ext cx="14478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esktop/&#22855;&#38272;&#36929;&#30002;/&#22855;&#38376;&#36929;&#30002;V4.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万年历"/>
      <sheetName val="Data"/>
      <sheetName val="Sheet1 (2)"/>
      <sheetName val="时旬"/>
      <sheetName val="阴阳"/>
      <sheetName val="排局阳"/>
      <sheetName val="排局阴"/>
      <sheetName val="9star"/>
      <sheetName val="new1"/>
      <sheetName val="jieqi"/>
      <sheetName val="QM"/>
      <sheetName val="kongwang"/>
      <sheetName val="month"/>
    </sheetNames>
    <sheetDataSet>
      <sheetData sheetId="0" refreshError="1"/>
      <sheetData sheetId="1" refreshError="1">
        <row r="2">
          <cell r="B2" t="str">
            <v>甲</v>
          </cell>
          <cell r="D2" t="str">
            <v>甲</v>
          </cell>
          <cell r="F2" t="str">
            <v>乙</v>
          </cell>
          <cell r="N2">
            <v>0</v>
          </cell>
          <cell r="Q2">
            <v>1</v>
          </cell>
          <cell r="AB2">
            <v>101</v>
          </cell>
          <cell r="AC2" t="str">
            <v>元旦</v>
          </cell>
          <cell r="AD2">
            <v>0</v>
          </cell>
          <cell r="AE2">
            <v>100</v>
          </cell>
          <cell r="AF2" t="str">
            <v>除夕</v>
          </cell>
          <cell r="AG2" t="str">
            <v>初一</v>
          </cell>
          <cell r="AI2">
            <v>1900</v>
          </cell>
          <cell r="AL2" t="str">
            <v>夜深了, 该睡了! 现在是:</v>
          </cell>
        </row>
        <row r="3">
          <cell r="B3" t="str">
            <v>午</v>
          </cell>
          <cell r="C3">
            <v>7</v>
          </cell>
          <cell r="D3" t="str">
            <v>戌</v>
          </cell>
          <cell r="F3" t="str">
            <v>丑</v>
          </cell>
          <cell r="N3">
            <v>1</v>
          </cell>
          <cell r="Q3">
            <v>2</v>
          </cell>
          <cell r="AB3">
            <v>105</v>
          </cell>
          <cell r="AC3" t="str">
            <v>冰雪节</v>
          </cell>
          <cell r="AD3">
            <v>1985</v>
          </cell>
          <cell r="AE3">
            <v>101</v>
          </cell>
          <cell r="AF3" t="str">
            <v>春节</v>
          </cell>
          <cell r="AI3">
            <v>1901</v>
          </cell>
        </row>
        <row r="4">
          <cell r="C4">
            <v>10</v>
          </cell>
          <cell r="J4" t="str">
            <v>戊寅</v>
          </cell>
          <cell r="N4">
            <v>2</v>
          </cell>
          <cell r="Q4">
            <v>3</v>
          </cell>
          <cell r="AB4">
            <v>207</v>
          </cell>
          <cell r="AC4" t="str">
            <v>二·七</v>
          </cell>
          <cell r="AD4">
            <v>1923</v>
          </cell>
          <cell r="AE4">
            <v>115</v>
          </cell>
          <cell r="AF4" t="str">
            <v>元宵节</v>
          </cell>
          <cell r="AI4">
            <v>1902</v>
          </cell>
        </row>
        <row r="5">
          <cell r="N5">
            <v>3</v>
          </cell>
          <cell r="Q5">
            <v>4</v>
          </cell>
          <cell r="AB5">
            <v>214</v>
          </cell>
          <cell r="AC5" t="str">
            <v>情人节</v>
          </cell>
          <cell r="AD5">
            <v>300</v>
          </cell>
          <cell r="AE5">
            <v>202</v>
          </cell>
          <cell r="AF5" t="str">
            <v>龙头节</v>
          </cell>
          <cell r="AI5">
            <v>1903</v>
          </cell>
        </row>
        <row r="6">
          <cell r="N6">
            <v>4</v>
          </cell>
          <cell r="Q6">
            <v>5</v>
          </cell>
          <cell r="AB6">
            <v>305</v>
          </cell>
          <cell r="AC6" t="str">
            <v>学雷锋</v>
          </cell>
          <cell r="AD6">
            <v>1967</v>
          </cell>
          <cell r="AE6">
            <v>208</v>
          </cell>
          <cell r="AF6" t="str">
            <v>插花节</v>
          </cell>
          <cell r="AI6">
            <v>1904</v>
          </cell>
        </row>
        <row r="7">
          <cell r="N7">
            <v>5</v>
          </cell>
          <cell r="Q7">
            <v>6</v>
          </cell>
          <cell r="AB7">
            <v>308</v>
          </cell>
          <cell r="AC7" t="str">
            <v>妇女节</v>
          </cell>
          <cell r="AD7">
            <v>1910</v>
          </cell>
          <cell r="AE7">
            <v>303</v>
          </cell>
          <cell r="AF7" t="str">
            <v>上巳节</v>
          </cell>
          <cell r="AI7">
            <v>1905</v>
          </cell>
        </row>
        <row r="8">
          <cell r="B8">
            <v>31</v>
          </cell>
          <cell r="N8">
            <v>6</v>
          </cell>
          <cell r="Q8">
            <v>7</v>
          </cell>
          <cell r="AB8">
            <v>312</v>
          </cell>
          <cell r="AC8" t="str">
            <v>植树节</v>
          </cell>
          <cell r="AD8">
            <v>1979</v>
          </cell>
          <cell r="AE8">
            <v>408</v>
          </cell>
          <cell r="AF8" t="str">
            <v>转山会</v>
          </cell>
          <cell r="AI8">
            <v>1906</v>
          </cell>
        </row>
        <row r="9">
          <cell r="B9">
            <v>30</v>
          </cell>
          <cell r="N9">
            <v>7</v>
          </cell>
          <cell r="Q9">
            <v>8</v>
          </cell>
          <cell r="AB9">
            <v>315</v>
          </cell>
          <cell r="AC9" t="str">
            <v>消权日</v>
          </cell>
          <cell r="AD9">
            <v>1990</v>
          </cell>
          <cell r="AE9">
            <v>505</v>
          </cell>
          <cell r="AF9" t="str">
            <v>端午节</v>
          </cell>
          <cell r="AI9">
            <v>1907</v>
          </cell>
        </row>
        <row r="10">
          <cell r="N10">
            <v>8</v>
          </cell>
          <cell r="Q10">
            <v>9</v>
          </cell>
          <cell r="AB10">
            <v>323</v>
          </cell>
          <cell r="AC10" t="str">
            <v>气象日</v>
          </cell>
          <cell r="AD10">
            <v>1951</v>
          </cell>
          <cell r="AE10">
            <v>610</v>
          </cell>
          <cell r="AF10" t="str">
            <v>达玛节</v>
          </cell>
          <cell r="AI10">
            <v>1908</v>
          </cell>
        </row>
        <row r="11">
          <cell r="B11" t="str">
            <v>O C T O B E R</v>
          </cell>
          <cell r="N11">
            <v>9</v>
          </cell>
          <cell r="Q11">
            <v>10</v>
          </cell>
          <cell r="AB11">
            <v>401</v>
          </cell>
          <cell r="AC11" t="str">
            <v>愚人节</v>
          </cell>
          <cell r="AD11">
            <v>1564</v>
          </cell>
          <cell r="AE11">
            <v>623</v>
          </cell>
          <cell r="AF11" t="str">
            <v>火把节</v>
          </cell>
          <cell r="AI11">
            <v>1909</v>
          </cell>
        </row>
        <row r="12">
          <cell r="N12">
            <v>10</v>
          </cell>
          <cell r="Q12">
            <v>11</v>
          </cell>
          <cell r="AB12">
            <v>407</v>
          </cell>
          <cell r="AC12" t="str">
            <v>卫生日</v>
          </cell>
          <cell r="AD12">
            <v>1948</v>
          </cell>
          <cell r="AE12">
            <v>707</v>
          </cell>
          <cell r="AF12" t="str">
            <v>女儿节</v>
          </cell>
          <cell r="AI12">
            <v>1910</v>
          </cell>
        </row>
        <row r="13">
          <cell r="N13">
            <v>11</v>
          </cell>
          <cell r="Q13">
            <v>12</v>
          </cell>
          <cell r="AB13">
            <v>422</v>
          </cell>
          <cell r="AC13" t="str">
            <v>地球日</v>
          </cell>
          <cell r="AD13">
            <v>1990</v>
          </cell>
          <cell r="AE13">
            <v>715</v>
          </cell>
          <cell r="AF13" t="str">
            <v>中元节</v>
          </cell>
          <cell r="AI13">
            <v>1911</v>
          </cell>
        </row>
        <row r="14">
          <cell r="N14">
            <v>12</v>
          </cell>
          <cell r="AB14">
            <v>501</v>
          </cell>
          <cell r="AC14" t="str">
            <v>劳动节</v>
          </cell>
          <cell r="AD14">
            <v>1920</v>
          </cell>
          <cell r="AE14">
            <v>815</v>
          </cell>
          <cell r="AF14" t="str">
            <v>中秋节</v>
          </cell>
          <cell r="AI14">
            <v>1912</v>
          </cell>
        </row>
        <row r="15">
          <cell r="N15">
            <v>13</v>
          </cell>
          <cell r="AB15">
            <v>504</v>
          </cell>
          <cell r="AC15" t="str">
            <v>青年节</v>
          </cell>
          <cell r="AD15">
            <v>1919</v>
          </cell>
          <cell r="AE15">
            <v>909</v>
          </cell>
          <cell r="AF15" t="str">
            <v>重阳节</v>
          </cell>
          <cell r="AI15">
            <v>1913</v>
          </cell>
        </row>
        <row r="16">
          <cell r="N16">
            <v>14</v>
          </cell>
          <cell r="AB16">
            <v>512</v>
          </cell>
          <cell r="AC16" t="str">
            <v>护士节</v>
          </cell>
          <cell r="AD16">
            <v>1910</v>
          </cell>
          <cell r="AE16">
            <v>1208</v>
          </cell>
          <cell r="AF16" t="str">
            <v>腊八节</v>
          </cell>
          <cell r="AI16">
            <v>1914</v>
          </cell>
        </row>
        <row r="17">
          <cell r="N17">
            <v>15</v>
          </cell>
          <cell r="AB17">
            <v>516</v>
          </cell>
          <cell r="AC17" t="str">
            <v>助残日</v>
          </cell>
          <cell r="AD17">
            <v>1990</v>
          </cell>
          <cell r="AI17">
            <v>1915</v>
          </cell>
        </row>
        <row r="18">
          <cell r="N18">
            <v>16</v>
          </cell>
          <cell r="AB18">
            <v>517</v>
          </cell>
          <cell r="AC18" t="str">
            <v>电信日</v>
          </cell>
          <cell r="AD18">
            <v>1965</v>
          </cell>
          <cell r="AI18">
            <v>1916</v>
          </cell>
        </row>
        <row r="19">
          <cell r="N19">
            <v>17</v>
          </cell>
          <cell r="AB19">
            <v>531</v>
          </cell>
          <cell r="AC19" t="str">
            <v>无烟日</v>
          </cell>
          <cell r="AD19">
            <v>1988</v>
          </cell>
          <cell r="AI19">
            <v>1917</v>
          </cell>
        </row>
        <row r="20">
          <cell r="N20">
            <v>18</v>
          </cell>
          <cell r="AB20">
            <v>601</v>
          </cell>
          <cell r="AC20" t="str">
            <v>儿童节</v>
          </cell>
          <cell r="AD20">
            <v>1949</v>
          </cell>
          <cell r="AI20">
            <v>1918</v>
          </cell>
        </row>
        <row r="21">
          <cell r="N21">
            <v>19</v>
          </cell>
          <cell r="AB21">
            <v>605</v>
          </cell>
          <cell r="AC21" t="str">
            <v>环璄日</v>
          </cell>
          <cell r="AD21">
            <v>1972</v>
          </cell>
          <cell r="AI21">
            <v>1919</v>
          </cell>
        </row>
        <row r="22">
          <cell r="N22">
            <v>20</v>
          </cell>
          <cell r="AB22">
            <v>606</v>
          </cell>
          <cell r="AC22" t="str">
            <v>爱眼日</v>
          </cell>
          <cell r="AD22">
            <v>1997</v>
          </cell>
          <cell r="AI22">
            <v>1920</v>
          </cell>
        </row>
        <row r="23">
          <cell r="N23">
            <v>21</v>
          </cell>
          <cell r="AB23">
            <v>626</v>
          </cell>
          <cell r="AC23" t="str">
            <v>禁毒日</v>
          </cell>
          <cell r="AD23">
            <v>1990</v>
          </cell>
          <cell r="AI23">
            <v>1921</v>
          </cell>
        </row>
        <row r="24">
          <cell r="N24">
            <v>22</v>
          </cell>
          <cell r="AB24">
            <v>701</v>
          </cell>
          <cell r="AC24" t="str">
            <v>建党节</v>
          </cell>
          <cell r="AD24">
            <v>1941</v>
          </cell>
          <cell r="AI24">
            <v>1922</v>
          </cell>
        </row>
        <row r="25">
          <cell r="N25">
            <v>23</v>
          </cell>
          <cell r="AB25">
            <v>711</v>
          </cell>
          <cell r="AC25" t="str">
            <v>人口日</v>
          </cell>
          <cell r="AD25">
            <v>1987</v>
          </cell>
          <cell r="AI25">
            <v>1923</v>
          </cell>
        </row>
        <row r="26">
          <cell r="AB26">
            <v>801</v>
          </cell>
          <cell r="AC26" t="str">
            <v>建军节</v>
          </cell>
          <cell r="AD26">
            <v>1933</v>
          </cell>
          <cell r="AI26">
            <v>1924</v>
          </cell>
        </row>
        <row r="27">
          <cell r="AB27">
            <v>908</v>
          </cell>
          <cell r="AC27" t="str">
            <v>扫肓日</v>
          </cell>
          <cell r="AD27">
            <v>1949</v>
          </cell>
          <cell r="AI27">
            <v>1925</v>
          </cell>
        </row>
        <row r="28">
          <cell r="AB28">
            <v>910</v>
          </cell>
          <cell r="AC28" t="str">
            <v>教师节</v>
          </cell>
          <cell r="AD28">
            <v>1985</v>
          </cell>
          <cell r="AI28">
            <v>1926</v>
          </cell>
        </row>
        <row r="29">
          <cell r="B29">
            <v>41906</v>
          </cell>
          <cell r="C29" t="str">
            <v>九月</v>
          </cell>
          <cell r="D29">
            <v>9</v>
          </cell>
          <cell r="AB29">
            <v>918</v>
          </cell>
          <cell r="AC29" t="str">
            <v>九一八</v>
          </cell>
          <cell r="AD29">
            <v>1945</v>
          </cell>
          <cell r="AI29">
            <v>1927</v>
          </cell>
        </row>
        <row r="30">
          <cell r="B30">
            <v>41936</v>
          </cell>
          <cell r="C30" t="str">
            <v>闰九月</v>
          </cell>
          <cell r="D30">
            <v>9</v>
          </cell>
          <cell r="AB30">
            <v>920</v>
          </cell>
          <cell r="AC30" t="str">
            <v>爱牙日</v>
          </cell>
          <cell r="AD30">
            <v>1989</v>
          </cell>
          <cell r="AI30">
            <v>1928</v>
          </cell>
        </row>
        <row r="31">
          <cell r="B31">
            <v>41965</v>
          </cell>
          <cell r="C31" t="str">
            <v>十月</v>
          </cell>
          <cell r="AB31">
            <v>927</v>
          </cell>
          <cell r="AC31" t="str">
            <v>旅游日</v>
          </cell>
          <cell r="AD31">
            <v>1975</v>
          </cell>
          <cell r="AI31">
            <v>1929</v>
          </cell>
        </row>
        <row r="32">
          <cell r="B32" t="b">
            <v>0</v>
          </cell>
          <cell r="AB32">
            <v>1001</v>
          </cell>
          <cell r="AC32" t="str">
            <v>国庆节</v>
          </cell>
          <cell r="AD32">
            <v>1949</v>
          </cell>
          <cell r="AI32">
            <v>1930</v>
          </cell>
        </row>
        <row r="33">
          <cell r="B33" t="b">
            <v>1</v>
          </cell>
          <cell r="O33" t="str">
            <v>Data!O2:O32</v>
          </cell>
          <cell r="AB33">
            <v>1009</v>
          </cell>
          <cell r="AC33" t="str">
            <v>邮政日</v>
          </cell>
          <cell r="AD33">
            <v>1969</v>
          </cell>
          <cell r="AI33">
            <v>1931</v>
          </cell>
        </row>
        <row r="34">
          <cell r="B34">
            <v>2014</v>
          </cell>
          <cell r="AB34">
            <v>1101</v>
          </cell>
          <cell r="AC34" t="str">
            <v>万圣节</v>
          </cell>
          <cell r="AD34">
            <v>0</v>
          </cell>
          <cell r="AI34">
            <v>1932</v>
          </cell>
        </row>
        <row r="35">
          <cell r="B35">
            <v>10</v>
          </cell>
          <cell r="AB35">
            <v>1206</v>
          </cell>
          <cell r="AC35" t="str">
            <v>隆临节</v>
          </cell>
          <cell r="AD35">
            <v>0</v>
          </cell>
          <cell r="AI35">
            <v>1933</v>
          </cell>
        </row>
        <row r="36">
          <cell r="B36">
            <v>21</v>
          </cell>
          <cell r="AB36">
            <v>1210</v>
          </cell>
          <cell r="AC36" t="str">
            <v>人权日</v>
          </cell>
          <cell r="AD36">
            <v>1950</v>
          </cell>
          <cell r="AI36">
            <v>1934</v>
          </cell>
        </row>
        <row r="37">
          <cell r="AB37">
            <v>1225</v>
          </cell>
          <cell r="AC37" t="str">
            <v>圣诞节</v>
          </cell>
          <cell r="AD37">
            <v>0</v>
          </cell>
          <cell r="AI37">
            <v>1935</v>
          </cell>
        </row>
        <row r="38">
          <cell r="B38">
            <v>41933</v>
          </cell>
          <cell r="AC38" t="str">
            <v>母亲节</v>
          </cell>
          <cell r="AD38">
            <v>1914</v>
          </cell>
          <cell r="AI38">
            <v>1936</v>
          </cell>
        </row>
        <row r="39">
          <cell r="AC39" t="str">
            <v>父亲节</v>
          </cell>
          <cell r="AD39">
            <v>1912</v>
          </cell>
          <cell r="AI39">
            <v>1937</v>
          </cell>
        </row>
        <row r="40">
          <cell r="AI40">
            <v>1938</v>
          </cell>
        </row>
        <row r="41">
          <cell r="B41" t="str">
            <v>九月廿八</v>
          </cell>
          <cell r="AI41">
            <v>1939</v>
          </cell>
        </row>
        <row r="42">
          <cell r="B42">
            <v>2014</v>
          </cell>
          <cell r="AI42">
            <v>1940</v>
          </cell>
        </row>
        <row r="43">
          <cell r="B43">
            <v>0</v>
          </cell>
          <cell r="AI43">
            <v>1941</v>
          </cell>
        </row>
        <row r="44">
          <cell r="AI44">
            <v>1942</v>
          </cell>
        </row>
        <row r="45">
          <cell r="AI45">
            <v>1943</v>
          </cell>
        </row>
        <row r="46">
          <cell r="B46" t="str">
            <v>寒露</v>
          </cell>
          <cell r="C46">
            <v>41920</v>
          </cell>
          <cell r="AI46">
            <v>1944</v>
          </cell>
        </row>
        <row r="47">
          <cell r="B47" t="str">
            <v>霜降</v>
          </cell>
          <cell r="C47">
            <v>41935</v>
          </cell>
          <cell r="AI47">
            <v>1945</v>
          </cell>
        </row>
        <row r="48">
          <cell r="B48">
            <v>41913</v>
          </cell>
          <cell r="AI48">
            <v>1946</v>
          </cell>
        </row>
        <row r="49">
          <cell r="B49">
            <v>41943</v>
          </cell>
          <cell r="AI49">
            <v>1947</v>
          </cell>
        </row>
        <row r="50">
          <cell r="AI50">
            <v>1948</v>
          </cell>
        </row>
        <row r="51">
          <cell r="AI51">
            <v>1949</v>
          </cell>
        </row>
        <row r="52">
          <cell r="AI52">
            <v>1950</v>
          </cell>
        </row>
        <row r="53">
          <cell r="AI53">
            <v>1951</v>
          </cell>
        </row>
        <row r="54">
          <cell r="AI54">
            <v>1952</v>
          </cell>
        </row>
        <row r="55">
          <cell r="AI55">
            <v>1953</v>
          </cell>
        </row>
        <row r="56">
          <cell r="AI56">
            <v>1954</v>
          </cell>
        </row>
        <row r="57">
          <cell r="AI57">
            <v>1955</v>
          </cell>
        </row>
        <row r="58">
          <cell r="AI58">
            <v>1956</v>
          </cell>
        </row>
        <row r="59">
          <cell r="AI59">
            <v>1957</v>
          </cell>
        </row>
        <row r="60">
          <cell r="AI60">
            <v>1958</v>
          </cell>
        </row>
        <row r="61">
          <cell r="AI61">
            <v>1959</v>
          </cell>
        </row>
        <row r="62">
          <cell r="AI62">
            <v>1960</v>
          </cell>
        </row>
        <row r="63">
          <cell r="AI63">
            <v>1961</v>
          </cell>
        </row>
        <row r="64">
          <cell r="AI64">
            <v>1962</v>
          </cell>
        </row>
        <row r="65">
          <cell r="AI65">
            <v>1963</v>
          </cell>
        </row>
        <row r="66">
          <cell r="AI66">
            <v>1964</v>
          </cell>
        </row>
        <row r="67">
          <cell r="AI67">
            <v>1965</v>
          </cell>
        </row>
        <row r="68">
          <cell r="AI68">
            <v>1966</v>
          </cell>
        </row>
        <row r="69">
          <cell r="AI69">
            <v>1967</v>
          </cell>
        </row>
        <row r="70">
          <cell r="AI70">
            <v>1968</v>
          </cell>
        </row>
        <row r="71">
          <cell r="AI71">
            <v>1969</v>
          </cell>
        </row>
        <row r="72">
          <cell r="AI72">
            <v>1970</v>
          </cell>
        </row>
        <row r="73">
          <cell r="AI73">
            <v>1971</v>
          </cell>
        </row>
        <row r="74">
          <cell r="AI74">
            <v>1972</v>
          </cell>
        </row>
        <row r="75">
          <cell r="AI75">
            <v>1973</v>
          </cell>
        </row>
        <row r="76">
          <cell r="AI76">
            <v>1974</v>
          </cell>
        </row>
        <row r="77">
          <cell r="AI77">
            <v>1975</v>
          </cell>
        </row>
        <row r="78">
          <cell r="AI78">
            <v>1976</v>
          </cell>
        </row>
        <row r="79">
          <cell r="AI79">
            <v>1977</v>
          </cell>
        </row>
        <row r="80">
          <cell r="AI80">
            <v>1978</v>
          </cell>
        </row>
        <row r="81">
          <cell r="AI81">
            <v>1979</v>
          </cell>
        </row>
        <row r="82">
          <cell r="AI82">
            <v>1980</v>
          </cell>
        </row>
        <row r="83">
          <cell r="AI83">
            <v>1981</v>
          </cell>
        </row>
        <row r="84">
          <cell r="AI84">
            <v>1982</v>
          </cell>
        </row>
        <row r="85">
          <cell r="AI85">
            <v>1983</v>
          </cell>
        </row>
        <row r="86">
          <cell r="AI86">
            <v>1984</v>
          </cell>
        </row>
        <row r="87">
          <cell r="AI87">
            <v>1985</v>
          </cell>
        </row>
        <row r="88">
          <cell r="AI88">
            <v>1986</v>
          </cell>
        </row>
        <row r="89">
          <cell r="AI89">
            <v>1987</v>
          </cell>
        </row>
        <row r="90">
          <cell r="AI90">
            <v>1988</v>
          </cell>
        </row>
        <row r="91">
          <cell r="AI91">
            <v>1989</v>
          </cell>
        </row>
        <row r="92">
          <cell r="AI92">
            <v>1990</v>
          </cell>
        </row>
        <row r="93">
          <cell r="AI93">
            <v>1991</v>
          </cell>
        </row>
        <row r="94">
          <cell r="AI94">
            <v>1992</v>
          </cell>
        </row>
        <row r="95">
          <cell r="AI95">
            <v>1993</v>
          </cell>
        </row>
        <row r="96">
          <cell r="AI96">
            <v>1994</v>
          </cell>
        </row>
        <row r="97">
          <cell r="AI97">
            <v>1995</v>
          </cell>
        </row>
        <row r="98">
          <cell r="AI98">
            <v>1996</v>
          </cell>
        </row>
        <row r="99">
          <cell r="AI99">
            <v>1997</v>
          </cell>
        </row>
        <row r="100">
          <cell r="AI100">
            <v>1998</v>
          </cell>
        </row>
        <row r="101">
          <cell r="AI101">
            <v>1999</v>
          </cell>
        </row>
        <row r="102">
          <cell r="AI102">
            <v>2000</v>
          </cell>
        </row>
        <row r="103">
          <cell r="AI103">
            <v>2001</v>
          </cell>
        </row>
        <row r="104">
          <cell r="AI104">
            <v>2002</v>
          </cell>
        </row>
        <row r="105">
          <cell r="AI105">
            <v>2003</v>
          </cell>
        </row>
        <row r="106">
          <cell r="AI106">
            <v>2004</v>
          </cell>
        </row>
        <row r="107">
          <cell r="AI107">
            <v>2005</v>
          </cell>
        </row>
        <row r="108">
          <cell r="AI108">
            <v>2006</v>
          </cell>
        </row>
        <row r="109">
          <cell r="AI109">
            <v>2007</v>
          </cell>
        </row>
        <row r="110">
          <cell r="AI110">
            <v>2008</v>
          </cell>
        </row>
        <row r="111">
          <cell r="AI111">
            <v>2009</v>
          </cell>
        </row>
        <row r="112">
          <cell r="AI112">
            <v>2010</v>
          </cell>
        </row>
        <row r="113">
          <cell r="AI113">
            <v>2011</v>
          </cell>
        </row>
        <row r="114">
          <cell r="AI114">
            <v>2012</v>
          </cell>
        </row>
        <row r="115">
          <cell r="AI115">
            <v>2013</v>
          </cell>
        </row>
        <row r="116">
          <cell r="AI116">
            <v>2014</v>
          </cell>
        </row>
        <row r="117">
          <cell r="AI117">
            <v>2015</v>
          </cell>
        </row>
        <row r="118">
          <cell r="AI118">
            <v>2016</v>
          </cell>
        </row>
        <row r="119">
          <cell r="AI119">
            <v>2017</v>
          </cell>
        </row>
        <row r="120">
          <cell r="AI120">
            <v>2018</v>
          </cell>
        </row>
        <row r="121">
          <cell r="AI121">
            <v>2019</v>
          </cell>
        </row>
        <row r="122">
          <cell r="AI122">
            <v>2020</v>
          </cell>
        </row>
        <row r="123">
          <cell r="AI123">
            <v>2021</v>
          </cell>
        </row>
        <row r="124">
          <cell r="AI124">
            <v>2022</v>
          </cell>
        </row>
        <row r="125">
          <cell r="AI125">
            <v>2023</v>
          </cell>
        </row>
        <row r="126">
          <cell r="AI126">
            <v>2024</v>
          </cell>
        </row>
        <row r="127">
          <cell r="AI127">
            <v>2025</v>
          </cell>
        </row>
        <row r="128">
          <cell r="AI128">
            <v>2026</v>
          </cell>
        </row>
        <row r="129">
          <cell r="AI129">
            <v>2027</v>
          </cell>
        </row>
        <row r="130">
          <cell r="AI130">
            <v>2028</v>
          </cell>
        </row>
        <row r="131">
          <cell r="AI131">
            <v>2029</v>
          </cell>
        </row>
        <row r="132">
          <cell r="AI132">
            <v>2030</v>
          </cell>
        </row>
        <row r="133">
          <cell r="AI133">
            <v>2031</v>
          </cell>
        </row>
        <row r="134">
          <cell r="AI134">
            <v>2032</v>
          </cell>
        </row>
        <row r="135">
          <cell r="AI135">
            <v>2033</v>
          </cell>
        </row>
        <row r="136">
          <cell r="AI136">
            <v>2034</v>
          </cell>
        </row>
        <row r="137">
          <cell r="AI137">
            <v>2035</v>
          </cell>
        </row>
        <row r="138">
          <cell r="AI138">
            <v>2036</v>
          </cell>
        </row>
        <row r="139">
          <cell r="AI139">
            <v>2037</v>
          </cell>
        </row>
        <row r="140">
          <cell r="AI140">
            <v>2038</v>
          </cell>
        </row>
        <row r="141">
          <cell r="AI141">
            <v>2039</v>
          </cell>
        </row>
        <row r="142">
          <cell r="AI142">
            <v>2040</v>
          </cell>
        </row>
        <row r="143">
          <cell r="AI143">
            <v>2041</v>
          </cell>
        </row>
        <row r="144">
          <cell r="AI144">
            <v>2042</v>
          </cell>
        </row>
        <row r="145">
          <cell r="AI145">
            <v>2043</v>
          </cell>
        </row>
        <row r="146">
          <cell r="AI146">
            <v>2044</v>
          </cell>
        </row>
        <row r="147">
          <cell r="AI147">
            <v>2045</v>
          </cell>
        </row>
        <row r="148">
          <cell r="AI148">
            <v>2046</v>
          </cell>
        </row>
        <row r="149">
          <cell r="AI149">
            <v>2047</v>
          </cell>
        </row>
        <row r="150">
          <cell r="AI150">
            <v>2048</v>
          </cell>
        </row>
        <row r="151">
          <cell r="AI151">
            <v>2049</v>
          </cell>
        </row>
        <row r="152">
          <cell r="AI152">
            <v>2050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bieyu.com/" TargetMode="External"/><Relationship Id="rId2" Type="http://schemas.openxmlformats.org/officeDocument/2006/relationships/hyperlink" Target="http://bieyu.com/" TargetMode="External"/><Relationship Id="rId1" Type="http://schemas.openxmlformats.org/officeDocument/2006/relationships/hyperlink" Target="http://jieqi.911cha.com/" TargetMode="External"/><Relationship Id="rId6" Type="http://schemas.openxmlformats.org/officeDocument/2006/relationships/drawing" Target="../drawings/drawing3.xml"/><Relationship Id="rId5" Type="http://schemas.openxmlformats.org/officeDocument/2006/relationships/hyperlink" Target="http://bieyu.com/" TargetMode="External"/><Relationship Id="rId4" Type="http://schemas.openxmlformats.org/officeDocument/2006/relationships/hyperlink" Target="http://www.fjptsz.com/xxjs/xjw/sxwnl.rar"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bieyu.com/" TargetMode="External"/><Relationship Id="rId2" Type="http://schemas.openxmlformats.org/officeDocument/2006/relationships/hyperlink" Target="http://bieyu.com/" TargetMode="External"/><Relationship Id="rId1" Type="http://schemas.openxmlformats.org/officeDocument/2006/relationships/hyperlink" Target="http://jieqi.911cha.com/" TargetMode="External"/><Relationship Id="rId6" Type="http://schemas.openxmlformats.org/officeDocument/2006/relationships/drawing" Target="../drawings/drawing4.xml"/><Relationship Id="rId5" Type="http://schemas.openxmlformats.org/officeDocument/2006/relationships/hyperlink" Target="http://bieyu.com/" TargetMode="External"/><Relationship Id="rId4" Type="http://schemas.openxmlformats.org/officeDocument/2006/relationships/hyperlink" Target="http://www.fjptsz.com/xxjs/xjw/sxwnl.rar"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7030A0"/>
    <pageSetUpPr fitToPage="1"/>
  </sheetPr>
  <dimension ref="A1:AP29"/>
  <sheetViews>
    <sheetView topLeftCell="AQ1" zoomScale="145" zoomScaleNormal="145" zoomScaleSheetLayoutView="100" zoomScalePageLayoutView="145" workbookViewId="0">
      <selection activeCell="AP1" sqref="A1:AP65536"/>
    </sheetView>
  </sheetViews>
  <sheetFormatPr defaultColWidth="9" defaultRowHeight="7.5" x14ac:dyDescent="0.1"/>
  <cols>
    <col min="1" max="1" width="0.375" style="252" hidden="1" customWidth="1"/>
    <col min="2" max="19" width="1.375" style="252" hidden="1" customWidth="1"/>
    <col min="20" max="20" width="5.625" style="252" hidden="1" customWidth="1"/>
    <col min="21" max="21" width="7.125" style="253" hidden="1" customWidth="1"/>
    <col min="22" max="22" width="3.125" style="254" hidden="1" customWidth="1"/>
    <col min="23" max="23" width="1.125" style="254" hidden="1" customWidth="1"/>
    <col min="24" max="24" width="1.5" style="254" hidden="1" customWidth="1"/>
    <col min="25" max="25" width="3.125" style="252" hidden="1" customWidth="1"/>
    <col min="26" max="26" width="1.125" style="252" hidden="1" customWidth="1"/>
    <col min="27" max="27" width="2.125" style="252" hidden="1" customWidth="1"/>
    <col min="28" max="31" width="1.125" style="252" hidden="1" customWidth="1"/>
    <col min="32" max="32" width="1.5" style="252" hidden="1" customWidth="1"/>
    <col min="33" max="33" width="1.5" style="254" hidden="1" customWidth="1"/>
    <col min="34" max="40" width="1.125" style="254" hidden="1" customWidth="1"/>
    <col min="41" max="42" width="9" style="254" hidden="1" customWidth="1"/>
    <col min="43" max="45" width="9" style="254" customWidth="1"/>
    <col min="46" max="16384" width="9" style="254"/>
  </cols>
  <sheetData>
    <row r="1" spans="1:41" ht="3" customHeight="1" x14ac:dyDescent="0.1">
      <c r="A1" s="251" t="str">
        <f>IF(Program!A1=0, "",Program!A1)</f>
        <v/>
      </c>
      <c r="B1" s="251" t="str">
        <f>IF(Program!B1=0, "",Program!B1)</f>
        <v/>
      </c>
      <c r="C1" s="251" t="str">
        <f>IF(Program!C1=0, "",Program!C1)</f>
        <v/>
      </c>
      <c r="D1" s="251" t="str">
        <f>IF(Program!D1=0, "",Program!D1)</f>
        <v/>
      </c>
      <c r="E1" s="251" t="str">
        <f>IF(Program!E1=0, "",Program!E1)</f>
        <v/>
      </c>
      <c r="F1" s="251" t="str">
        <f>IF(Program!F1=0, "",Program!F1)</f>
        <v/>
      </c>
      <c r="G1" s="251" t="str">
        <f>IF(Program!G1=0, "",Program!G1)</f>
        <v/>
      </c>
      <c r="H1" s="251" t="str">
        <f>IF(Program!H1=0, "",Program!H1)</f>
        <v/>
      </c>
      <c r="I1" s="251" t="str">
        <f>IF(Program!I1=0, "",Program!I1)</f>
        <v/>
      </c>
      <c r="J1" s="251" t="str">
        <f>IF(Program!J1=0, "",Program!J1)</f>
        <v/>
      </c>
      <c r="K1" s="251" t="str">
        <f>IF(Program!K1=0, "",Program!K1)</f>
        <v/>
      </c>
      <c r="L1" s="251" t="str">
        <f>IF(Program!L1=0, "",Program!L1)</f>
        <v/>
      </c>
      <c r="M1" s="251" t="str">
        <f>IF(Program!M1=0, "",Program!M1)</f>
        <v/>
      </c>
      <c r="N1" s="251" t="str">
        <f>IF(Program!N1=0, "",Program!N1)</f>
        <v/>
      </c>
      <c r="O1" s="251" t="str">
        <f>IF(Program!O1=0, "",Program!O1)</f>
        <v/>
      </c>
      <c r="P1" s="251" t="str">
        <f>IF(Program!P1=0, "",Program!P1)</f>
        <v/>
      </c>
      <c r="Q1" s="251" t="str">
        <f>IF(Program!Q1=0, "",Program!Q1)</f>
        <v/>
      </c>
      <c r="R1" s="251" t="str">
        <f>IF(Program!R1=0, "",Program!R1)</f>
        <v/>
      </c>
      <c r="S1" s="251" t="str">
        <f>IF(Program!S1=0, "",Program!S1)</f>
        <v/>
      </c>
      <c r="T1" s="252" t="str">
        <f>IF(Program!T1=0, "",Program!T1)</f>
        <v/>
      </c>
    </row>
    <row r="2" spans="1:41" ht="7.35" customHeight="1" x14ac:dyDescent="0.1">
      <c r="A2" s="255" t="str">
        <f>IF(Program!A2=0, "",Program!A2)</f>
        <v/>
      </c>
      <c r="B2" s="431">
        <f ca="1">Worksheet!B2</f>
        <v>2024</v>
      </c>
      <c r="C2" s="431" t="e">
        <f>IF(#REF!=0, "",#REF!)</f>
        <v>#REF!</v>
      </c>
      <c r="D2" s="256" t="str">
        <f>IF(Program!D2=0, "",Program!D2)</f>
        <v>年</v>
      </c>
      <c r="E2" s="257">
        <f ca="1">Worksheet!E2</f>
        <v>8</v>
      </c>
      <c r="F2" s="256" t="str">
        <f>IF(Program!F2=0, "",Program!F2)</f>
        <v>月</v>
      </c>
      <c r="G2" s="257">
        <f ca="1">Worksheet!G2</f>
        <v>27</v>
      </c>
      <c r="H2" s="256" t="str">
        <f>IF(Program!H2=0, "",Program!H2)</f>
        <v>日</v>
      </c>
      <c r="I2" s="258">
        <f ca="1">Worksheet!I2</f>
        <v>15</v>
      </c>
      <c r="J2" s="259" t="str">
        <f>IF(Program!J2=0, "",Program!J2)</f>
        <v>:</v>
      </c>
      <c r="K2" s="257">
        <f ca="1">Worksheet!K2</f>
        <v>5</v>
      </c>
      <c r="L2" s="259" t="str">
        <f>IF(Program!L2=0, "",Program!L2)</f>
        <v/>
      </c>
      <c r="M2" s="260" t="str">
        <f ca="1">IF(Program!M2=0, "",Program!M2)</f>
        <v>星期二</v>
      </c>
      <c r="N2" s="261" t="str">
        <f>IF(Program!N2=0, "",Program!N2)</f>
        <v/>
      </c>
      <c r="O2" s="261" t="str">
        <f>IF(Program!O2=0, "",Program!O2)</f>
        <v/>
      </c>
      <c r="P2" s="261" t="str">
        <f>IF(Program!P2=0, "",Program!P2)</f>
        <v/>
      </c>
      <c r="Q2" s="262" t="str">
        <f>IF(Program!Q2=0, "",Program!Q2)</f>
        <v>年</v>
      </c>
      <c r="R2" s="432" t="str">
        <f ca="1">IF(Program!R2=0, "",Program!R2)</f>
        <v>甲辰</v>
      </c>
      <c r="S2" s="432" t="e">
        <f>IF(#REF!=0, "",#REF!)</f>
        <v>#REF!</v>
      </c>
      <c r="T2" s="263" t="str">
        <f>IF(Program!T2=0, "",Program!T2)</f>
        <v/>
      </c>
      <c r="Y2" s="263"/>
      <c r="Z2" s="263"/>
      <c r="AA2" s="263"/>
      <c r="AB2" s="263"/>
      <c r="AC2" s="263"/>
      <c r="AD2" s="263"/>
      <c r="AE2" s="263"/>
      <c r="AF2" s="263"/>
    </row>
    <row r="3" spans="1:41" ht="7.35" customHeight="1" x14ac:dyDescent="0.1">
      <c r="A3" s="255" t="str">
        <f>IF(Program!A3=0, "",Program!A3)</f>
        <v/>
      </c>
      <c r="B3" s="433" t="str">
        <f>IF(Program!B3=0, "",Program!B3)</f>
        <v>農曆</v>
      </c>
      <c r="C3" s="433" t="e">
        <f>IF(#REF!=0, "",#REF!)</f>
        <v>#REF!</v>
      </c>
      <c r="D3" s="435" t="str">
        <f ca="1">Program!D3</f>
        <v>七月廿四</v>
      </c>
      <c r="E3" s="435" t="str">
        <f>IF(Program!E3=0, "",Program!E3)</f>
        <v/>
      </c>
      <c r="F3" s="435" t="str">
        <f>IF(Program!F3=0, "",Program!F3)</f>
        <v/>
      </c>
      <c r="G3" s="435" t="str">
        <f>IF(Program!G3=0, "",Program!G3)</f>
        <v/>
      </c>
      <c r="H3" s="256" t="str">
        <f>IF(Program!H3=0, "",Program!H3)</f>
        <v/>
      </c>
      <c r="I3" s="256" t="str">
        <f>IF(Program!I3=0, "",Program!I3)</f>
        <v/>
      </c>
      <c r="J3" s="256" t="str">
        <f>IF(Program!J3=0, "",Program!J3)</f>
        <v/>
      </c>
      <c r="K3" s="256" t="str">
        <f>IF(Program!K3=0, "",Program!K3)</f>
        <v/>
      </c>
      <c r="L3" s="256" t="str">
        <f>IF(Program!L3=0, "",Program!L3)</f>
        <v/>
      </c>
      <c r="M3" s="261" t="str">
        <f>IF(Program!M3=0, "",Program!M3)</f>
        <v/>
      </c>
      <c r="N3" s="261" t="str">
        <f>IF(Program!N3=0, "",Program!N3)</f>
        <v/>
      </c>
      <c r="O3" s="261" t="str">
        <f>IF(Program!O3=0, "",Program!O3)</f>
        <v/>
      </c>
      <c r="P3" s="261" t="str">
        <f>IF(Program!P3=0, "",Program!P3)</f>
        <v/>
      </c>
      <c r="Q3" s="261" t="str">
        <f>IF(Program!Q3=0, "",Program!Q3)</f>
        <v>月</v>
      </c>
      <c r="R3" s="432" t="str">
        <f ca="1">IF(Program!R3=0, "",Program!R3)</f>
        <v>壬申</v>
      </c>
      <c r="S3" s="432" t="e">
        <f>IF(#REF!=0, "",#REF!)</f>
        <v>#REF!</v>
      </c>
      <c r="T3" s="252" t="str">
        <f>IF(Program!T3=0, "",Program!T3)</f>
        <v/>
      </c>
    </row>
    <row r="4" spans="1:41" ht="7.35" customHeight="1" x14ac:dyDescent="0.1">
      <c r="A4" s="255" t="str">
        <f>IF(Program!A4=0, "",Program!A4)</f>
        <v/>
      </c>
      <c r="B4" s="433" t="str">
        <f>IF(Program!B4=0, "",Program!B4)</f>
        <v>節氣</v>
      </c>
      <c r="C4" s="433" t="e">
        <f>IF(#REF!=0, "",#REF!)</f>
        <v>#REF!</v>
      </c>
      <c r="D4" s="433" t="str">
        <f ca="1">IF(Program!D4=0, "",Program!D4)</f>
        <v>處暑</v>
      </c>
      <c r="E4" s="433" t="e">
        <f>IF(#REF!=0, "",#REF!)</f>
        <v>#REF!</v>
      </c>
      <c r="F4" s="434">
        <f ca="1">IF(Program!F4=0, "",Program!F4)</f>
        <v>45526.955251828302</v>
      </c>
      <c r="G4" s="434" t="e">
        <f>IF(#REF!=0, "",#REF!)</f>
        <v>#REF!</v>
      </c>
      <c r="H4" s="434" t="e">
        <f>IF(#REF!=0, "",#REF!)</f>
        <v>#REF!</v>
      </c>
      <c r="I4" s="434" t="e">
        <f>IF(#REF!=0, "",#REF!)</f>
        <v>#REF!</v>
      </c>
      <c r="J4" s="434" t="e">
        <f>IF(#REF!=0, "",#REF!)</f>
        <v>#REF!</v>
      </c>
      <c r="K4" s="434" t="e">
        <f>IF(#REF!=0, "",#REF!)</f>
        <v>#REF!</v>
      </c>
      <c r="L4" s="434" t="e">
        <f>IF(#REF!=0, "",#REF!)</f>
        <v>#REF!</v>
      </c>
      <c r="M4" s="434" t="e">
        <f>IF(#REF!=0, "",#REF!)</f>
        <v>#REF!</v>
      </c>
      <c r="N4" s="434" t="e">
        <f>IF(#REF!=0, "",#REF!)</f>
        <v>#REF!</v>
      </c>
      <c r="O4" s="264" t="str">
        <f>IF(Program!O4=0, "",Program!O4)</f>
        <v/>
      </c>
      <c r="P4" s="261" t="str">
        <f>IF(Program!P4=0, "",Program!P4)</f>
        <v/>
      </c>
      <c r="Q4" s="261" t="str">
        <f>IF(Program!Q4=0, "",Program!Q4)</f>
        <v>日</v>
      </c>
      <c r="R4" s="432" t="str">
        <f ca="1">IF(Program!R4=0, "",Program!R4)</f>
        <v>癸亥</v>
      </c>
      <c r="S4" s="432" t="e">
        <f>IF(#REF!=0, "",#REF!)</f>
        <v>#REF!</v>
      </c>
      <c r="T4" s="255" t="str">
        <f>IF(Program!T4=0, "",Program!T4)</f>
        <v/>
      </c>
      <c r="U4" s="261"/>
      <c r="Y4" s="255"/>
      <c r="Z4" s="255"/>
      <c r="AA4" s="255"/>
      <c r="AB4" s="255"/>
      <c r="AC4" s="255"/>
      <c r="AD4" s="255"/>
      <c r="AE4" s="255"/>
      <c r="AF4" s="255"/>
      <c r="AO4" s="265"/>
    </row>
    <row r="5" spans="1:41" ht="7.35" customHeight="1" x14ac:dyDescent="0.1">
      <c r="A5" s="255" t="str">
        <f>IF(Program!A5=0, "",Program!A5)</f>
        <v/>
      </c>
      <c r="B5" s="251"/>
      <c r="C5" s="251"/>
      <c r="D5" s="433" t="str">
        <f ca="1">IF(Program!D5=0, "",Program!D5)</f>
        <v>白露</v>
      </c>
      <c r="E5" s="433" t="e">
        <f>IF(#REF!=0, "",#REF!)</f>
        <v>#REF!</v>
      </c>
      <c r="F5" s="434">
        <f ca="1">IF(Program!F5=0, "",Program!F5)</f>
        <v>45542.466490612831</v>
      </c>
      <c r="G5" s="434" t="e">
        <f>IF(#REF!=0, "",#REF!)</f>
        <v>#REF!</v>
      </c>
      <c r="H5" s="434" t="e">
        <f>IF(#REF!=0, "",#REF!)</f>
        <v>#REF!</v>
      </c>
      <c r="I5" s="434" t="e">
        <f>IF(#REF!=0, "",#REF!)</f>
        <v>#REF!</v>
      </c>
      <c r="J5" s="434" t="e">
        <f>IF(#REF!=0, "",#REF!)</f>
        <v>#REF!</v>
      </c>
      <c r="K5" s="434" t="e">
        <f>IF(#REF!=0, "",#REF!)</f>
        <v>#REF!</v>
      </c>
      <c r="L5" s="434" t="e">
        <f>IF(#REF!=0, "",#REF!)</f>
        <v>#REF!</v>
      </c>
      <c r="M5" s="434" t="e">
        <f>IF(#REF!=0, "",#REF!)</f>
        <v>#REF!</v>
      </c>
      <c r="N5" s="434" t="e">
        <f>IF(#REF!=0, "",#REF!)</f>
        <v>#REF!</v>
      </c>
      <c r="O5" s="251" t="str">
        <f>IF(Program!O5=0, "",Program!O5)</f>
        <v/>
      </c>
      <c r="P5" s="251" t="str">
        <f>IF(Program!P5=0, "",Program!P5)</f>
        <v/>
      </c>
      <c r="Q5" s="262" t="str">
        <f>IF(Program!Q5=0, "",Program!Q5)</f>
        <v>時</v>
      </c>
      <c r="R5" s="432" t="str">
        <f ca="1">IF(Program!R5=0, "",Program!R5)</f>
        <v>庚申</v>
      </c>
      <c r="S5" s="432" t="e">
        <f>IF(#REF!=0, "",#REF!)</f>
        <v>#REF!</v>
      </c>
      <c r="T5" s="252" t="str">
        <f>IF(Program!T5=0, "",Program!T5)</f>
        <v/>
      </c>
      <c r="U5" s="261"/>
      <c r="Y5" s="255"/>
      <c r="Z5" s="255"/>
      <c r="AA5" s="255"/>
      <c r="AB5" s="255"/>
      <c r="AC5" s="255"/>
      <c r="AD5" s="255"/>
      <c r="AE5" s="255"/>
      <c r="AF5" s="255"/>
    </row>
    <row r="6" spans="1:41" ht="7.35" customHeight="1" x14ac:dyDescent="0.1">
      <c r="A6" s="255" t="str">
        <f>IF(Program!A6=0, "",Program!A6)</f>
        <v/>
      </c>
      <c r="B6" s="433" t="str">
        <f>IF(Program!B6=0, "",Program!B6)</f>
        <v>旬首入中宮</v>
      </c>
      <c r="C6" s="433" t="str">
        <f>IF(Program!C6=0, "",Program!C6)</f>
        <v/>
      </c>
      <c r="D6" s="433" t="str">
        <f>IF(Program!D6=0, "",Program!D6)</f>
        <v/>
      </c>
      <c r="E6" s="433" t="str">
        <f>IF(Program!E6=0, "",Program!E6)</f>
        <v/>
      </c>
      <c r="F6" s="256" t="str">
        <f ca="1">IF(Program!F6=0, "",Program!F6)</f>
        <v>否</v>
      </c>
      <c r="G6" s="266" t="str">
        <f>IF(Program!G6=0, "",Program!G6)</f>
        <v/>
      </c>
      <c r="H6" s="436" t="str">
        <f>IF(Program!H6=0, "",Program!H6)</f>
        <v>順轉:</v>
      </c>
      <c r="I6" s="436" t="str">
        <f>IF(Program!I6=0, "",Program!I6)</f>
        <v/>
      </c>
      <c r="J6" s="267">
        <f>Worksheet!J6</f>
        <v>0</v>
      </c>
      <c r="K6" s="266" t="str">
        <f>IF(Program!K6=0, "",Program!K6)</f>
        <v/>
      </c>
      <c r="L6" s="436" t="str">
        <f>IF(Program!L6=0, "",Program!L6)</f>
        <v>逆轉:</v>
      </c>
      <c r="M6" s="436" t="str">
        <f>IF(Program!M6=0, "",Program!M6)</f>
        <v/>
      </c>
      <c r="N6" s="267">
        <f>Worksheet!N6</f>
        <v>0</v>
      </c>
      <c r="O6" s="264" t="str">
        <f>IF(Program!O6=0, "",Program!O6)</f>
        <v/>
      </c>
      <c r="P6" s="261" t="str">
        <f>IF(Program!P6=0, "",Program!P6)</f>
        <v/>
      </c>
      <c r="Q6" s="251" t="str">
        <f>IF(Program!Q6=0, "",Program!Q6)</f>
        <v/>
      </c>
      <c r="R6" s="251" t="str">
        <f>IF(Program!R6=0, "",Program!R6)</f>
        <v/>
      </c>
      <c r="S6" s="251" t="str">
        <f>IF(Program!S6=0, "",Program!S6)</f>
        <v/>
      </c>
      <c r="T6" s="255" t="str">
        <f>IF(Program!T6=0, "",Program!T6)</f>
        <v/>
      </c>
      <c r="U6" s="261"/>
      <c r="Y6" s="255"/>
      <c r="Z6" s="255"/>
      <c r="AA6" s="255"/>
      <c r="AB6" s="255"/>
      <c r="AC6" s="255"/>
      <c r="AD6" s="255"/>
      <c r="AE6" s="255"/>
      <c r="AF6" s="255"/>
    </row>
    <row r="7" spans="1:41" ht="7.35" customHeight="1" x14ac:dyDescent="0.1">
      <c r="A7" s="255" t="str">
        <f>IF(Program!A7=0, "",Program!A7)</f>
        <v/>
      </c>
      <c r="B7" s="255" t="str">
        <f>IF(Program!B7=0, "",Program!B7)</f>
        <v/>
      </c>
      <c r="C7" s="255" t="str">
        <f>IF(Program!C7=0, "",Program!C7)</f>
        <v/>
      </c>
      <c r="D7" s="255" t="str">
        <f>IF(Program!D7=0, "",Program!D7)</f>
        <v/>
      </c>
      <c r="E7" s="255" t="str">
        <f>IF(Program!E7=0, "",Program!E7)</f>
        <v/>
      </c>
      <c r="F7" s="255" t="str">
        <f>IF(Program!F7=0, "",Program!F7)</f>
        <v/>
      </c>
      <c r="G7" s="255" t="str">
        <f>IF(Program!G7=0, "",Program!G7)</f>
        <v/>
      </c>
      <c r="H7" s="255" t="str">
        <f>IF(Program!H7=0, "",Program!H7)</f>
        <v/>
      </c>
      <c r="I7" s="255" t="str">
        <f>IF(Program!I7=0, "",Program!I7)</f>
        <v/>
      </c>
      <c r="J7" s="255" t="str">
        <f>IF(Program!J7=0, "",Program!J7)</f>
        <v/>
      </c>
      <c r="K7" s="255" t="str">
        <f>IF(Program!K7=0, "",Program!K7)</f>
        <v/>
      </c>
      <c r="L7" s="255" t="str">
        <f>IF(Program!L7=0, "",Program!L7)</f>
        <v/>
      </c>
      <c r="M7" s="255" t="str">
        <f>IF(Program!M7=0, "",Program!M7)</f>
        <v/>
      </c>
      <c r="N7" s="255" t="str">
        <f>IF(Program!N7=0, "",Program!N7)</f>
        <v/>
      </c>
      <c r="O7" s="255" t="str">
        <f>IF(Program!O7=0, "",Program!O7)</f>
        <v/>
      </c>
      <c r="P7" s="255" t="str">
        <f>IF(Program!P7=0, "",Program!P7)</f>
        <v/>
      </c>
      <c r="Q7" s="255" t="str">
        <f>IF(Program!Q7=0, "",Program!Q7)</f>
        <v/>
      </c>
      <c r="R7" s="255" t="str">
        <f>IF(Program!R7=0, "",Program!R7)</f>
        <v/>
      </c>
      <c r="S7" s="255" t="str">
        <f>IF(Program!S7=0, "",Program!S7)</f>
        <v/>
      </c>
      <c r="T7" s="255" t="str">
        <f>IF(Program!T7=0, "",Program!T7)</f>
        <v/>
      </c>
      <c r="U7" s="261"/>
      <c r="Y7" s="268"/>
      <c r="Z7" s="268"/>
      <c r="AA7" s="268"/>
      <c r="AB7" s="268"/>
      <c r="AC7" s="268"/>
      <c r="AD7" s="268"/>
      <c r="AE7" s="268"/>
      <c r="AF7" s="268"/>
    </row>
    <row r="8" spans="1:41" ht="7.35" customHeight="1" x14ac:dyDescent="0.1">
      <c r="A8" s="269" t="str">
        <f>IF(Program!A8=0, "",Program!A8)</f>
        <v/>
      </c>
      <c r="B8" s="270" t="str">
        <f>IF(Program!B8=0, "",Program!B8)</f>
        <v/>
      </c>
      <c r="C8" s="271" t="str">
        <f>IF(Program!C8=0, "",Program!C8)</f>
        <v/>
      </c>
      <c r="D8" s="271" t="str">
        <f>IF(Program!D8=0, "",Program!D8)</f>
        <v/>
      </c>
      <c r="E8" s="271" t="str">
        <f>IF(Program!E8=0, "",Program!E8)</f>
        <v/>
      </c>
      <c r="F8" s="271" t="str">
        <f>IF(Program!F8=0, "",Program!F8)</f>
        <v/>
      </c>
      <c r="G8" s="274">
        <f>IF(Program!G8=0, "",Program!G8)</f>
        <v>4</v>
      </c>
      <c r="H8" s="272" t="str">
        <f>IF(Program!H8=0, "",Program!H8)</f>
        <v/>
      </c>
      <c r="I8" s="273" t="str">
        <f>IF(Program!I8=0, "",Program!I8)</f>
        <v/>
      </c>
      <c r="J8" s="273" t="str">
        <f>IF(Program!J8=0, "",Program!J8)</f>
        <v/>
      </c>
      <c r="K8" s="273" t="str">
        <f>IF(Program!K8=0, "",Program!K8)</f>
        <v/>
      </c>
      <c r="L8" s="273" t="str">
        <f>IF(Program!L8=0, "",Program!L8)</f>
        <v/>
      </c>
      <c r="M8" s="295">
        <f>IF(Program!M8=0, "",Program!M8)</f>
        <v>9</v>
      </c>
      <c r="N8" s="270" t="str">
        <f>IF(Program!N8=0, "",Program!N8)</f>
        <v/>
      </c>
      <c r="O8" s="271" t="str">
        <f>IF(Program!O8=0, "",Program!O8)</f>
        <v/>
      </c>
      <c r="P8" s="271" t="str">
        <f>IF(Program!P8=0, "",Program!P8)</f>
        <v/>
      </c>
      <c r="Q8" s="271" t="str">
        <f>IF(Program!Q8=0, "",Program!Q8)</f>
        <v/>
      </c>
      <c r="R8" s="271" t="str">
        <f>IF(Program!R8=0, "",Program!R8)</f>
        <v/>
      </c>
      <c r="S8" s="274">
        <f>IF(Program!S8=0, "",Program!S8)</f>
        <v>2</v>
      </c>
      <c r="T8" s="275" t="str">
        <f ca="1">IF(Program!T8=0, "",Program!T8)</f>
        <v/>
      </c>
      <c r="U8" s="256"/>
      <c r="V8" s="312"/>
      <c r="W8" s="312"/>
      <c r="X8" s="312"/>
      <c r="Y8" s="268"/>
      <c r="Z8" s="268"/>
      <c r="AA8" s="268"/>
      <c r="AB8" s="268"/>
      <c r="AC8" s="268"/>
      <c r="AD8" s="268"/>
      <c r="AE8" s="268"/>
      <c r="AF8" s="268"/>
      <c r="AG8" s="312"/>
      <c r="AH8" s="312"/>
      <c r="AI8" s="312"/>
      <c r="AJ8" s="312"/>
      <c r="AK8" s="312"/>
      <c r="AL8" s="312"/>
      <c r="AM8" s="312"/>
      <c r="AN8" s="312"/>
    </row>
    <row r="9" spans="1:41" ht="7.35" customHeight="1" x14ac:dyDescent="0.1">
      <c r="A9" s="269" t="str">
        <f>IF(Program!A9=0, "",Program!A9)</f>
        <v/>
      </c>
      <c r="B9" s="276" t="str">
        <f>IF(Program!B9=0, "",Program!B9)</f>
        <v/>
      </c>
      <c r="C9" s="277" t="str">
        <f>IF(Program!C9=0, "",Program!C9)</f>
        <v/>
      </c>
      <c r="D9" s="278" t="str">
        <f ca="1">IF(Program!D9=0, "",Program!D9)</f>
        <v/>
      </c>
      <c r="E9" s="277" t="str">
        <f ca="1">IF(Program!E9=0, "",Program!E9)</f>
        <v>合</v>
      </c>
      <c r="F9" s="277" t="str">
        <f ca="1">IF(Program!F9=0, "",Program!F9)</f>
        <v>符</v>
      </c>
      <c r="G9" s="282" t="str">
        <f>IF(Program!G9=0, "",Program!G9)</f>
        <v/>
      </c>
      <c r="H9" s="279" t="str">
        <f>IF(Program!H9=0, "",Program!H9)</f>
        <v/>
      </c>
      <c r="I9" s="280" t="str">
        <f>IF(Program!I9=0, "",Program!I9)</f>
        <v/>
      </c>
      <c r="J9" s="281" t="str">
        <f ca="1">IF(Program!J9=0, "",Program!J9)</f>
        <v/>
      </c>
      <c r="K9" s="280" t="str">
        <f ca="1">IF(Program!K9=0, "",Program!K9)</f>
        <v>阴</v>
      </c>
      <c r="L9" s="280" t="str">
        <f ca="1">IF(Program!L9=0, "",Program!L9)</f>
        <v>天</v>
      </c>
      <c r="M9" s="299" t="str">
        <f>IF(Program!M9=0, "",Program!M9)</f>
        <v/>
      </c>
      <c r="N9" s="276" t="str">
        <f>IF(Program!N9=0, "",Program!N9)</f>
        <v/>
      </c>
      <c r="O9" s="277" t="str">
        <f>IF(Program!O9=0, "",Program!O9)</f>
        <v/>
      </c>
      <c r="P9" s="278" t="str">
        <f ca="1">IF(Program!P9=0, "",Program!P9)</f>
        <v/>
      </c>
      <c r="Q9" s="277" t="str">
        <f ca="1">IF(Program!Q9=0, "",Program!Q9)</f>
        <v>蛇</v>
      </c>
      <c r="R9" s="277" t="str">
        <f ca="1">IF(Program!R9=0, "",Program!R9)</f>
        <v>九</v>
      </c>
      <c r="S9" s="282" t="str">
        <f>IF(Program!S9=0, "",Program!S9)</f>
        <v/>
      </c>
      <c r="T9" s="275" t="str">
        <f ca="1">IF(Program!T9=0, "",Program!T9)</f>
        <v/>
      </c>
      <c r="U9" s="256"/>
      <c r="V9" s="312"/>
      <c r="W9" s="312"/>
      <c r="X9" s="312"/>
      <c r="Y9" s="314"/>
      <c r="Z9" s="314"/>
      <c r="AA9" s="314"/>
      <c r="AB9" s="314"/>
      <c r="AC9" s="314"/>
      <c r="AD9" s="314"/>
      <c r="AE9" s="314"/>
      <c r="AF9" s="314"/>
      <c r="AG9" s="312"/>
      <c r="AH9" s="312"/>
      <c r="AI9" s="312"/>
      <c r="AJ9" s="312"/>
      <c r="AK9" s="312"/>
      <c r="AL9" s="312"/>
      <c r="AM9" s="312"/>
      <c r="AN9" s="312"/>
    </row>
    <row r="10" spans="1:41" ht="7.35" customHeight="1" x14ac:dyDescent="0.1">
      <c r="A10" s="269" t="str">
        <f>IF(Program!A10=0, "",Program!A10)</f>
        <v/>
      </c>
      <c r="B10" s="276" t="str">
        <f>IF(Program!B10=0, "",Program!B10)</f>
        <v/>
      </c>
      <c r="C10" s="283" t="str">
        <f>IF(Program!C10=0, "",Program!C10)</f>
        <v/>
      </c>
      <c r="D10" s="284" t="str">
        <f ca="1">IF(Program!D10=0, "",Program!D10)</f>
        <v>癸</v>
      </c>
      <c r="E10" s="277" t="str">
        <f ca="1">IF(Program!E10=0, "",Program!E10)</f>
        <v>蓬</v>
      </c>
      <c r="F10" s="277" t="str">
        <f ca="1">IF(Program!F10=0, "",Program!F10)</f>
        <v>乙</v>
      </c>
      <c r="G10" s="282" t="str">
        <f ca="1">IF(Program!G10=0, "",Program!G10)</f>
        <v/>
      </c>
      <c r="H10" s="285" t="str">
        <f>IF(Program!H10=0, "",Program!H10)</f>
        <v/>
      </c>
      <c r="I10" s="286" t="str">
        <f>IF(Program!I10=0, "",Program!I10)</f>
        <v/>
      </c>
      <c r="J10" s="287" t="str">
        <f ca="1">IF(Program!J10=0, "",Program!J10)</f>
        <v>戊</v>
      </c>
      <c r="K10" s="280" t="str">
        <f ca="1">IF(Program!K10=0, "",Program!K10)</f>
        <v>任</v>
      </c>
      <c r="L10" s="280" t="str">
        <f ca="1">IF(Program!L10=0, "",Program!L10)</f>
        <v>己</v>
      </c>
      <c r="M10" s="299" t="str">
        <f ca="1">IF(Program!M10=0, "",Program!M10)</f>
        <v/>
      </c>
      <c r="N10" s="276" t="str">
        <f>IF(Program!N10=0, "",Program!N10)</f>
        <v/>
      </c>
      <c r="O10" s="283" t="str">
        <f>IF(Program!O10=0, "",Program!O10)</f>
        <v/>
      </c>
      <c r="P10" s="284" t="str">
        <f ca="1">IF(Program!P10=0, "",Program!P10)</f>
        <v>丙</v>
      </c>
      <c r="Q10" s="277" t="str">
        <f ca="1">IF(Program!Q10=0, "",Program!Q10)</f>
        <v>冲</v>
      </c>
      <c r="R10" s="277" t="str">
        <f ca="1">IF(Program!R10=0, "",Program!R10)</f>
        <v>丁</v>
      </c>
      <c r="S10" s="282" t="str">
        <f ca="1">IF(Program!S10=0, "",Program!S10)</f>
        <v/>
      </c>
      <c r="T10" s="255" t="str">
        <f>IF(Program!T10=0, "",Program!T10)</f>
        <v/>
      </c>
      <c r="U10" s="256"/>
      <c r="V10" s="312"/>
      <c r="W10" s="312"/>
      <c r="X10" s="312"/>
      <c r="Y10" s="314"/>
      <c r="Z10" s="314"/>
      <c r="AA10" s="314"/>
      <c r="AB10" s="314"/>
      <c r="AC10" s="314"/>
      <c r="AD10" s="314"/>
      <c r="AE10" s="314"/>
      <c r="AF10" s="314"/>
      <c r="AG10" s="312"/>
      <c r="AH10" s="312"/>
      <c r="AI10" s="312"/>
      <c r="AJ10" s="312"/>
      <c r="AK10" s="312"/>
      <c r="AL10" s="312"/>
      <c r="AM10" s="312"/>
      <c r="AN10" s="312"/>
    </row>
    <row r="11" spans="1:41" ht="7.35" customHeight="1" x14ac:dyDescent="0.1">
      <c r="A11" s="269" t="str">
        <f>IF(Program!A11=0, "",Program!A11)</f>
        <v/>
      </c>
      <c r="B11" s="276" t="str">
        <f>IF(Program!B11=0, "",Program!B11)</f>
        <v/>
      </c>
      <c r="C11" s="283" t="str">
        <f>IF(Program!C11=0, "",Program!C11)</f>
        <v/>
      </c>
      <c r="D11" s="284" t="str">
        <f ca="1">IF(Program!D11=0, "",Program!D11)</f>
        <v/>
      </c>
      <c r="E11" s="277" t="str">
        <f ca="1">IF(Program!E11=0, "",Program!E11)</f>
        <v>休</v>
      </c>
      <c r="F11" s="277" t="str">
        <f ca="1">IF(Program!F11=0, "",Program!F11)</f>
        <v>癸</v>
      </c>
      <c r="G11" s="282" t="str">
        <f ca="1">IF(Program!G11=0, "",Program!G11)</f>
        <v/>
      </c>
      <c r="H11" s="279" t="str">
        <f>IF(Program!H11=0, "",Program!H11)</f>
        <v/>
      </c>
      <c r="I11" s="286" t="str">
        <f>IF(Program!I11=0, "",Program!I11)</f>
        <v/>
      </c>
      <c r="J11" s="287" t="str">
        <f ca="1">IF(Program!J11=0, "",Program!J11)</f>
        <v/>
      </c>
      <c r="K11" s="280" t="str">
        <f ca="1">IF(Program!K11=0, "",Program!K11)</f>
        <v>生</v>
      </c>
      <c r="L11" s="280" t="str">
        <f ca="1">IF(Program!L11=0, "",Program!L11)</f>
        <v>戊</v>
      </c>
      <c r="M11" s="299" t="str">
        <f ca="1">IF(Program!M11=0, "",Program!M11)</f>
        <v/>
      </c>
      <c r="N11" s="276" t="str">
        <f>IF(Program!N11=0, "",Program!N11)</f>
        <v/>
      </c>
      <c r="O11" s="283" t="str">
        <f>IF(Program!O11=0, "",Program!O11)</f>
        <v/>
      </c>
      <c r="P11" s="284" t="str">
        <f ca="1">IF(Program!P11=0, "",Program!P11)</f>
        <v>壬</v>
      </c>
      <c r="Q11" s="277" t="str">
        <f ca="1">IF(Program!Q11=0, "",Program!Q11)</f>
        <v>伤</v>
      </c>
      <c r="R11" s="277" t="str">
        <f ca="1">IF(Program!R11=0, "",Program!R11)</f>
        <v>丙</v>
      </c>
      <c r="S11" s="282" t="str">
        <f ca="1">IF(Program!S11=0, "",Program!S11)</f>
        <v>壬</v>
      </c>
      <c r="T11" s="255" t="str">
        <f>IF(Program!T11=0, "",Program!T11)</f>
        <v/>
      </c>
      <c r="U11" s="256"/>
      <c r="V11" s="312"/>
      <c r="W11" s="312"/>
      <c r="X11" s="312"/>
      <c r="Y11" s="312"/>
      <c r="Z11" s="312"/>
      <c r="AA11" s="315"/>
      <c r="AB11" s="315"/>
      <c r="AC11" s="315"/>
      <c r="AD11" s="315"/>
      <c r="AE11" s="315"/>
      <c r="AF11" s="315"/>
      <c r="AG11" s="312"/>
      <c r="AH11" s="312"/>
      <c r="AI11" s="312"/>
      <c r="AJ11" s="312"/>
      <c r="AK11" s="312"/>
      <c r="AL11" s="312"/>
      <c r="AM11" s="312"/>
      <c r="AN11" s="312"/>
    </row>
    <row r="12" spans="1:41" ht="7.35" customHeight="1" x14ac:dyDescent="0.1">
      <c r="A12" s="269" t="str">
        <f>IF(Program!A12=0, "",Program!A12)</f>
        <v/>
      </c>
      <c r="B12" s="288" t="str">
        <f>IF(Program!B12=0, "",Program!B12)</f>
        <v/>
      </c>
      <c r="C12" s="277" t="str">
        <f>IF(Program!C12=0, "",Program!C12)</f>
        <v/>
      </c>
      <c r="D12" s="278" t="str">
        <f ca="1">IF(Program!D12=0, "",Program!D12)</f>
        <v/>
      </c>
      <c r="E12" s="278" t="str">
        <f ca="1">IF(Program!E12=0, "",Program!E12)</f>
        <v/>
      </c>
      <c r="F12" s="278" t="str">
        <f ca="1">IF(Program!F12=0, "",Program!F12)</f>
        <v>刑</v>
      </c>
      <c r="G12" s="290" t="str">
        <f ca="1">IF(Program!G12=0, "",Program!G12)</f>
        <v/>
      </c>
      <c r="H12" s="289" t="str">
        <f>IF(Program!H12=0, "",Program!H12)</f>
        <v/>
      </c>
      <c r="I12" s="280" t="str">
        <f>IF(Program!I12=0, "",Program!I12)</f>
        <v/>
      </c>
      <c r="J12" s="280" t="str">
        <f>IF(Program!J12=0, "",Program!J12)</f>
        <v/>
      </c>
      <c r="K12" s="281" t="str">
        <f ca="1">IF(Program!K12=0, "",Program!K12)</f>
        <v/>
      </c>
      <c r="L12" s="281" t="str">
        <f ca="1">IF(Program!L12=0, "",Program!L12)</f>
        <v/>
      </c>
      <c r="M12" s="299" t="str">
        <f>IF(Program!M12=0, "",Program!M12)</f>
        <v/>
      </c>
      <c r="N12" s="288" t="str">
        <f>IF(Program!N12=0, "",Program!N12)</f>
        <v/>
      </c>
      <c r="O12" s="277" t="str">
        <f>IF(Program!O12=0, "",Program!O12)</f>
        <v/>
      </c>
      <c r="P12" s="278" t="str">
        <f ca="1">IF(Program!P12=0, "",Program!P12)</f>
        <v/>
      </c>
      <c r="Q12" s="278" t="str">
        <f ca="1">IF(Program!Q12=0, "",Program!Q12)</f>
        <v>迫</v>
      </c>
      <c r="R12" s="278" t="str">
        <f ca="1">IF(Program!R12=0, "",Program!R12)</f>
        <v/>
      </c>
      <c r="S12" s="290" t="str">
        <f ca="1">IF(Program!S12=0, "",Program!S12)</f>
        <v/>
      </c>
      <c r="T12" s="255" t="str">
        <f>IF(Program!T12=0, "",Program!T12)</f>
        <v/>
      </c>
      <c r="U12" s="256"/>
      <c r="V12" s="312"/>
      <c r="W12" s="312"/>
      <c r="X12" s="312"/>
      <c r="Y12" s="316"/>
      <c r="Z12" s="256"/>
      <c r="AA12" s="317"/>
      <c r="AB12" s="256"/>
      <c r="AC12" s="317"/>
      <c r="AD12" s="256"/>
      <c r="AE12" s="317"/>
      <c r="AF12" s="311"/>
      <c r="AG12" s="317"/>
      <c r="AH12" s="312"/>
      <c r="AI12" s="318"/>
      <c r="AJ12" s="313"/>
      <c r="AK12" s="313"/>
      <c r="AL12" s="313"/>
      <c r="AM12" s="313"/>
      <c r="AN12" s="312"/>
    </row>
    <row r="13" spans="1:41" ht="7.35" customHeight="1" x14ac:dyDescent="0.1">
      <c r="A13" s="269" t="str">
        <f>IF(Program!A13=0, "",Program!A13)</f>
        <v/>
      </c>
      <c r="B13" s="302" t="str">
        <f>IF(Program!B13=0, "",Program!B13)</f>
        <v/>
      </c>
      <c r="C13" s="303" t="str">
        <f>IF(Program!C13=0, "",Program!C13)</f>
        <v/>
      </c>
      <c r="D13" s="304" t="str">
        <f>IF(Program!D13=0, "",Program!D13)</f>
        <v/>
      </c>
      <c r="E13" s="304" t="str">
        <f>IF(Program!E13=0, "",Program!E13)</f>
        <v/>
      </c>
      <c r="F13" s="304" t="str">
        <f>IF(Program!F13=0, "",Program!F13)</f>
        <v/>
      </c>
      <c r="G13" s="308" t="str">
        <f>IF(Program!G13=0, "",Program!G13)</f>
        <v/>
      </c>
      <c r="H13" s="305" t="str">
        <f>IF(Program!H13=0, "",Program!H13)</f>
        <v/>
      </c>
      <c r="I13" s="306" t="str">
        <f>IF(Program!I13=0, "",Program!I13)</f>
        <v/>
      </c>
      <c r="J13" s="306" t="str">
        <f>IF(Program!J13=0, "",Program!J13)</f>
        <v/>
      </c>
      <c r="K13" s="307" t="str">
        <f>IF(Program!K13=0, "",Program!K13)</f>
        <v/>
      </c>
      <c r="L13" s="307" t="str">
        <f>IF(Program!L13=0, "",Program!L13)</f>
        <v/>
      </c>
      <c r="M13" s="373" t="str">
        <f>IF(Program!M13=0, "",Program!M13)</f>
        <v/>
      </c>
      <c r="N13" s="302" t="str">
        <f>IF(Program!N13=0, "",Program!N13)</f>
        <v/>
      </c>
      <c r="O13" s="303" t="str">
        <f>IF(Program!O13=0, "",Program!O13)</f>
        <v/>
      </c>
      <c r="P13" s="304" t="str">
        <f>IF(Program!P13=0, "",Program!P13)</f>
        <v/>
      </c>
      <c r="Q13" s="304" t="str">
        <f>IF(Program!Q13=0, "",Program!Q13)</f>
        <v/>
      </c>
      <c r="R13" s="304" t="str">
        <f>IF(Program!R13=0, "",Program!R13)</f>
        <v/>
      </c>
      <c r="S13" s="308" t="str">
        <f>IF(Program!S13=0, "",Program!S13)</f>
        <v/>
      </c>
      <c r="T13" s="263" t="str">
        <f>IF(Program!T13=0, "",Program!T13)</f>
        <v/>
      </c>
      <c r="U13" s="314"/>
      <c r="V13" s="314"/>
      <c r="W13" s="314"/>
      <c r="X13" s="313"/>
      <c r="Y13" s="313"/>
      <c r="Z13" s="314"/>
      <c r="AA13" s="312"/>
      <c r="AB13" s="312"/>
      <c r="AC13" s="312"/>
      <c r="AD13" s="312"/>
      <c r="AE13" s="312"/>
      <c r="AF13" s="312"/>
      <c r="AG13" s="312"/>
      <c r="AH13" s="312"/>
      <c r="AI13" s="314"/>
      <c r="AJ13" s="314"/>
      <c r="AK13" s="314"/>
      <c r="AL13" s="313"/>
      <c r="AM13" s="314"/>
      <c r="AN13" s="312"/>
    </row>
    <row r="14" spans="1:41" ht="7.35" customHeight="1" x14ac:dyDescent="0.1">
      <c r="A14" s="269" t="str">
        <f>IF(Program!A14=0, "",Program!A14)</f>
        <v/>
      </c>
      <c r="B14" s="272" t="str">
        <f>IF(Program!B14=0, "",Program!B14)</f>
        <v/>
      </c>
      <c r="C14" s="273" t="str">
        <f>IF(Program!C14=0, "",Program!C14)</f>
        <v/>
      </c>
      <c r="D14" s="273" t="str">
        <f>IF(Program!D14=0, "",Program!D14)</f>
        <v/>
      </c>
      <c r="E14" s="273" t="str">
        <f>IF(Program!E14=0, "",Program!E14)</f>
        <v/>
      </c>
      <c r="F14" s="273" t="str">
        <f>IF(Program!F14=0, "",Program!F14)</f>
        <v/>
      </c>
      <c r="G14" s="295">
        <f>IF(Program!G14=0, "",Program!G14)</f>
        <v>3</v>
      </c>
      <c r="H14" s="291" t="str">
        <f>IF(Program!H14=0, "",Program!H14)</f>
        <v/>
      </c>
      <c r="I14" s="292" t="str">
        <f>IF(Program!I14=0, "",Program!I14)</f>
        <v/>
      </c>
      <c r="J14" s="292" t="str">
        <f>IF(Program!J14=0, "",Program!J14)</f>
        <v/>
      </c>
      <c r="K14" s="292" t="str">
        <f>IF(Program!K14=0, "",Program!K14)</f>
        <v/>
      </c>
      <c r="L14" s="293" t="str">
        <f>IF(Program!L14=0, "",Program!L14)</f>
        <v/>
      </c>
      <c r="M14" s="374" t="str">
        <f ca="1">IF(Program!M14=0, "",Program!M14)</f>
        <v>阴九局</v>
      </c>
      <c r="N14" s="272" t="str">
        <f>IF(Program!N14=0, "",Program!N14)</f>
        <v/>
      </c>
      <c r="O14" s="273" t="str">
        <f>IF(Program!O14=0, "",Program!O14)</f>
        <v/>
      </c>
      <c r="P14" s="273" t="str">
        <f>IF(Program!P14=0, "",Program!P14)</f>
        <v/>
      </c>
      <c r="Q14" s="273" t="str">
        <f>IF(Program!Q14=0, "",Program!Q14)</f>
        <v/>
      </c>
      <c r="R14" s="273" t="str">
        <f>IF(Program!R14=0, "",Program!R14)</f>
        <v/>
      </c>
      <c r="S14" s="295">
        <f>IF(Program!S14=0, "",Program!S14)</f>
        <v>7</v>
      </c>
      <c r="T14" s="263" t="str">
        <f>IF(Program!T14=0, "",Program!T14)</f>
        <v/>
      </c>
      <c r="U14" s="314"/>
      <c r="V14" s="314"/>
      <c r="W14" s="314"/>
      <c r="X14" s="319"/>
      <c r="Y14" s="314"/>
      <c r="Z14" s="314"/>
      <c r="AA14" s="312"/>
      <c r="AB14" s="313"/>
      <c r="AC14" s="313"/>
      <c r="AD14" s="313"/>
      <c r="AE14" s="313"/>
      <c r="AF14" s="313"/>
      <c r="AG14" s="312"/>
      <c r="AH14" s="312"/>
      <c r="AI14" s="314"/>
      <c r="AJ14" s="314"/>
      <c r="AK14" s="314"/>
      <c r="AL14" s="313"/>
      <c r="AM14" s="313"/>
      <c r="AN14" s="312"/>
    </row>
    <row r="15" spans="1:41" ht="7.35" customHeight="1" x14ac:dyDescent="0.1">
      <c r="A15" s="269" t="str">
        <f>IF(Program!A15=0, "",Program!A15)</f>
        <v/>
      </c>
      <c r="B15" s="279" t="str">
        <f>IF(Program!B15=0, "",Program!B15)</f>
        <v/>
      </c>
      <c r="C15" s="280" t="str">
        <f>IF(Program!C15=0, "",Program!C15)</f>
        <v/>
      </c>
      <c r="D15" s="281" t="str">
        <f ca="1">IF(Program!D15=0, "",Program!D15)</f>
        <v/>
      </c>
      <c r="E15" s="280" t="str">
        <f ca="1">IF(Program!E15=0, "",Program!E15)</f>
        <v>虎</v>
      </c>
      <c r="F15" s="280" t="str">
        <f ca="1">IF(Program!F15=0, "",Program!F15)</f>
        <v>蛇</v>
      </c>
      <c r="G15" s="299" t="str">
        <f>IF(Program!G15=0, "",Program!G15)</f>
        <v/>
      </c>
      <c r="H15" s="296" t="str">
        <f>IF(Program!H15=0, "",Program!H15)</f>
        <v>值符</v>
      </c>
      <c r="I15" s="297" t="str">
        <f>IF(Program!I15=0, "",Program!I15)</f>
        <v/>
      </c>
      <c r="J15" s="297" t="str">
        <f>IF(Program!J15=0, "",Program!J15)</f>
        <v/>
      </c>
      <c r="K15" s="297" t="str">
        <f>IF(Program!K15=0, "",Program!K15)</f>
        <v/>
      </c>
      <c r="L15" s="298" t="str">
        <f>IF(Program!L15=0, "",Program!L15)</f>
        <v/>
      </c>
      <c r="M15" s="375" t="str">
        <f ca="1">IF(Program!M15=0, "",Program!M15)</f>
        <v>甲寅癸旬</v>
      </c>
      <c r="N15" s="279" t="str">
        <f>IF(Program!N15=0, "",Program!N15)</f>
        <v/>
      </c>
      <c r="O15" s="280" t="str">
        <f>IF(Program!O15=0, "",Program!O15)</f>
        <v/>
      </c>
      <c r="P15" s="281" t="str">
        <f ca="1">IF(Program!P15=0, "",Program!P15)</f>
        <v/>
      </c>
      <c r="Q15" s="280" t="str">
        <f ca="1">IF(Program!Q15=0, "",Program!Q15)</f>
        <v>符</v>
      </c>
      <c r="R15" s="280" t="str">
        <f ca="1">IF(Program!R15=0, "",Program!R15)</f>
        <v>武</v>
      </c>
      <c r="S15" s="299" t="str">
        <f>IF(Program!S15=0, "",Program!S15)</f>
        <v/>
      </c>
      <c r="T15" s="263" t="str">
        <f>IF(Program!T15=0, "",Program!T15)</f>
        <v/>
      </c>
      <c r="U15" s="314"/>
      <c r="V15" s="314"/>
      <c r="W15" s="314"/>
      <c r="X15" s="319"/>
      <c r="Y15" s="314"/>
      <c r="Z15" s="314"/>
      <c r="AA15" s="312"/>
      <c r="AB15" s="313"/>
      <c r="AC15" s="313"/>
      <c r="AD15" s="313"/>
      <c r="AE15" s="313"/>
      <c r="AF15" s="313"/>
      <c r="AG15" s="312"/>
      <c r="AH15" s="312"/>
      <c r="AI15" s="314"/>
      <c r="AJ15" s="314"/>
      <c r="AK15" s="314"/>
      <c r="AL15" s="313"/>
      <c r="AM15" s="313"/>
      <c r="AN15" s="312"/>
    </row>
    <row r="16" spans="1:41" ht="7.35" customHeight="1" x14ac:dyDescent="0.1">
      <c r="A16" s="269" t="str">
        <f>IF(Program!A16=0, "",Program!A16)</f>
        <v/>
      </c>
      <c r="B16" s="285" t="str">
        <f>IF(Program!B16=0, "",Program!B16)</f>
        <v/>
      </c>
      <c r="C16" s="286" t="str">
        <f>IF(Program!C16=0, "",Program!C16)</f>
        <v/>
      </c>
      <c r="D16" s="287" t="str">
        <f ca="1">IF(Program!D16=0, "",Program!D16)</f>
        <v>丁</v>
      </c>
      <c r="E16" s="280" t="str">
        <f ca="1">IF(Program!E16=0, "",Program!E16)</f>
        <v>心</v>
      </c>
      <c r="F16" s="280" t="str">
        <f ca="1">IF(Program!F16=0, "",Program!F16)</f>
        <v>辛</v>
      </c>
      <c r="G16" s="299" t="str">
        <f ca="1">IF(Program!G16=0, "",Program!G16)</f>
        <v/>
      </c>
      <c r="H16" s="300" t="str">
        <f ca="1">IF(Program!H16=0, "",Program!H16)</f>
        <v>辅</v>
      </c>
      <c r="I16" s="297" t="str">
        <f>IF(Program!I16=0, "",Program!I16)</f>
        <v/>
      </c>
      <c r="J16" s="301" t="str">
        <f>IF(Program!J16=0, "",Program!J16)</f>
        <v/>
      </c>
      <c r="K16" s="298" t="str">
        <f>IF(Program!K16=0, "",Program!K16)</f>
        <v/>
      </c>
      <c r="L16" s="298" t="str">
        <f>IF(Program!L16=0, "",Program!L16)</f>
        <v/>
      </c>
      <c r="M16" s="375" t="str">
        <f ca="1">IF(Program!M16=0, "",Program!M16)</f>
        <v>庚申時</v>
      </c>
      <c r="N16" s="285" t="str">
        <f>IF(Program!N16=0, "",Program!N16)</f>
        <v/>
      </c>
      <c r="O16" s="286" t="str">
        <f>IF(Program!O16=0, "",Program!O16)</f>
        <v/>
      </c>
      <c r="P16" s="287" t="str">
        <f ca="1">IF(Program!P16=0, "",Program!P16)</f>
        <v>庚</v>
      </c>
      <c r="Q16" s="280" t="str">
        <f ca="1">IF(Program!Q16=0, "",Program!Q16)</f>
        <v>辅</v>
      </c>
      <c r="R16" s="280" t="str">
        <f ca="1">IF(Program!R16=0, "",Program!R16)</f>
        <v>癸</v>
      </c>
      <c r="S16" s="299" t="str">
        <f ca="1">IF(Program!S16=0, "",Program!S16)</f>
        <v/>
      </c>
      <c r="T16" s="255" t="str">
        <f>IF(Program!T16=0, "",Program!T16)</f>
        <v/>
      </c>
      <c r="U16" s="314"/>
      <c r="V16" s="314"/>
      <c r="W16" s="314"/>
      <c r="X16" s="319"/>
      <c r="Y16" s="314"/>
      <c r="Z16" s="314"/>
      <c r="AA16" s="312"/>
      <c r="AB16" s="313"/>
      <c r="AC16" s="313"/>
      <c r="AD16" s="313"/>
      <c r="AE16" s="313"/>
      <c r="AF16" s="313"/>
      <c r="AG16" s="312"/>
      <c r="AH16" s="312"/>
      <c r="AI16" s="314"/>
      <c r="AJ16" s="314"/>
      <c r="AK16" s="314"/>
      <c r="AL16" s="313"/>
      <c r="AM16" s="313"/>
      <c r="AN16" s="312"/>
    </row>
    <row r="17" spans="1:40" ht="7.35" customHeight="1" x14ac:dyDescent="0.1">
      <c r="A17" s="269" t="str">
        <f>IF(Program!A17=0, "",Program!A17)</f>
        <v/>
      </c>
      <c r="B17" s="279" t="str">
        <f>IF(Program!B17=0, "",Program!B17)</f>
        <v/>
      </c>
      <c r="C17" s="286" t="str">
        <f>IF(Program!C17=0, "",Program!C17)</f>
        <v/>
      </c>
      <c r="D17" s="287" t="str">
        <f ca="1">IF(Program!D17=0, "",Program!D17)</f>
        <v/>
      </c>
      <c r="E17" s="280" t="str">
        <f ca="1">IF(Program!E17=0, "",Program!E17)</f>
        <v>开</v>
      </c>
      <c r="F17" s="280" t="str">
        <f ca="1">IF(Program!F17=0, "",Program!F17)</f>
        <v>丁</v>
      </c>
      <c r="G17" s="299" t="str">
        <f ca="1">IF(Program!G17=0, "",Program!G17)</f>
        <v/>
      </c>
      <c r="H17" s="296" t="str">
        <f>IF(Program!H17=0, "",Program!H17)</f>
        <v>值使</v>
      </c>
      <c r="I17" s="297" t="str">
        <f>IF(Program!I17=0, "",Program!I17)</f>
        <v/>
      </c>
      <c r="J17" s="297" t="str">
        <f>IF(Program!J17=0, "",Program!J17)</f>
        <v/>
      </c>
      <c r="K17" s="301" t="str">
        <f>IF(Program!K17=0, "",Program!K17)</f>
        <v/>
      </c>
      <c r="L17" s="301" t="str">
        <f>IF(Program!L17=0, "",Program!L17)</f>
        <v/>
      </c>
      <c r="M17" s="376" t="str">
        <f>IF(Program!M17=0, "",Program!M17)</f>
        <v/>
      </c>
      <c r="N17" s="279" t="str">
        <f>IF(Program!N17=0, "",Program!N17)</f>
        <v/>
      </c>
      <c r="O17" s="286" t="str">
        <f>IF(Program!O17=0, "",Program!O17)</f>
        <v/>
      </c>
      <c r="P17" s="287" t="str">
        <f ca="1">IF(Program!P17=0, "",Program!P17)</f>
        <v/>
      </c>
      <c r="Q17" s="280" t="str">
        <f ca="1">IF(Program!Q17=0, "",Program!Q17)</f>
        <v>杜</v>
      </c>
      <c r="R17" s="280" t="str">
        <f ca="1">IF(Program!R17=0, "",Program!R17)</f>
        <v>庚</v>
      </c>
      <c r="S17" s="299" t="str">
        <f ca="1">IF(Program!S17=0, "",Program!S17)</f>
        <v/>
      </c>
      <c r="T17" s="255" t="str">
        <f>IF(Program!T17=0, "",Program!T17)</f>
        <v/>
      </c>
      <c r="U17" s="314"/>
      <c r="V17" s="314"/>
      <c r="W17" s="314"/>
      <c r="X17" s="319"/>
      <c r="Y17" s="314"/>
      <c r="Z17" s="314"/>
      <c r="AA17" s="315"/>
      <c r="AB17" s="312"/>
      <c r="AC17" s="312"/>
      <c r="AD17" s="312"/>
      <c r="AE17" s="312"/>
      <c r="AF17" s="312"/>
      <c r="AG17" s="312"/>
      <c r="AH17" s="312"/>
      <c r="AI17" s="314"/>
      <c r="AJ17" s="314"/>
      <c r="AK17" s="314"/>
      <c r="AL17" s="313"/>
      <c r="AM17" s="313"/>
      <c r="AN17" s="312"/>
    </row>
    <row r="18" spans="1:40" ht="7.35" customHeight="1" x14ac:dyDescent="0.1">
      <c r="A18" s="269" t="str">
        <f>IF(Program!A18=0, "",Program!A18)</f>
        <v/>
      </c>
      <c r="B18" s="289" t="str">
        <f>IF(Program!B18=0, "",Program!B18)</f>
        <v/>
      </c>
      <c r="C18" s="280" t="str">
        <f>IF(Program!C18=0, "",Program!C18)</f>
        <v/>
      </c>
      <c r="D18" s="280" t="str">
        <f>IF(Program!D18=0, "",Program!D18)</f>
        <v/>
      </c>
      <c r="E18" s="281" t="str">
        <f ca="1">IF(Program!E18=0, "",Program!E18)</f>
        <v>迫</v>
      </c>
      <c r="F18" s="281" t="str">
        <f ca="1">IF(Program!F18=0, "",Program!F18)</f>
        <v/>
      </c>
      <c r="G18" s="299" t="str">
        <f>IF(Program!G18=0, "",Program!G18)</f>
        <v/>
      </c>
      <c r="H18" s="296" t="str">
        <f ca="1">IF(Program!H18=0, "",Program!H18)</f>
        <v>杜</v>
      </c>
      <c r="I18" s="297" t="str">
        <f>IF(Program!I18=0, "",Program!I18)</f>
        <v/>
      </c>
      <c r="J18" s="297" t="str">
        <f>IF(Program!J18=0, "",Program!J18)</f>
        <v/>
      </c>
      <c r="K18" s="301" t="str">
        <f>IF(Program!K18=0, "",Program!K18)</f>
        <v/>
      </c>
      <c r="L18" s="301" t="str">
        <f>IF(Program!L18=0, "",Program!L18)</f>
        <v/>
      </c>
      <c r="M18" s="376" t="str">
        <f>IF(Program!M18=0, "",Program!M18)</f>
        <v/>
      </c>
      <c r="N18" s="289" t="str">
        <f>IF(Program!N18=0, "",Program!N18)</f>
        <v/>
      </c>
      <c r="O18" s="280" t="str">
        <f>IF(Program!O18=0, "",Program!O18)</f>
        <v/>
      </c>
      <c r="P18" s="280" t="str">
        <f>IF(Program!P18=0, "",Program!P18)</f>
        <v/>
      </c>
      <c r="Q18" s="281" t="str">
        <f ca="1">IF(Program!Q18=0, "",Program!Q18)</f>
        <v/>
      </c>
      <c r="R18" s="281" t="str">
        <f ca="1">IF(Program!R18=0, "",Program!R18)</f>
        <v/>
      </c>
      <c r="S18" s="299" t="str">
        <f>IF(Program!S18=0, "",Program!S18)</f>
        <v/>
      </c>
      <c r="T18" s="255" t="str">
        <f>IF(Program!T18=0, "",Program!T18)</f>
        <v/>
      </c>
      <c r="U18" s="314"/>
      <c r="V18" s="314"/>
      <c r="W18" s="314"/>
      <c r="X18" s="319"/>
      <c r="Y18" s="314"/>
      <c r="Z18" s="314"/>
      <c r="AA18" s="320"/>
      <c r="AB18" s="312"/>
      <c r="AC18" s="312"/>
      <c r="AD18" s="312"/>
      <c r="AE18" s="312"/>
      <c r="AF18" s="312"/>
      <c r="AG18" s="312"/>
      <c r="AH18" s="312"/>
      <c r="AI18" s="314"/>
      <c r="AJ18" s="314"/>
      <c r="AK18" s="314"/>
      <c r="AL18" s="313"/>
      <c r="AM18" s="313"/>
      <c r="AN18" s="312"/>
    </row>
    <row r="19" spans="1:40" ht="7.35" customHeight="1" x14ac:dyDescent="0.1">
      <c r="A19" s="269" t="str">
        <f>IF(Program!A19=0, "",Program!A19)</f>
        <v/>
      </c>
      <c r="B19" s="305" t="str">
        <f>IF(Program!B19=0, "",Program!B19)</f>
        <v/>
      </c>
      <c r="C19" s="306" t="str">
        <f>IF(Program!C19=0, "",Program!C19)</f>
        <v/>
      </c>
      <c r="D19" s="306" t="str">
        <f>IF(Program!D19=0, "",Program!D19)</f>
        <v/>
      </c>
      <c r="E19" s="307" t="str">
        <f>IF(Program!E19=0, "",Program!E19)</f>
        <v/>
      </c>
      <c r="F19" s="307" t="str">
        <f>IF(Program!F19=0, "",Program!F19)</f>
        <v/>
      </c>
      <c r="G19" s="373" t="str">
        <f>IF(Program!G19=0, "",Program!G19)</f>
        <v/>
      </c>
      <c r="H19" s="377" t="str">
        <f>IF(Program!H19=0, "",Program!H19)</f>
        <v/>
      </c>
      <c r="I19" s="378" t="str">
        <f>IF(Program!I19=0, "",Program!I19)</f>
        <v/>
      </c>
      <c r="J19" s="378" t="str">
        <f>IF(Program!J19=0, "",Program!J19)</f>
        <v/>
      </c>
      <c r="K19" s="379" t="str">
        <f>IF(Program!K19=0, "",Program!K19)</f>
        <v/>
      </c>
      <c r="L19" s="379" t="str">
        <f>IF(Program!L19=0, "",Program!L19)</f>
        <v/>
      </c>
      <c r="M19" s="376" t="str">
        <f ca="1">IF(Program!M19=0, "",Program!M19)</f>
        <v>壬</v>
      </c>
      <c r="N19" s="305" t="str">
        <f>IF(Program!N19=0, "",Program!N19)</f>
        <v/>
      </c>
      <c r="O19" s="306" t="str">
        <f>IF(Program!O19=0, "",Program!O19)</f>
        <v/>
      </c>
      <c r="P19" s="306" t="str">
        <f>IF(Program!P19=0, "",Program!P19)</f>
        <v/>
      </c>
      <c r="Q19" s="307" t="str">
        <f>IF(Program!Q19=0, "",Program!Q19)</f>
        <v/>
      </c>
      <c r="R19" s="307" t="str">
        <f>IF(Program!R19=0, "",Program!R19)</f>
        <v/>
      </c>
      <c r="S19" s="373" t="str">
        <f>IF(Program!S19=0, "",Program!S19)</f>
        <v/>
      </c>
      <c r="T19" s="255" t="str">
        <f>IF(Program!T19=0, "",Program!T19)</f>
        <v/>
      </c>
      <c r="U19" s="314"/>
      <c r="V19" s="314"/>
      <c r="W19" s="314"/>
      <c r="X19" s="319"/>
      <c r="Y19" s="314"/>
      <c r="Z19" s="314"/>
      <c r="AA19" s="312"/>
      <c r="AB19" s="315"/>
      <c r="AC19" s="315"/>
      <c r="AD19" s="315"/>
      <c r="AE19" s="315"/>
      <c r="AF19" s="315"/>
      <c r="AG19" s="315"/>
      <c r="AH19" s="315"/>
      <c r="AI19" s="314"/>
      <c r="AJ19" s="314"/>
      <c r="AK19" s="314"/>
      <c r="AL19" s="313"/>
      <c r="AM19" s="313"/>
      <c r="AN19" s="312"/>
    </row>
    <row r="20" spans="1:40" ht="7.35" customHeight="1" x14ac:dyDescent="0.1">
      <c r="A20" s="269" t="str">
        <f>IF(Program!A20=0, "",Program!A20)</f>
        <v/>
      </c>
      <c r="B20" s="270" t="str">
        <f>IF(Program!B20=0, "",Program!B20)</f>
        <v/>
      </c>
      <c r="C20" s="271" t="str">
        <f>IF(Program!C20=0, "",Program!C20)</f>
        <v/>
      </c>
      <c r="D20" s="271" t="str">
        <f>IF(Program!D20=0, "",Program!D20)</f>
        <v/>
      </c>
      <c r="E20" s="271" t="str">
        <f>IF(Program!E20=0, "",Program!E20)</f>
        <v/>
      </c>
      <c r="F20" s="271" t="str">
        <f>IF(Program!F20=0, "",Program!F20)</f>
        <v/>
      </c>
      <c r="G20" s="274">
        <f>IF(Program!G20=0, "",Program!G20)</f>
        <v>8</v>
      </c>
      <c r="H20" s="272" t="str">
        <f>IF(Program!H20=0, "",Program!H20)</f>
        <v/>
      </c>
      <c r="I20" s="273" t="str">
        <f>IF(Program!I20=0, "",Program!I20)</f>
        <v/>
      </c>
      <c r="J20" s="273" t="str">
        <f>IF(Program!J20=0, "",Program!J20)</f>
        <v/>
      </c>
      <c r="K20" s="273" t="str">
        <f>IF(Program!K20=0, "",Program!K20)</f>
        <v/>
      </c>
      <c r="L20" s="273" t="str">
        <f>IF(Program!L20=0, "",Program!L20)</f>
        <v/>
      </c>
      <c r="M20" s="295">
        <f>IF(Program!M20=0, "",Program!M20)</f>
        <v>1</v>
      </c>
      <c r="N20" s="270" t="str">
        <f>IF(Program!N20=0, "",Program!N20)</f>
        <v/>
      </c>
      <c r="O20" s="271" t="str">
        <f>IF(Program!O20=0, "",Program!O20)</f>
        <v/>
      </c>
      <c r="P20" s="271" t="str">
        <f>IF(Program!P20=0, "",Program!P20)</f>
        <v/>
      </c>
      <c r="Q20" s="271" t="str">
        <f>IF(Program!Q20=0, "",Program!Q20)</f>
        <v/>
      </c>
      <c r="R20" s="271" t="str">
        <f>IF(Program!R20=0, "",Program!R20)</f>
        <v/>
      </c>
      <c r="S20" s="274">
        <f>IF(Program!S20=0, "",Program!S20)</f>
        <v>6</v>
      </c>
      <c r="T20" s="255" t="str">
        <f>IF(Program!T20=0, "",Program!T20)</f>
        <v/>
      </c>
      <c r="U20" s="314"/>
      <c r="V20" s="314"/>
      <c r="W20" s="314"/>
      <c r="X20" s="319"/>
      <c r="Y20" s="314"/>
      <c r="Z20" s="314"/>
      <c r="AA20" s="312"/>
      <c r="AB20" s="315"/>
      <c r="AC20" s="315"/>
      <c r="AD20" s="315"/>
      <c r="AE20" s="315"/>
      <c r="AF20" s="315"/>
      <c r="AG20" s="312"/>
      <c r="AH20" s="312"/>
      <c r="AI20" s="314"/>
      <c r="AJ20" s="314"/>
      <c r="AK20" s="314"/>
      <c r="AL20" s="313"/>
      <c r="AM20" s="313"/>
      <c r="AN20" s="312"/>
    </row>
    <row r="21" spans="1:40" ht="7.35" customHeight="1" x14ac:dyDescent="0.1">
      <c r="A21" s="269" t="str">
        <f>IF(Program!A21=0, "",Program!A21)</f>
        <v/>
      </c>
      <c r="B21" s="276" t="str">
        <f>IF(Program!B21=0, "",Program!B21)</f>
        <v/>
      </c>
      <c r="C21" s="277" t="str">
        <f>IF(Program!C21=0, "",Program!C21)</f>
        <v/>
      </c>
      <c r="D21" s="278" t="str">
        <f ca="1">IF(Program!D21=0, "",Program!D21)</f>
        <v>空</v>
      </c>
      <c r="E21" s="277" t="str">
        <f ca="1">IF(Program!E21=0, "",Program!E21)</f>
        <v>武</v>
      </c>
      <c r="F21" s="277" t="str">
        <f ca="1">IF(Program!F21=0, "",Program!F21)</f>
        <v>阴</v>
      </c>
      <c r="G21" s="282" t="str">
        <f>IF(Program!G21=0, "",Program!G21)</f>
        <v/>
      </c>
      <c r="H21" s="279" t="str">
        <f>IF(Program!H21=0, "",Program!H21)</f>
        <v/>
      </c>
      <c r="I21" s="280" t="str">
        <f>IF(Program!I21=0, "",Program!I21)</f>
        <v/>
      </c>
      <c r="J21" s="281" t="str">
        <f ca="1">IF(Program!J21=0, "",Program!J21)</f>
        <v>空</v>
      </c>
      <c r="K21" s="280" t="str">
        <f ca="1">IF(Program!K21=0, "",Program!K21)</f>
        <v>九</v>
      </c>
      <c r="L21" s="280" t="str">
        <f ca="1">IF(Program!L21=0, "",Program!L21)</f>
        <v>合</v>
      </c>
      <c r="M21" s="299" t="str">
        <f>IF(Program!M21=0, "",Program!M21)</f>
        <v/>
      </c>
      <c r="N21" s="276" t="str">
        <f>IF(Program!N21=0, "",Program!N21)</f>
        <v/>
      </c>
      <c r="O21" s="277" t="str">
        <f>IF(Program!O21=0, "",Program!O21)</f>
        <v/>
      </c>
      <c r="P21" s="278" t="str">
        <f ca="1">IF(Program!P21=0, "",Program!P21)</f>
        <v/>
      </c>
      <c r="Q21" s="277" t="str">
        <f ca="1">IF(Program!Q21=0, "",Program!Q21)</f>
        <v>天</v>
      </c>
      <c r="R21" s="277" t="str">
        <f ca="1">IF(Program!R21=0, "",Program!R21)</f>
        <v>虎</v>
      </c>
      <c r="S21" s="282" t="str">
        <f>IF(Program!S21=0, "",Program!S21)</f>
        <v/>
      </c>
      <c r="T21" s="263" t="str">
        <f>IF(Program!T21=0, "",Program!T21)</f>
        <v/>
      </c>
      <c r="U21" s="314"/>
      <c r="V21" s="314"/>
      <c r="W21" s="314"/>
      <c r="X21" s="319"/>
      <c r="Y21" s="314"/>
      <c r="Z21" s="314"/>
      <c r="AA21" s="312"/>
      <c r="AB21" s="314"/>
      <c r="AC21" s="314"/>
      <c r="AD21" s="314"/>
      <c r="AE21" s="314"/>
      <c r="AF21" s="314"/>
      <c r="AG21" s="314"/>
      <c r="AH21" s="314"/>
      <c r="AI21" s="314"/>
      <c r="AJ21" s="312"/>
      <c r="AK21" s="314"/>
      <c r="AL21" s="313"/>
      <c r="AM21" s="313"/>
      <c r="AN21" s="312"/>
    </row>
    <row r="22" spans="1:40" ht="7.35" customHeight="1" x14ac:dyDescent="0.1">
      <c r="A22" s="269"/>
      <c r="B22" s="276" t="str">
        <f>IF(Program!B22=0, "",Program!B22)</f>
        <v/>
      </c>
      <c r="C22" s="283" t="str">
        <f>IF(Program!C22=0, "",Program!C22)</f>
        <v/>
      </c>
      <c r="D22" s="284" t="str">
        <f ca="1">IF(Program!D22=0, "",Program!D22)</f>
        <v>己</v>
      </c>
      <c r="E22" s="277" t="str">
        <f ca="1">IF(Program!E22=0, "",Program!E22)</f>
        <v>柱</v>
      </c>
      <c r="F22" s="277" t="str">
        <f ca="1">IF(Program!F22=0, "",Program!F22)</f>
        <v>庚</v>
      </c>
      <c r="G22" s="282" t="str">
        <f ca="1">IF(Program!G22=0, "",Program!G22)</f>
        <v/>
      </c>
      <c r="H22" s="285" t="str">
        <f>IF(Program!H22=0, "",Program!H22)</f>
        <v/>
      </c>
      <c r="I22" s="286" t="str">
        <f>IF(Program!I22=0, "",Program!I22)</f>
        <v/>
      </c>
      <c r="J22" s="287" t="str">
        <f ca="1">IF(Program!J22=0, "",Program!J22)</f>
        <v>乙</v>
      </c>
      <c r="K22" s="280" t="str">
        <f ca="1">IF(Program!K22=0, "",Program!K22)</f>
        <v>芮</v>
      </c>
      <c r="L22" s="280" t="str">
        <f ca="1">IF(Program!L22=0, "",Program!L22)</f>
        <v>丙</v>
      </c>
      <c r="M22" s="299" t="str">
        <f ca="1">IF(Program!M22=0, "",Program!M22)</f>
        <v>壬</v>
      </c>
      <c r="N22" s="276" t="str">
        <f>IF(Program!N22=0, "",Program!N22)</f>
        <v/>
      </c>
      <c r="O22" s="283" t="str">
        <f>IF(Program!O22=0, "",Program!O22)</f>
        <v/>
      </c>
      <c r="P22" s="284" t="str">
        <f ca="1">IF(Program!P22=0, "",Program!P22)</f>
        <v>辛</v>
      </c>
      <c r="Q22" s="277" t="str">
        <f ca="1">IF(Program!Q22=0, "",Program!Q22)</f>
        <v>英</v>
      </c>
      <c r="R22" s="277" t="str">
        <f ca="1">IF(Program!R22=0, "",Program!R22)</f>
        <v>戊</v>
      </c>
      <c r="S22" s="282" t="str">
        <f ca="1">IF(Program!S22=0, "",Program!S22)</f>
        <v/>
      </c>
      <c r="T22" s="263" t="str">
        <f>IF(Program!T22=0, "",Program!T22)</f>
        <v/>
      </c>
      <c r="U22" s="314"/>
      <c r="V22" s="314"/>
      <c r="W22" s="314"/>
      <c r="X22" s="319"/>
      <c r="Y22" s="314"/>
      <c r="Z22" s="314"/>
      <c r="AA22" s="315"/>
      <c r="AB22" s="313"/>
      <c r="AC22" s="313"/>
      <c r="AD22" s="313"/>
      <c r="AE22" s="313"/>
      <c r="AF22" s="313"/>
      <c r="AG22" s="313"/>
      <c r="AH22" s="313"/>
      <c r="AI22" s="313"/>
      <c r="AJ22" s="312"/>
      <c r="AK22" s="313"/>
      <c r="AL22" s="313"/>
      <c r="AM22" s="313"/>
      <c r="AN22" s="312"/>
    </row>
    <row r="23" spans="1:40" ht="6.75" customHeight="1" x14ac:dyDescent="0.1">
      <c r="A23" s="269"/>
      <c r="B23" s="276" t="str">
        <f>IF(Program!B23=0, "",Program!B23)</f>
        <v/>
      </c>
      <c r="C23" s="283" t="str">
        <f>IF(Program!C23=0, "",Program!C23)</f>
        <v/>
      </c>
      <c r="D23" s="284" t="str">
        <f ca="1">IF(Program!D23=0, "",Program!D23)</f>
        <v/>
      </c>
      <c r="E23" s="277" t="str">
        <f ca="1">IF(Program!E23=0, "",Program!E23)</f>
        <v>惊</v>
      </c>
      <c r="F23" s="277" t="str">
        <f ca="1">IF(Program!F23=0, "",Program!F23)</f>
        <v>己</v>
      </c>
      <c r="G23" s="282" t="str">
        <f ca="1">IF(Program!G23=0, "",Program!G23)</f>
        <v/>
      </c>
      <c r="H23" s="279" t="str">
        <f>IF(Program!H23=0, "",Program!H23)</f>
        <v/>
      </c>
      <c r="I23" s="286" t="str">
        <f>IF(Program!I23=0, "",Program!I23)</f>
        <v/>
      </c>
      <c r="J23" s="287" t="str">
        <f ca="1">IF(Program!J23=0, "",Program!J23)</f>
        <v/>
      </c>
      <c r="K23" s="280" t="str">
        <f ca="1">IF(Program!K23=0, "",Program!K23)</f>
        <v>死</v>
      </c>
      <c r="L23" s="280" t="str">
        <f ca="1">IF(Program!L23=0, "",Program!L23)</f>
        <v>乙</v>
      </c>
      <c r="M23" s="299" t="str">
        <f ca="1">IF(Program!M23=0, "",Program!M23)</f>
        <v/>
      </c>
      <c r="N23" s="276" t="str">
        <f>IF(Program!N23=0, "",Program!N23)</f>
        <v/>
      </c>
      <c r="O23" s="283" t="str">
        <f>IF(Program!O23=0, "",Program!O23)</f>
        <v/>
      </c>
      <c r="P23" s="284" t="str">
        <f ca="1">IF(Program!P23=0, "",Program!P23)</f>
        <v/>
      </c>
      <c r="Q23" s="277" t="str">
        <f ca="1">IF(Program!Q23=0, "",Program!Q23)</f>
        <v>景</v>
      </c>
      <c r="R23" s="277" t="str">
        <f ca="1">IF(Program!R23=0, "",Program!R23)</f>
        <v>辛</v>
      </c>
      <c r="S23" s="282" t="str">
        <f ca="1">IF(Program!S23=0, "",Program!S23)</f>
        <v/>
      </c>
      <c r="T23" s="263"/>
      <c r="U23" s="314"/>
      <c r="V23" s="314"/>
      <c r="W23" s="314"/>
      <c r="X23" s="319"/>
      <c r="Y23" s="314"/>
      <c r="Z23" s="314"/>
      <c r="AA23" s="315"/>
      <c r="AB23" s="315"/>
      <c r="AC23" s="315"/>
      <c r="AD23" s="315"/>
      <c r="AE23" s="315"/>
      <c r="AF23" s="315"/>
      <c r="AG23" s="312"/>
      <c r="AH23" s="312"/>
      <c r="AI23" s="312"/>
      <c r="AJ23" s="312"/>
      <c r="AK23" s="312"/>
      <c r="AL23" s="312"/>
      <c r="AM23" s="312"/>
      <c r="AN23" s="312"/>
    </row>
    <row r="24" spans="1:40" x14ac:dyDescent="0.1">
      <c r="A24" s="269"/>
      <c r="B24" s="288" t="str">
        <f>IF(Program!B24=0, "",Program!B24)</f>
        <v/>
      </c>
      <c r="C24" s="277" t="str">
        <f>IF(Program!C24=0, "",Program!C24)</f>
        <v/>
      </c>
      <c r="D24" s="278" t="str">
        <f ca="1">IF(Program!D24=0, "",Program!D24)</f>
        <v>馬</v>
      </c>
      <c r="E24" s="278" t="str">
        <f ca="1">IF(Program!E24=0, "",Program!E24)</f>
        <v/>
      </c>
      <c r="F24" s="278" t="str">
        <f ca="1">IF(Program!F24=0, "",Program!F24)</f>
        <v>刑</v>
      </c>
      <c r="G24" s="290" t="str">
        <f ca="1">IF(Program!G24=0, "",Program!G24)</f>
        <v>墓</v>
      </c>
      <c r="H24" s="289" t="str">
        <f>IF(Program!H24=0, "",Program!H24)</f>
        <v/>
      </c>
      <c r="I24" s="280" t="str">
        <f>IF(Program!I24=0, "",Program!I24)</f>
        <v/>
      </c>
      <c r="J24" s="280" t="str">
        <f>IF(Program!J24=0, "",Program!J24)</f>
        <v/>
      </c>
      <c r="K24" s="281" t="str">
        <f ca="1">IF(Program!K24=0, "",Program!K24)</f>
        <v>迫</v>
      </c>
      <c r="L24" s="281" t="str">
        <f ca="1">IF(Program!L24=0, "",Program!L24)</f>
        <v/>
      </c>
      <c r="M24" s="299" t="str">
        <f>IF(Program!M24=0, "",Program!M24)</f>
        <v/>
      </c>
      <c r="N24" s="288" t="str">
        <f>IF(Program!N24=0, "",Program!N24)</f>
        <v/>
      </c>
      <c r="O24" s="277" t="str">
        <f>IF(Program!O24=0, "",Program!O24)</f>
        <v/>
      </c>
      <c r="P24" s="278" t="str">
        <f ca="1">IF(Program!P24=0, "",Program!P24)</f>
        <v/>
      </c>
      <c r="Q24" s="278" t="str">
        <f ca="1">IF(Program!Q24=0, "",Program!Q24)</f>
        <v>迫</v>
      </c>
      <c r="R24" s="278" t="str">
        <f ca="1">IF(Program!R24=0, "",Program!R24)</f>
        <v/>
      </c>
      <c r="S24" s="290" t="str">
        <f ca="1">IF(Program!S24=0, "",Program!S24)</f>
        <v>墓</v>
      </c>
      <c r="T24" s="263"/>
      <c r="U24" s="314"/>
      <c r="V24" s="314"/>
      <c r="W24" s="314"/>
      <c r="X24" s="319"/>
      <c r="Y24" s="314"/>
      <c r="Z24" s="314"/>
      <c r="AA24" s="315"/>
      <c r="AB24" s="315"/>
      <c r="AC24" s="315"/>
      <c r="AD24" s="315"/>
      <c r="AE24" s="315"/>
      <c r="AF24" s="315"/>
      <c r="AG24" s="312"/>
      <c r="AH24" s="312"/>
      <c r="AI24" s="313"/>
      <c r="AJ24" s="314"/>
      <c r="AK24" s="312"/>
      <c r="AL24" s="312"/>
      <c r="AM24" s="312"/>
      <c r="AN24" s="312"/>
    </row>
    <row r="25" spans="1:40" x14ac:dyDescent="0.1">
      <c r="A25" s="269"/>
      <c r="B25" s="302" t="str">
        <f>IF(Program!B25=0, "",Program!B25)</f>
        <v/>
      </c>
      <c r="C25" s="303" t="str">
        <f>IF(Program!C25=0, "",Program!C25)</f>
        <v/>
      </c>
      <c r="D25" s="304" t="str">
        <f>IF(Program!D25=0, "",Program!D25)</f>
        <v/>
      </c>
      <c r="E25" s="304" t="str">
        <f>IF(Program!E25=0, "",Program!E25)</f>
        <v/>
      </c>
      <c r="F25" s="304" t="str">
        <f>IF(Program!F25=0, "",Program!F25)</f>
        <v/>
      </c>
      <c r="G25" s="308" t="str">
        <f>IF(Program!G25=0, "",Program!G25)</f>
        <v/>
      </c>
      <c r="H25" s="305" t="str">
        <f>IF(Program!H25=0, "",Program!H25)</f>
        <v/>
      </c>
      <c r="I25" s="306" t="str">
        <f>IF(Program!I25=0, "",Program!I25)</f>
        <v/>
      </c>
      <c r="J25" s="306" t="str">
        <f>IF(Program!J25=0, "",Program!J25)</f>
        <v/>
      </c>
      <c r="K25" s="307" t="str">
        <f>IF(Program!K25=0, "",Program!K25)</f>
        <v/>
      </c>
      <c r="L25" s="307" t="str">
        <f>IF(Program!L25=0, "",Program!L25)</f>
        <v/>
      </c>
      <c r="M25" s="373" t="str">
        <f>IF(Program!M25=0, "",Program!M25)</f>
        <v/>
      </c>
      <c r="N25" s="302" t="str">
        <f>IF(Program!N25=0, "",Program!N25)</f>
        <v/>
      </c>
      <c r="O25" s="303" t="str">
        <f>IF(Program!O25=0, "",Program!O25)</f>
        <v/>
      </c>
      <c r="P25" s="304" t="str">
        <f>IF(Program!P25=0, "",Program!P25)</f>
        <v/>
      </c>
      <c r="Q25" s="304" t="str">
        <f>IF(Program!Q25=0, "",Program!Q25)</f>
        <v/>
      </c>
      <c r="R25" s="304" t="str">
        <f>IF(Program!R25=0, "",Program!R25)</f>
        <v/>
      </c>
      <c r="S25" s="308" t="str">
        <f>IF(Program!S25=0, "",Program!S25)</f>
        <v/>
      </c>
      <c r="T25" s="263"/>
      <c r="U25" s="314"/>
      <c r="V25" s="314"/>
      <c r="W25" s="314"/>
      <c r="X25" s="319"/>
      <c r="Y25" s="314"/>
      <c r="Z25" s="314"/>
      <c r="AA25" s="315"/>
      <c r="AB25" s="315"/>
      <c r="AC25" s="315"/>
      <c r="AD25" s="315"/>
      <c r="AE25" s="315"/>
      <c r="AF25" s="315"/>
      <c r="AG25" s="312"/>
      <c r="AH25" s="312"/>
      <c r="AI25" s="313"/>
      <c r="AJ25" s="313"/>
      <c r="AK25" s="312"/>
      <c r="AL25" s="312"/>
      <c r="AM25" s="312"/>
      <c r="AN25" s="312"/>
    </row>
    <row r="26" spans="1:40" x14ac:dyDescent="0.1">
      <c r="A26" s="269"/>
      <c r="B26" s="309"/>
      <c r="C26" s="309"/>
      <c r="D26" s="309"/>
      <c r="M26" s="263"/>
      <c r="N26" s="263"/>
      <c r="O26" s="263"/>
      <c r="P26" s="263"/>
      <c r="Q26" s="263"/>
      <c r="R26" s="263"/>
      <c r="S26" s="263"/>
      <c r="T26" s="263"/>
      <c r="U26" s="321"/>
      <c r="V26" s="314"/>
      <c r="W26" s="314"/>
      <c r="X26" s="319"/>
      <c r="Y26" s="314"/>
      <c r="Z26" s="314"/>
      <c r="AA26" s="315"/>
      <c r="AB26" s="315"/>
      <c r="AC26" s="315"/>
      <c r="AD26" s="315"/>
      <c r="AE26" s="315"/>
      <c r="AF26" s="315"/>
      <c r="AG26" s="312"/>
      <c r="AH26" s="312"/>
      <c r="AI26" s="313"/>
      <c r="AJ26" s="312"/>
      <c r="AK26" s="312"/>
      <c r="AL26" s="312"/>
      <c r="AM26" s="312"/>
      <c r="AN26" s="312"/>
    </row>
    <row r="27" spans="1:40" x14ac:dyDescent="0.1">
      <c r="B27" s="310"/>
      <c r="C27" s="310"/>
      <c r="D27" s="310"/>
      <c r="E27" s="263"/>
      <c r="F27" s="263"/>
      <c r="G27" s="263"/>
      <c r="H27" s="263"/>
      <c r="I27" s="263"/>
      <c r="J27" s="263"/>
      <c r="K27" s="263"/>
      <c r="L27" s="263"/>
      <c r="M27" s="263"/>
      <c r="N27" s="263"/>
      <c r="O27" s="263"/>
      <c r="P27" s="263"/>
      <c r="Q27" s="263"/>
      <c r="R27" s="263"/>
      <c r="S27" s="263"/>
      <c r="T27" s="263"/>
    </row>
    <row r="28" spans="1:40" x14ac:dyDescent="0.1">
      <c r="B28" s="309"/>
      <c r="C28" s="309"/>
      <c r="D28" s="309"/>
    </row>
    <row r="29" spans="1:40" x14ac:dyDescent="0.1">
      <c r="B29" s="309"/>
      <c r="C29" s="309"/>
      <c r="D29" s="309"/>
    </row>
  </sheetData>
  <sheetProtection password="DE02" sheet="1" objects="1" scenarios="1" selectLockedCells="1" selectUnlockedCells="1"/>
  <mergeCells count="15">
    <mergeCell ref="B6:E6"/>
    <mergeCell ref="H6:I6"/>
    <mergeCell ref="L6:M6"/>
    <mergeCell ref="F4:N4"/>
    <mergeCell ref="B2:C2"/>
    <mergeCell ref="R2:S2"/>
    <mergeCell ref="B3:C3"/>
    <mergeCell ref="R3:S3"/>
    <mergeCell ref="R5:S5"/>
    <mergeCell ref="B4:C4"/>
    <mergeCell ref="D4:E4"/>
    <mergeCell ref="R4:S4"/>
    <mergeCell ref="D5:E5"/>
    <mergeCell ref="F5:N5"/>
    <mergeCell ref="D3:G3"/>
  </mergeCells>
  <phoneticPr fontId="26" type="noConversion"/>
  <pageMargins left="0.7" right="0.7" top="0.75" bottom="0.75" header="0.3" footer="0.3"/>
  <pageSetup paperSize="9" scale="89" fitToHeight="0" orientation="portrait" verticalDpi="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7030A0"/>
  </sheetPr>
  <dimension ref="A1:IG243"/>
  <sheetViews>
    <sheetView zoomScale="200" zoomScaleNormal="145" zoomScalePageLayoutView="145" workbookViewId="0">
      <selection activeCell="T42" sqref="T42"/>
    </sheetView>
  </sheetViews>
  <sheetFormatPr defaultColWidth="2.375" defaultRowHeight="10.5" customHeight="1" x14ac:dyDescent="0.1"/>
  <cols>
    <col min="1" max="1" width="0.375" style="63" customWidth="1"/>
    <col min="2" max="6" width="1.125" style="63" customWidth="1"/>
    <col min="7" max="7" width="1.375" style="63" customWidth="1"/>
    <col min="8" max="8" width="1.125" style="63" customWidth="1"/>
    <col min="9" max="9" width="1.375" style="63" customWidth="1"/>
    <col min="10" max="10" width="1.125" style="63" customWidth="1"/>
    <col min="11" max="11" width="1.5" style="63" customWidth="1"/>
    <col min="12" max="19" width="1.125" style="63" customWidth="1"/>
    <col min="20" max="20" width="4.875" style="63" customWidth="1"/>
    <col min="21" max="21" width="4.5" style="60" customWidth="1"/>
    <col min="22" max="22" width="2.375" style="68" customWidth="1"/>
    <col min="23" max="23" width="3.875" style="67" customWidth="1"/>
    <col min="24" max="24" width="4.125" style="69" customWidth="1"/>
    <col min="25" max="25" width="2.125" style="69" customWidth="1"/>
    <col min="26" max="26" width="3" style="69" customWidth="1"/>
    <col min="27" max="27" width="3.875" style="69" customWidth="1"/>
    <col min="28" max="28" width="3.875" style="67" customWidth="1"/>
    <col min="29" max="29" width="3" style="67" customWidth="1"/>
    <col min="30" max="30" width="2.375" style="70" customWidth="1"/>
    <col min="31" max="31" width="2.375" style="68" customWidth="1"/>
    <col min="32" max="32" width="2.375" style="69" customWidth="1"/>
    <col min="33" max="33" width="4.875" style="73" customWidth="1"/>
    <col min="34" max="34" width="6.5" style="72" customWidth="1"/>
    <col min="35" max="36" width="2.125" style="72" customWidth="1"/>
    <col min="37" max="41" width="4.625" style="72" customWidth="1"/>
    <col min="42" max="42" width="3" style="72" customWidth="1"/>
    <col min="43" max="43" width="7.375" style="72" customWidth="1"/>
    <col min="44" max="44" width="5.625" style="72" customWidth="1"/>
    <col min="45" max="45" width="4.625" style="72" customWidth="1"/>
    <col min="46" max="46" width="3.875" style="70" customWidth="1"/>
    <col min="47" max="47" width="2.375" style="79" customWidth="1"/>
    <col min="48" max="48" width="6.5" style="60" customWidth="1"/>
    <col min="49" max="50" width="2.125" style="60" customWidth="1"/>
    <col min="51" max="51" width="1.625" style="60" customWidth="1"/>
    <col min="52" max="52" width="3.375" style="60" customWidth="1"/>
    <col min="53" max="53" width="4.625" style="60" customWidth="1"/>
    <col min="54" max="54" width="3.875" style="60" customWidth="1"/>
    <col min="55" max="55" width="1.625" style="60" customWidth="1"/>
    <col min="56" max="56" width="2.125" style="60" customWidth="1"/>
    <col min="57" max="62" width="1.875" style="60" customWidth="1"/>
    <col min="63" max="63" width="3.375" style="60" customWidth="1"/>
    <col min="64" max="64" width="4.625" style="60" customWidth="1"/>
    <col min="65" max="65" width="4.625" style="145" customWidth="1"/>
    <col min="66" max="68" width="1.875" style="60" customWidth="1"/>
    <col min="69" max="69" width="2.125" style="71" customWidth="1"/>
    <col min="70" max="70" width="4.625" style="71" customWidth="1"/>
    <col min="71" max="71" width="1.875" style="71" customWidth="1"/>
    <col min="72" max="72" width="3.875" style="71" customWidth="1"/>
    <col min="73" max="73" width="1.875" style="71" customWidth="1"/>
    <col min="74" max="74" width="2.375" style="71" customWidth="1"/>
    <col min="75" max="75" width="3.875" style="71" customWidth="1"/>
    <col min="76" max="76" width="2.125" style="71" customWidth="1"/>
    <col min="77" max="78" width="1.875" style="71" customWidth="1"/>
    <col min="79" max="79" width="2.125" style="71" customWidth="1"/>
    <col min="80" max="81" width="1.875" style="60" customWidth="1"/>
    <col min="82" max="83" width="3.125" style="60" customWidth="1"/>
    <col min="84" max="84" width="4.625" style="60" customWidth="1"/>
    <col min="85" max="85" width="4.625" style="145" customWidth="1"/>
    <col min="86" max="87" width="1.875" style="60" customWidth="1"/>
    <col min="88" max="88" width="1.875" style="71" customWidth="1"/>
    <col min="89" max="89" width="2.125" style="71" customWidth="1"/>
    <col min="90" max="90" width="4.625" style="71" customWidth="1"/>
    <col min="91" max="91" width="3.375" style="71" customWidth="1"/>
    <col min="92" max="93" width="3.125" style="71" customWidth="1"/>
    <col min="94" max="94" width="3.625" style="71" customWidth="1"/>
    <col min="95" max="97" width="3.125" style="71" customWidth="1"/>
    <col min="98" max="98" width="1.875" style="71" customWidth="1"/>
    <col min="99" max="99" width="3.125" style="71" customWidth="1"/>
    <col min="100" max="100" width="3.5" style="71" customWidth="1"/>
    <col min="101" max="101" width="1.875" style="145" customWidth="1"/>
    <col min="102" max="102" width="2.125" style="145" customWidth="1"/>
    <col min="103" max="103" width="1.875" style="145" customWidth="1"/>
    <col min="104" max="104" width="2.375" style="60" customWidth="1"/>
    <col min="105" max="105" width="2" style="74" customWidth="1"/>
    <col min="106" max="106" width="3" style="74" customWidth="1"/>
    <col min="107" max="109" width="2.125" style="74" customWidth="1"/>
    <col min="110" max="110" width="2" style="74" customWidth="1"/>
    <col min="111" max="111" width="3" style="74" customWidth="1"/>
    <col min="112" max="112" width="2.625" style="74" customWidth="1"/>
    <col min="113" max="114" width="2.125" style="74" customWidth="1"/>
    <col min="115" max="116" width="3" style="79" customWidth="1"/>
    <col min="117" max="117" width="3.5" style="79" customWidth="1"/>
    <col min="118" max="118" width="9.625" style="144" customWidth="1"/>
    <col min="119" max="119" width="4.5" style="144" customWidth="1"/>
    <col min="120" max="120" width="9.125" style="144" customWidth="1"/>
    <col min="121" max="121" width="2.125" style="60" customWidth="1"/>
    <col min="122" max="122" width="3" style="79" customWidth="1"/>
    <col min="123" max="123" width="2.375" style="79" customWidth="1"/>
    <col min="124" max="124" width="5.125" style="77" customWidth="1"/>
    <col min="125" max="125" width="3.125" style="77" customWidth="1"/>
    <col min="126" max="126" width="2" style="77" customWidth="1"/>
    <col min="127" max="127" width="2.375" style="79" customWidth="1"/>
    <col min="128" max="129" width="1.5" style="60" customWidth="1"/>
    <col min="130" max="130" width="3.625" style="60" customWidth="1"/>
    <col min="131" max="131" width="1.125" style="60" customWidth="1"/>
    <col min="132" max="132" width="2.375" style="60" customWidth="1"/>
    <col min="133" max="133" width="1.625" style="60" customWidth="1"/>
    <col min="134" max="134" width="2.375" style="60" customWidth="1"/>
    <col min="135" max="140" width="1.625" style="60" customWidth="1"/>
    <col min="141" max="141" width="1.5" style="60" customWidth="1"/>
    <col min="142" max="149" width="2" style="60" customWidth="1"/>
    <col min="150" max="150" width="2" style="79" customWidth="1"/>
    <col min="151" max="152" width="1.5" style="60" customWidth="1"/>
    <col min="153" max="153" width="2.125" style="60" customWidth="1"/>
    <col min="154" max="154" width="5.875" style="60" customWidth="1"/>
    <col min="155" max="155" width="2.375" style="60" customWidth="1"/>
    <col min="156" max="156" width="1.5" style="60" customWidth="1"/>
    <col min="157" max="157" width="5.875" style="60" customWidth="1"/>
    <col min="158" max="160" width="1.5" style="60" customWidth="1"/>
    <col min="161" max="161" width="2.375" style="60" customWidth="1"/>
    <col min="162" max="165" width="1.5" style="60" customWidth="1"/>
    <col min="166" max="170" width="1.125" style="60" customWidth="1"/>
    <col min="171" max="171" width="1.5" style="60" customWidth="1"/>
    <col min="172" max="173" width="1.125" style="60" customWidth="1"/>
    <col min="174" max="174" width="2.375" style="60" customWidth="1"/>
    <col min="175" max="175" width="1.625" style="60" customWidth="1"/>
    <col min="176" max="176" width="2.125" style="60" customWidth="1"/>
    <col min="177" max="177" width="5.875" style="69" customWidth="1"/>
    <col min="178" max="179" width="1.5" style="67" customWidth="1"/>
    <col min="180" max="180" width="1.125" style="69" customWidth="1"/>
    <col min="181" max="187" width="1.125" style="79" customWidth="1"/>
    <col min="188" max="194" width="1.5" style="79" customWidth="1"/>
    <col min="195" max="202" width="1.625" style="79" customWidth="1"/>
    <col min="203" max="203" width="2.375" style="69" customWidth="1"/>
    <col min="204" max="204" width="6.5" style="79" customWidth="1"/>
    <col min="205" max="206" width="2.125" style="79" bestFit="1" customWidth="1"/>
    <col min="207" max="207" width="1.625" style="69" bestFit="1" customWidth="1"/>
    <col min="208" max="208" width="3" style="69" bestFit="1" customWidth="1"/>
    <col min="209" max="216" width="1.625" style="69" bestFit="1" customWidth="1"/>
    <col min="217" max="217" width="2.375" style="69" customWidth="1"/>
    <col min="218" max="218" width="1.875" style="69" bestFit="1" customWidth="1"/>
    <col min="219" max="219" width="1.625" style="69" bestFit="1" customWidth="1"/>
    <col min="220" max="220" width="2.375" style="69" customWidth="1"/>
    <col min="221" max="221" width="6.5" style="60" bestFit="1" customWidth="1"/>
    <col min="222" max="223" width="2.125" style="60" bestFit="1" customWidth="1"/>
    <col min="224" max="231" width="1.625" style="79" bestFit="1" customWidth="1"/>
    <col min="232" max="238" width="1.875" style="79" bestFit="1" customWidth="1"/>
    <col min="239" max="239" width="2.375" style="79"/>
    <col min="240" max="240" width="3.625" style="80" bestFit="1" customWidth="1"/>
    <col min="241" max="16384" width="2.375" style="80"/>
  </cols>
  <sheetData>
    <row r="1" spans="1:241" s="61" customFormat="1" ht="3" customHeight="1" x14ac:dyDescent="0.1">
      <c r="A1" s="63"/>
      <c r="B1" s="63"/>
      <c r="C1" s="63"/>
      <c r="D1" s="63"/>
      <c r="E1" s="63"/>
      <c r="F1" s="63"/>
      <c r="G1" s="63"/>
      <c r="H1" s="63"/>
      <c r="I1" s="63"/>
      <c r="J1" s="63"/>
      <c r="K1" s="63"/>
      <c r="L1" s="63"/>
      <c r="M1" s="63"/>
      <c r="N1" s="63"/>
      <c r="O1" s="63"/>
      <c r="P1" s="63"/>
      <c r="Q1" s="63"/>
      <c r="R1" s="63"/>
      <c r="S1" s="63"/>
      <c r="T1" s="63"/>
      <c r="U1" s="60"/>
      <c r="HM1" s="147"/>
      <c r="HN1" s="147"/>
      <c r="HO1" s="147"/>
      <c r="IF1" s="62"/>
      <c r="IG1" s="62"/>
    </row>
    <row r="2" spans="1:241" ht="7.35" customHeight="1" x14ac:dyDescent="0.1">
      <c r="B2" s="454">
        <f ca="1">Mirror!B2</f>
        <v>2024</v>
      </c>
      <c r="C2" s="454"/>
      <c r="D2" s="367" t="s">
        <v>804</v>
      </c>
      <c r="E2" s="64">
        <f ca="1">Mirror!E2</f>
        <v>8</v>
      </c>
      <c r="F2" s="367" t="s">
        <v>805</v>
      </c>
      <c r="G2" s="64">
        <f ca="1">Mirror!G2</f>
        <v>27</v>
      </c>
      <c r="H2" s="367" t="s">
        <v>806</v>
      </c>
      <c r="I2" s="366">
        <f ca="1">Mirror!I2</f>
        <v>15</v>
      </c>
      <c r="J2" s="381" t="s">
        <v>807</v>
      </c>
      <c r="K2" s="366">
        <f ca="1">Mirror!K2</f>
        <v>5</v>
      </c>
      <c r="L2" s="367"/>
      <c r="M2" s="148" t="str">
        <f ca="1">VLOOKUP(TEXT(WEEKDAY(DATE(B2,E2,G2)),"aaaa"),DT19:DU32,2, FALSE)</f>
        <v>星期二</v>
      </c>
      <c r="N2" s="365"/>
      <c r="O2" s="365"/>
      <c r="P2" s="65"/>
      <c r="Q2" s="66" t="s">
        <v>630</v>
      </c>
      <c r="R2" s="455" t="str">
        <f ca="1">W4</f>
        <v>甲辰</v>
      </c>
      <c r="S2" s="455"/>
      <c r="U2" s="67"/>
      <c r="W2" s="453">
        <f ca="1">IF(DT16 = "Yes", DATE(B2,E2,G2+1)+TIME(0,0,0), DATE(B2,E2,G2)+TIME(I2,K2,0))</f>
        <v>45531.628472222219</v>
      </c>
      <c r="X2" s="453"/>
      <c r="Y2" s="453"/>
      <c r="Z2" s="453"/>
      <c r="AG2" s="71" t="s">
        <v>681</v>
      </c>
      <c r="AU2" s="69"/>
      <c r="AV2" s="67"/>
      <c r="AW2" s="67"/>
      <c r="AX2" s="67"/>
      <c r="AY2" s="67"/>
      <c r="AZ2" s="67"/>
      <c r="BA2" s="67"/>
      <c r="BB2" s="67"/>
      <c r="BC2" s="67"/>
      <c r="BD2" s="67"/>
      <c r="BE2" s="67"/>
      <c r="BF2" s="67"/>
      <c r="BG2" s="67"/>
      <c r="BH2" s="67"/>
      <c r="BI2" s="67"/>
      <c r="BJ2" s="67"/>
      <c r="BK2" s="67"/>
      <c r="BL2" s="67"/>
      <c r="BM2" s="67"/>
      <c r="BN2" s="67"/>
      <c r="BO2" s="67"/>
      <c r="BP2" s="67"/>
      <c r="BQ2" s="67"/>
      <c r="BR2" s="67"/>
      <c r="BS2" s="67"/>
      <c r="BT2" s="67"/>
      <c r="BU2" s="67"/>
      <c r="BV2" s="67"/>
      <c r="BW2" s="67"/>
      <c r="BX2" s="67"/>
      <c r="BY2" s="67"/>
      <c r="BZ2" s="67"/>
      <c r="CA2" s="67"/>
      <c r="CB2" s="67"/>
      <c r="CC2" s="67"/>
      <c r="CD2" s="67"/>
      <c r="CE2" s="67"/>
      <c r="CF2" s="67"/>
      <c r="CG2" s="67"/>
      <c r="CH2" s="69"/>
      <c r="CI2" s="67"/>
      <c r="CJ2" s="67"/>
      <c r="CK2" s="67"/>
      <c r="CL2" s="67"/>
      <c r="CM2" s="67"/>
      <c r="CN2" s="67" t="s">
        <v>851</v>
      </c>
      <c r="CO2" s="67"/>
      <c r="CP2" s="67"/>
      <c r="CQ2" s="67"/>
      <c r="CR2" s="67"/>
      <c r="CS2" s="67"/>
      <c r="CT2" s="67"/>
      <c r="CU2" s="67"/>
      <c r="CV2" s="67"/>
      <c r="CW2" s="71"/>
      <c r="CX2" s="71"/>
      <c r="CY2" s="71"/>
      <c r="CZ2" s="67"/>
      <c r="DA2" s="73"/>
      <c r="DE2" s="73"/>
      <c r="DF2" s="73"/>
      <c r="DG2" s="73"/>
      <c r="DH2" s="73"/>
      <c r="DI2" s="73"/>
      <c r="DJ2" s="73"/>
      <c r="DK2" s="69"/>
      <c r="DL2" s="69"/>
      <c r="DM2" s="75"/>
      <c r="DN2" s="69"/>
      <c r="DO2" s="69"/>
      <c r="DP2" s="69"/>
      <c r="DQ2" s="67"/>
      <c r="DR2" s="69"/>
      <c r="DS2" s="69"/>
      <c r="DT2" s="76"/>
      <c r="DW2" s="69"/>
      <c r="DX2" s="67"/>
      <c r="DY2" s="67"/>
      <c r="DZ2" s="67"/>
      <c r="EA2" s="67"/>
      <c r="EB2" s="67"/>
      <c r="EC2" s="67"/>
      <c r="ED2" s="67"/>
      <c r="EE2" s="67"/>
      <c r="EF2" s="67"/>
      <c r="EG2" s="67"/>
      <c r="EH2" s="67"/>
      <c r="EI2" s="67"/>
      <c r="EJ2" s="67"/>
      <c r="EK2" s="69"/>
      <c r="EL2" s="67"/>
      <c r="EM2" s="67"/>
      <c r="EN2" s="67"/>
      <c r="EO2" s="67"/>
      <c r="EP2" s="67"/>
      <c r="EQ2" s="67"/>
      <c r="ER2" s="67"/>
      <c r="ES2" s="67"/>
      <c r="ET2" s="69"/>
      <c r="EU2" s="67"/>
      <c r="FY2" s="78"/>
      <c r="FZ2" s="78"/>
      <c r="GA2" s="78"/>
      <c r="GB2" s="78"/>
      <c r="GC2" s="69"/>
      <c r="GD2" s="69"/>
      <c r="GE2" s="69"/>
      <c r="GF2" s="69"/>
      <c r="GG2" s="69"/>
      <c r="GH2" s="69"/>
      <c r="GI2" s="69"/>
      <c r="GJ2" s="69"/>
      <c r="GK2" s="69"/>
      <c r="GL2" s="69"/>
      <c r="GM2" s="69"/>
      <c r="GN2" s="69"/>
      <c r="GO2" s="69"/>
      <c r="GP2" s="69"/>
      <c r="GQ2" s="69"/>
      <c r="GR2" s="69"/>
      <c r="GS2" s="69"/>
      <c r="GT2" s="69"/>
      <c r="GV2" s="78"/>
      <c r="GW2" s="78"/>
      <c r="GX2" s="78"/>
    </row>
    <row r="3" spans="1:241" ht="7.35" customHeight="1" x14ac:dyDescent="0.1">
      <c r="A3" s="81"/>
      <c r="B3" s="452" t="s">
        <v>682</v>
      </c>
      <c r="C3" s="452"/>
      <c r="D3" s="382" t="str">
        <f ca="1">AG19</f>
        <v>七月廿四</v>
      </c>
      <c r="E3" s="382"/>
      <c r="F3" s="368"/>
      <c r="G3" s="368"/>
      <c r="H3" s="82"/>
      <c r="I3" s="82"/>
      <c r="J3" s="367"/>
      <c r="K3" s="82"/>
      <c r="L3" s="368"/>
      <c r="M3" s="65"/>
      <c r="N3" s="65"/>
      <c r="O3" s="65"/>
      <c r="P3" s="65"/>
      <c r="Q3" s="365" t="s">
        <v>631</v>
      </c>
      <c r="R3" s="455" t="str">
        <f ca="1">W6</f>
        <v>壬申</v>
      </c>
      <c r="S3" s="455"/>
      <c r="AA3" s="67"/>
      <c r="AG3" s="83">
        <f>MOD(J6-N6,8)</f>
        <v>0</v>
      </c>
      <c r="AU3" s="69"/>
      <c r="AV3" s="67"/>
      <c r="AW3" s="67"/>
      <c r="AX3" s="67"/>
      <c r="AY3" s="69"/>
      <c r="AZ3" s="69"/>
      <c r="BA3" s="67"/>
      <c r="BB3" s="67"/>
      <c r="BC3" s="67"/>
      <c r="BD3" s="67"/>
      <c r="BE3" s="443" t="s">
        <v>683</v>
      </c>
      <c r="BF3" s="444"/>
      <c r="BG3" s="444"/>
      <c r="BH3" s="444"/>
      <c r="BI3" s="444"/>
      <c r="BJ3" s="444"/>
      <c r="BK3" s="444"/>
      <c r="BL3" s="444"/>
      <c r="BM3" s="444"/>
      <c r="BN3" s="444"/>
      <c r="BO3" s="444"/>
      <c r="BP3" s="444"/>
      <c r="BQ3" s="444"/>
      <c r="BR3" s="444"/>
      <c r="BS3" s="444"/>
      <c r="BT3" s="444"/>
      <c r="BU3" s="444"/>
      <c r="BV3" s="444"/>
      <c r="BW3" s="444"/>
      <c r="BX3" s="444"/>
      <c r="BY3" s="444"/>
      <c r="BZ3" s="444"/>
      <c r="CA3" s="445"/>
      <c r="CB3" s="443" t="s">
        <v>684</v>
      </c>
      <c r="CC3" s="444"/>
      <c r="CD3" s="444"/>
      <c r="CE3" s="444"/>
      <c r="CF3" s="444"/>
      <c r="CG3" s="444"/>
      <c r="CH3" s="444"/>
      <c r="CI3" s="444"/>
      <c r="CJ3" s="444"/>
      <c r="CK3" s="444"/>
      <c r="CL3" s="444"/>
      <c r="CM3" s="444"/>
      <c r="CN3" s="444"/>
      <c r="CO3" s="444"/>
      <c r="CP3" s="444"/>
      <c r="CQ3" s="444"/>
      <c r="CR3" s="444"/>
      <c r="CS3" s="444"/>
      <c r="CT3" s="444"/>
      <c r="CU3" s="445"/>
      <c r="CV3" s="84"/>
      <c r="CW3" s="461" t="s">
        <v>809</v>
      </c>
      <c r="CX3" s="461"/>
      <c r="CY3" s="461"/>
      <c r="CZ3" s="67"/>
      <c r="DA3" s="94">
        <v>0</v>
      </c>
      <c r="DB3" s="72"/>
      <c r="DC3" s="72"/>
      <c r="DD3" s="72"/>
      <c r="DE3" s="73"/>
      <c r="DF3" s="73"/>
      <c r="DG3" s="73"/>
      <c r="DH3" s="72" t="s">
        <v>630</v>
      </c>
      <c r="DI3" s="73" t="s">
        <v>805</v>
      </c>
      <c r="DJ3" s="73"/>
      <c r="DK3" s="69"/>
      <c r="DL3" s="69"/>
      <c r="DM3" s="69"/>
      <c r="DN3" s="73" t="str">
        <f ca="1">(Program!AA4-1)&amp;" 至 "&amp; Program!AA4 &amp;" 節氣日期"</f>
        <v>2023 至 2024 節氣日期</v>
      </c>
      <c r="DO3" s="85"/>
      <c r="DP3" s="122" t="s">
        <v>830</v>
      </c>
      <c r="DQ3" s="69"/>
      <c r="DR3" s="69"/>
      <c r="DS3" s="69"/>
      <c r="DT3" s="461" t="s">
        <v>810</v>
      </c>
      <c r="DU3" s="461"/>
      <c r="DW3" s="69"/>
      <c r="DX3" s="67"/>
      <c r="DY3" s="67"/>
      <c r="DZ3" s="67"/>
      <c r="EA3" s="457" t="s">
        <v>811</v>
      </c>
      <c r="EB3" s="459"/>
      <c r="EC3" s="459"/>
      <c r="ED3" s="459"/>
      <c r="EE3" s="459"/>
      <c r="EF3" s="459"/>
      <c r="EG3" s="459"/>
      <c r="EH3" s="459"/>
      <c r="EI3" s="459"/>
      <c r="EJ3" s="459"/>
      <c r="EK3" s="459"/>
      <c r="EL3" s="459"/>
      <c r="EM3" s="459"/>
      <c r="EN3" s="459"/>
      <c r="EO3" s="459"/>
      <c r="EP3" s="459"/>
      <c r="EQ3" s="459"/>
      <c r="ER3" s="459"/>
      <c r="ES3" s="459"/>
      <c r="ET3" s="458"/>
      <c r="EU3" s="67"/>
      <c r="EX3" s="78"/>
      <c r="EY3" s="78"/>
      <c r="EZ3" s="78"/>
      <c r="FA3" s="78"/>
      <c r="FB3" s="456" t="s">
        <v>814</v>
      </c>
      <c r="FC3" s="456"/>
      <c r="FD3" s="456"/>
      <c r="FE3" s="456"/>
      <c r="FF3" s="456"/>
      <c r="FG3" s="456"/>
      <c r="FH3" s="456"/>
      <c r="FI3" s="456"/>
      <c r="FJ3" s="456"/>
      <c r="FK3" s="456"/>
      <c r="FL3" s="456"/>
      <c r="FM3" s="456"/>
      <c r="FN3" s="456"/>
      <c r="FO3" s="456"/>
      <c r="FP3" s="456"/>
      <c r="FQ3" s="456"/>
      <c r="FR3" s="456"/>
      <c r="FS3" s="456"/>
    </row>
    <row r="4" spans="1:241" ht="7.35" customHeight="1" x14ac:dyDescent="0.1">
      <c r="A4" s="88"/>
      <c r="B4" s="452" t="s">
        <v>687</v>
      </c>
      <c r="C4" s="452"/>
      <c r="D4" s="450" t="str">
        <f ca="1">LEFT(AC6,2)</f>
        <v>處暑</v>
      </c>
      <c r="E4" s="450"/>
      <c r="F4" s="451">
        <f ca="1">VLOOKUP(W2, DN4:DO30, 1, TRUE)</f>
        <v>45526.955251828302</v>
      </c>
      <c r="G4" s="451"/>
      <c r="H4" s="451"/>
      <c r="I4" s="451"/>
      <c r="J4" s="451"/>
      <c r="K4" s="451"/>
      <c r="L4" s="451"/>
      <c r="M4" s="451"/>
      <c r="N4" s="451"/>
      <c r="O4" s="365"/>
      <c r="P4" s="65"/>
      <c r="Q4" s="365" t="s">
        <v>632</v>
      </c>
      <c r="R4" s="455" t="str">
        <f ca="1">W9</f>
        <v>癸亥</v>
      </c>
      <c r="S4" s="455"/>
      <c r="T4" s="81"/>
      <c r="U4" s="72"/>
      <c r="W4" s="67" t="str">
        <f ca="1">IF(W2&lt;DN8, VLOOKUP(AA4-1, DH4:DL243,5,FALSE), VLOOKUP(AA4, DH4:DL243,5,FALSE))</f>
        <v>甲辰</v>
      </c>
      <c r="X4" s="89" t="s">
        <v>630</v>
      </c>
      <c r="Y4" s="90" t="str">
        <f ca="1">VLOOKUP(W4, DB4:DD63,2,FALSE)</f>
        <v>甲</v>
      </c>
      <c r="Z4" s="91" t="str">
        <f ca="1">VLOOKUP(W4, DB4:DD63,3,FALSE)</f>
        <v>辰</v>
      </c>
      <c r="AA4" s="91">
        <f ca="1">IF(YEAR(W2)&gt;B2, B2, YEAR(W2))</f>
        <v>2024</v>
      </c>
      <c r="AB4" s="92" t="s">
        <v>688</v>
      </c>
      <c r="AC4" s="93">
        <f ca="1">VLOOKUP(Y4, DC4:DF15, 4, FALSE)</f>
        <v>1</v>
      </c>
      <c r="AG4" s="94" t="s">
        <v>689</v>
      </c>
      <c r="AH4" s="95" t="s">
        <v>679</v>
      </c>
      <c r="AI4" s="95" t="s">
        <v>637</v>
      </c>
      <c r="AJ4" s="95" t="s">
        <v>638</v>
      </c>
      <c r="AK4" s="95" t="s">
        <v>680</v>
      </c>
      <c r="AL4" s="95" t="s">
        <v>639</v>
      </c>
      <c r="AM4" s="95" t="s">
        <v>640</v>
      </c>
      <c r="AN4" s="95" t="s">
        <v>641</v>
      </c>
      <c r="AO4" s="95" t="s">
        <v>642</v>
      </c>
      <c r="AP4" s="95" t="s">
        <v>643</v>
      </c>
      <c r="AQ4" s="96" t="s">
        <v>644</v>
      </c>
      <c r="AR4" s="96" t="s">
        <v>690</v>
      </c>
      <c r="AS4" s="95" t="s">
        <v>691</v>
      </c>
      <c r="AT4" s="250" t="s">
        <v>640</v>
      </c>
      <c r="AU4" s="69"/>
      <c r="AV4" s="87" t="s">
        <v>679</v>
      </c>
      <c r="AW4" s="87" t="s">
        <v>637</v>
      </c>
      <c r="AX4" s="87" t="s">
        <v>638</v>
      </c>
      <c r="AY4" s="457" t="s">
        <v>680</v>
      </c>
      <c r="AZ4" s="458"/>
      <c r="BA4" s="87" t="s">
        <v>692</v>
      </c>
      <c r="BB4" s="87" t="s">
        <v>693</v>
      </c>
      <c r="BC4" s="457" t="s">
        <v>639</v>
      </c>
      <c r="BD4" s="458"/>
      <c r="BE4" s="443" t="s">
        <v>640</v>
      </c>
      <c r="BF4" s="444"/>
      <c r="BG4" s="444"/>
      <c r="BH4" s="444"/>
      <c r="BI4" s="444"/>
      <c r="BJ4" s="444"/>
      <c r="BK4" s="445"/>
      <c r="BL4" s="97" t="s">
        <v>641</v>
      </c>
      <c r="BM4" s="97" t="s">
        <v>642</v>
      </c>
      <c r="BN4" s="443" t="s">
        <v>643</v>
      </c>
      <c r="BO4" s="444"/>
      <c r="BP4" s="444"/>
      <c r="BQ4" s="445"/>
      <c r="BR4" s="98" t="s">
        <v>640</v>
      </c>
      <c r="BS4" s="443" t="s">
        <v>644</v>
      </c>
      <c r="BT4" s="444"/>
      <c r="BU4" s="444"/>
      <c r="BV4" s="444"/>
      <c r="BW4" s="445"/>
      <c r="BX4" s="443" t="s">
        <v>690</v>
      </c>
      <c r="BY4" s="444"/>
      <c r="BZ4" s="444"/>
      <c r="CA4" s="445"/>
      <c r="CB4" s="443" t="s">
        <v>815</v>
      </c>
      <c r="CC4" s="444"/>
      <c r="CD4" s="444"/>
      <c r="CE4" s="445"/>
      <c r="CF4" s="97" t="s">
        <v>816</v>
      </c>
      <c r="CG4" s="97" t="s">
        <v>817</v>
      </c>
      <c r="CH4" s="443" t="s">
        <v>643</v>
      </c>
      <c r="CI4" s="444"/>
      <c r="CJ4" s="444"/>
      <c r="CK4" s="445"/>
      <c r="CL4" s="98" t="s">
        <v>640</v>
      </c>
      <c r="CM4" s="443" t="s">
        <v>644</v>
      </c>
      <c r="CN4" s="444"/>
      <c r="CO4" s="444"/>
      <c r="CP4" s="444"/>
      <c r="CQ4" s="445"/>
      <c r="CR4" s="443" t="s">
        <v>690</v>
      </c>
      <c r="CS4" s="444"/>
      <c r="CT4" s="444"/>
      <c r="CU4" s="445"/>
      <c r="CW4" s="87">
        <v>1</v>
      </c>
      <c r="CX4" s="97" t="s">
        <v>25</v>
      </c>
      <c r="CY4" s="87">
        <v>1</v>
      </c>
      <c r="CZ4" s="67"/>
      <c r="DA4" s="94">
        <v>1</v>
      </c>
      <c r="DB4" s="101" t="s">
        <v>694</v>
      </c>
      <c r="DC4" s="94" t="s">
        <v>13</v>
      </c>
      <c r="DD4" s="94" t="s">
        <v>12</v>
      </c>
      <c r="DE4" s="94" t="s">
        <v>25</v>
      </c>
      <c r="DF4" s="94">
        <v>1</v>
      </c>
      <c r="DG4" s="99" t="s">
        <v>695</v>
      </c>
      <c r="DH4" s="100">
        <v>1864</v>
      </c>
      <c r="DI4" s="101">
        <v>11</v>
      </c>
      <c r="DJ4" s="94" t="s">
        <v>12</v>
      </c>
      <c r="DK4" s="102">
        <v>0</v>
      </c>
      <c r="DL4" s="94" t="s">
        <v>694</v>
      </c>
      <c r="DM4" s="69"/>
      <c r="DN4" s="103">
        <f ca="1">Last_Yr!E19</f>
        <v>45267.731099365279</v>
      </c>
      <c r="DO4" s="94" t="str">
        <f ca="1">"大雪"&amp;(Program!AA4-1)</f>
        <v>大雪2023</v>
      </c>
      <c r="DP4" s="146">
        <f ca="1">DP29</f>
        <v>45662.439384223893</v>
      </c>
      <c r="DQ4" s="94" t="s">
        <v>12</v>
      </c>
      <c r="DR4" s="87" t="s">
        <v>684</v>
      </c>
      <c r="DS4" s="69"/>
      <c r="DT4" s="104" t="str">
        <f ca="1">IF(AND(TIME(I2,K2,0)&gt;=TIME(0,0,0),TIME(I2,K2,0)&lt;TIME(0,59,59)),"Yes","No")</f>
        <v>No</v>
      </c>
      <c r="DU4" s="100" t="s">
        <v>696</v>
      </c>
      <c r="DV4" s="94" t="s">
        <v>12</v>
      </c>
      <c r="DW4" s="69"/>
      <c r="DX4" s="87" t="s">
        <v>818</v>
      </c>
      <c r="DY4" s="87" t="s">
        <v>637</v>
      </c>
      <c r="DZ4" s="87" t="s">
        <v>638</v>
      </c>
      <c r="EA4" s="457" t="s">
        <v>683</v>
      </c>
      <c r="EB4" s="459"/>
      <c r="EC4" s="459"/>
      <c r="ED4" s="459"/>
      <c r="EE4" s="459"/>
      <c r="EF4" s="459"/>
      <c r="EG4" s="459"/>
      <c r="EH4" s="459"/>
      <c r="EI4" s="459"/>
      <c r="EJ4" s="458"/>
      <c r="EK4" s="457" t="s">
        <v>684</v>
      </c>
      <c r="EL4" s="459"/>
      <c r="EM4" s="459"/>
      <c r="EN4" s="459"/>
      <c r="EO4" s="459"/>
      <c r="EP4" s="459"/>
      <c r="EQ4" s="459"/>
      <c r="ER4" s="459"/>
      <c r="ES4" s="459"/>
      <c r="ET4" s="458"/>
      <c r="EU4" s="67"/>
      <c r="EX4" s="97" t="s">
        <v>679</v>
      </c>
      <c r="EY4" s="97" t="s">
        <v>637</v>
      </c>
      <c r="EZ4" s="97" t="s">
        <v>638</v>
      </c>
      <c r="FA4" s="87">
        <v>-9</v>
      </c>
      <c r="FB4" s="87">
        <v>-8</v>
      </c>
      <c r="FC4" s="87">
        <v>-7</v>
      </c>
      <c r="FD4" s="87">
        <v>-6</v>
      </c>
      <c r="FE4" s="87">
        <v>-5</v>
      </c>
      <c r="FF4" s="87">
        <v>-4</v>
      </c>
      <c r="FG4" s="87">
        <v>-3</v>
      </c>
      <c r="FH4" s="87">
        <v>-2</v>
      </c>
      <c r="FI4" s="87">
        <v>-1</v>
      </c>
      <c r="FJ4" s="87">
        <v>0</v>
      </c>
      <c r="FK4" s="87">
        <f t="shared" ref="FK4:FS4" si="0">FJ4+1</f>
        <v>1</v>
      </c>
      <c r="FL4" s="87">
        <f t="shared" si="0"/>
        <v>2</v>
      </c>
      <c r="FM4" s="87">
        <f t="shared" si="0"/>
        <v>3</v>
      </c>
      <c r="FN4" s="87">
        <f t="shared" si="0"/>
        <v>4</v>
      </c>
      <c r="FO4" s="87">
        <f t="shared" si="0"/>
        <v>5</v>
      </c>
      <c r="FP4" s="87">
        <f t="shared" si="0"/>
        <v>6</v>
      </c>
      <c r="FQ4" s="87">
        <f t="shared" si="0"/>
        <v>7</v>
      </c>
      <c r="FR4" s="87">
        <f t="shared" si="0"/>
        <v>8</v>
      </c>
      <c r="FS4" s="87">
        <f t="shared" si="0"/>
        <v>9</v>
      </c>
      <c r="FU4" s="97" t="s">
        <v>679</v>
      </c>
      <c r="FV4" s="97" t="s">
        <v>637</v>
      </c>
      <c r="FW4" s="97" t="s">
        <v>638</v>
      </c>
      <c r="FX4" s="87">
        <v>0</v>
      </c>
      <c r="FY4" s="87">
        <v>1</v>
      </c>
      <c r="FZ4" s="87">
        <v>2</v>
      </c>
      <c r="GA4" s="87">
        <v>3</v>
      </c>
      <c r="GB4" s="87">
        <v>4</v>
      </c>
      <c r="GC4" s="87">
        <v>5</v>
      </c>
      <c r="GD4" s="87">
        <v>6</v>
      </c>
      <c r="GE4" s="87">
        <v>7</v>
      </c>
      <c r="GF4" s="97">
        <v>-1</v>
      </c>
      <c r="GG4" s="97">
        <v>-2</v>
      </c>
      <c r="GH4" s="97">
        <v>-3</v>
      </c>
      <c r="GI4" s="97">
        <v>-4</v>
      </c>
      <c r="GJ4" s="97">
        <v>-5</v>
      </c>
      <c r="GK4" s="97">
        <v>-6</v>
      </c>
      <c r="GL4" s="97">
        <v>-7</v>
      </c>
    </row>
    <row r="5" spans="1:241" ht="7.35" customHeight="1" x14ac:dyDescent="0.1">
      <c r="A5" s="88"/>
      <c r="D5" s="450" t="str">
        <f ca="1">LEFT(VLOOKUP(F5, DN4:DO34, 2, FALSE),2)</f>
        <v>白露</v>
      </c>
      <c r="E5" s="450"/>
      <c r="F5" s="451">
        <f ca="1">VLOOKUP(AC6, DO4:DP34, 2, FALSE)</f>
        <v>45542.466490612831</v>
      </c>
      <c r="G5" s="451"/>
      <c r="H5" s="451"/>
      <c r="I5" s="451"/>
      <c r="J5" s="451"/>
      <c r="K5" s="451"/>
      <c r="L5" s="451"/>
      <c r="M5" s="451"/>
      <c r="N5" s="451"/>
      <c r="Q5" s="66" t="s">
        <v>633</v>
      </c>
      <c r="R5" s="455" t="str">
        <f ca="1">W11</f>
        <v>庚申</v>
      </c>
      <c r="S5" s="455"/>
      <c r="U5" s="72"/>
      <c r="Y5" s="106"/>
      <c r="Z5" s="85"/>
      <c r="AA5" s="85"/>
      <c r="AB5" s="107" t="s">
        <v>700</v>
      </c>
      <c r="AC5" s="108">
        <f ca="1">VLOOKUP(Z4,DD4:DF15,3,FALSE)</f>
        <v>5</v>
      </c>
      <c r="AG5" s="94">
        <f>HLOOKUP(AG3, FX4:GL13,2, FALSE)</f>
        <v>1</v>
      </c>
      <c r="AH5" s="95">
        <v>1</v>
      </c>
      <c r="AI5" s="95" t="s">
        <v>649</v>
      </c>
      <c r="AJ5" s="95" t="s">
        <v>650</v>
      </c>
      <c r="AK5" s="95" t="str">
        <f t="shared" ref="AK5:AK13" ca="1" si="1">AZ5</f>
        <v>乙</v>
      </c>
      <c r="AL5" s="95" t="str">
        <f t="shared" ref="AL5:AL13" ca="1" si="2">BD5</f>
        <v>合</v>
      </c>
      <c r="AM5" s="95" t="str">
        <f ca="1">IF(AC14="阳遁", BK5,CE5)</f>
        <v>丙</v>
      </c>
      <c r="AN5" s="95" t="str">
        <f ca="1">IF(AC14="阳遁", BL5,CF5)</f>
        <v>芮</v>
      </c>
      <c r="AO5" s="95" t="str">
        <f ca="1">IF(AC14="阳遁", BM5,CG5)</f>
        <v>九</v>
      </c>
      <c r="AP5" s="95" t="str">
        <f ca="1">IF(AC14="阳遁", BQ5,CK5)</f>
        <v>死</v>
      </c>
      <c r="AQ5" s="109" t="str">
        <f ca="1">IF(AC14="阳遁", BW5, CQ5)</f>
        <v>乙</v>
      </c>
      <c r="AR5" s="109" t="str">
        <f ca="1">IF(AC14="阳遁", CA5, CU5)</f>
        <v>戊</v>
      </c>
      <c r="AS5" s="94" t="str">
        <f ca="1">IF(AR17="是", AR5, AQ5)</f>
        <v>乙</v>
      </c>
      <c r="AT5" s="250" t="str">
        <f ca="1">AM5</f>
        <v>丙</v>
      </c>
      <c r="AU5" s="69"/>
      <c r="AV5" s="87">
        <v>1</v>
      </c>
      <c r="AW5" s="87" t="s">
        <v>649</v>
      </c>
      <c r="AX5" s="87" t="s">
        <v>650</v>
      </c>
      <c r="AY5" s="110">
        <f ca="1">IF(AC14="阳遁", EA5,EK5)</f>
        <v>-9</v>
      </c>
      <c r="AZ5" s="111" t="str">
        <f ca="1">VLOOKUP(AY5,CW4:CX21,2,FALSE)</f>
        <v>乙</v>
      </c>
      <c r="BA5" s="87" t="s">
        <v>645</v>
      </c>
      <c r="BB5" s="87" t="s">
        <v>646</v>
      </c>
      <c r="BC5" s="110">
        <f ca="1">IF(AC14="阳遁", EB18, ED18)</f>
        <v>-4</v>
      </c>
      <c r="BD5" s="112" t="str">
        <f ca="1">VLOOKUP(BC5, EX17:EY33, 2, FALSE)</f>
        <v>合</v>
      </c>
      <c r="BE5" s="110">
        <f t="shared" ref="BE5:BE13" ca="1" si="3">AY5</f>
        <v>-9</v>
      </c>
      <c r="BF5" s="113">
        <f ca="1">IF(AZ5=IF(Y11="甲", AC17, Y11),1,0)</f>
        <v>0</v>
      </c>
      <c r="BG5" s="110">
        <f ca="1">HLOOKUP(BF14, EE17:EM26, 2, FALSE)</f>
        <v>3</v>
      </c>
      <c r="BH5" s="113">
        <f ca="1">IF(Y11="甲",  IF(AZ5=W12,1,0), IF(AZ5=Y11,1,0))</f>
        <v>0</v>
      </c>
      <c r="BI5" s="110">
        <f ca="1">HLOOKUP(BH14, EE17:EM26, 2, FALSE)</f>
        <v>3</v>
      </c>
      <c r="BJ5" s="114" t="e">
        <f ca="1">VLOOKUP(BI5, BC5:BE13,3,FALSE)</f>
        <v>#N/A</v>
      </c>
      <c r="BK5" s="115" t="e">
        <f ca="1">VLOOKUP(BJ5,AY5:AZ13,2,FALSE)</f>
        <v>#N/A</v>
      </c>
      <c r="BL5" s="115" t="e">
        <f ca="1">VLOOKUP(BK5, AZ5:BA13,2,FALSE)</f>
        <v>#N/A</v>
      </c>
      <c r="BM5" s="115" t="e">
        <f ca="1">VLOOKUP(BK5, AZ5:BD13, 5, FALSE)</f>
        <v>#N/A</v>
      </c>
      <c r="BN5" s="113">
        <f ca="1">IF(BN14=1, VLOOKUP(AC19, FE18:FF26,2, FALSE), 0)</f>
        <v>4</v>
      </c>
      <c r="BO5" s="116">
        <f ca="1">IF(ISNA(HLOOKUP(BN5, FF18:FM27, 10, FALSE)),0,HLOOKUP(BN5, FF18:FM27, 10, FALSE))</f>
        <v>3</v>
      </c>
      <c r="BP5" s="110">
        <f ca="1">HLOOKUP(BO14, FF17:FM26,2,FALSE)</f>
        <v>4</v>
      </c>
      <c r="BQ5" s="115" t="str">
        <f ca="1">VLOOKUP(BP5, AV5:BB13, 7,FALSE)</f>
        <v>杜</v>
      </c>
      <c r="BR5" s="98" t="e">
        <f t="shared" ref="BR5:BR13" ca="1" si="4">BK5</f>
        <v>#N/A</v>
      </c>
      <c r="BS5" s="97">
        <f ca="1">IF(IF(BQ5=AC19, VLOOKUP(IF(Y11="甲", W12,Y11),CX4:CY12,2,FALSE), 0)=BJ9, AY6, IF(BQ5=AC19, VLOOKUP(IF(Y11="甲", W12,Y11),CX4:CY12,2,FALSE), 0))</f>
        <v>3</v>
      </c>
      <c r="BT5" s="97" t="e">
        <f ca="1">IF(BS5&lt;&gt;0, HLOOKUP(BK14, FF18:FM27, 10, FALSE),0)</f>
        <v>#N/A</v>
      </c>
      <c r="BU5" s="97" t="e">
        <f ca="1">IF(BK14=5, BY36, HLOOKUP(BT14,FF17:FM26,2,FALSE))</f>
        <v>#N/A</v>
      </c>
      <c r="BV5" s="97" t="e">
        <f ca="1">IF(BK14=5, VLOOKUP(AV5, BY36:BZ44, 2, FALSE), VLOOKUP(BU5, AV5:BJ13, 15, FALSE))</f>
        <v>#N/A</v>
      </c>
      <c r="BW5" s="115" t="e">
        <f ca="1">IF(BK14=5,VLOOKUP(BV5,AV5:BK13,16,FALSE),VLOOKUP(BV5,AY5:AZ13,2,FALSE))</f>
        <v>#N/A</v>
      </c>
      <c r="BX5" s="113">
        <v>0</v>
      </c>
      <c r="BY5" s="113">
        <v>6</v>
      </c>
      <c r="BZ5" s="113">
        <f ca="1">IF(MOD(BX9+BY5-1,9)=0, 9, MOD(BX9+BY5-1,9))</f>
        <v>8</v>
      </c>
      <c r="CA5" s="115" t="e">
        <f ca="1">VLOOKUP(BZ5, AY5:AZ13, 2, FALSE)</f>
        <v>#N/A</v>
      </c>
      <c r="CB5" s="113">
        <f ca="1">IF(AZ5=IF(Y11="甲", AC17, Y11),-1,0)</f>
        <v>0</v>
      </c>
      <c r="CC5" s="110">
        <f ca="1">HLOOKUP(CB14, EN17:EV26, 2, FALSE)</f>
        <v>-7</v>
      </c>
      <c r="CD5" s="114">
        <f ca="1">VLOOKUP(CC5, BC5:BE13,3,FALSE)</f>
        <v>-8</v>
      </c>
      <c r="CE5" s="115" t="str">
        <f ca="1">VLOOKUP(CD5,CW4:CX21,2,FALSE)</f>
        <v>丙</v>
      </c>
      <c r="CF5" s="115" t="str">
        <f ca="1">VLOOKUP(CE5, AZ5:BA13,2,FALSE)</f>
        <v>芮</v>
      </c>
      <c r="CG5" s="115" t="str">
        <f ca="1">VLOOKUP(CE5, AZ5:BD13, 5, FALSE)</f>
        <v>九</v>
      </c>
      <c r="CH5" s="113">
        <f ca="1">IF(CH14=1, VLOOKUP(AC19, FE18:FF26,2, FALSE), 0)</f>
        <v>0</v>
      </c>
      <c r="CI5" s="117">
        <f ca="1">IF(ISNA(HLOOKUP(CH5, FF18:FM27, 10, FALSE)),0,HLOOKUP(CH5, FF18:FM27, 10, FALSE))</f>
        <v>0</v>
      </c>
      <c r="CJ5" s="113">
        <f ca="1">HLOOKUP(CI14, FF17:FM26,2,FALSE)</f>
        <v>2</v>
      </c>
      <c r="CK5" s="115" t="str">
        <f ca="1">VLOOKUP(CJ5, AV5:BB13, 7,FALSE)</f>
        <v>死</v>
      </c>
      <c r="CL5" s="98" t="str">
        <f t="shared" ref="CL5:CL13" ca="1" si="5">CE5</f>
        <v>丙</v>
      </c>
      <c r="CM5" s="97">
        <f ca="1">IF(IF(CK5=AC19, VLOOKUP(IF(Y11="甲", W12,Y11),CX13:CY21,2,FALSE), 0)=CD9, AY6, IF(CK5=AC19, VLOOKUP(IF(Y11="甲", W12,Y11),CX13:CY21,2,FALSE), 0))</f>
        <v>0</v>
      </c>
      <c r="CN5" s="426">
        <f ca="1">IF(CM5&lt;&gt;0, HLOOKUP(CE14, FF18:FM27, 10, FALSE),0)</f>
        <v>0</v>
      </c>
      <c r="CO5" s="97">
        <f ca="1">IF(CE14=5,CS36,HLOOKUP(CN14,FF17:FM26,2,FALSE))</f>
        <v>4</v>
      </c>
      <c r="CP5" s="97">
        <f ca="1">IF(CE14=5,VLOOKUP(AV5,CS36:CT44,2,FALSE),VLOOKUP(CO5,AV5:CD13,35,FALSE))</f>
        <v>-9</v>
      </c>
      <c r="CQ5" s="115" t="str">
        <f ca="1">IF(CE14=5,VLOOKUP(CP5,AV5:CE13,36,FALSE),VLOOKUP(CP5,CW13:CX21,2,FALSE))</f>
        <v>乙</v>
      </c>
      <c r="CR5" s="113">
        <v>0</v>
      </c>
      <c r="CS5" s="113">
        <v>-5</v>
      </c>
      <c r="CT5" s="113">
        <f ca="1">IF(MOD(CR9+CS5+1,-9)=0, -9, MOD(CR9+CS5+1,-9))</f>
        <v>-1</v>
      </c>
      <c r="CU5" s="115" t="str">
        <f ca="1">VLOOKUP(CT5, AY5:AZ13, 2, FALSE)</f>
        <v>戊</v>
      </c>
      <c r="CW5" s="87">
        <v>2</v>
      </c>
      <c r="CX5" s="97" t="s">
        <v>666</v>
      </c>
      <c r="CY5" s="87">
        <v>2</v>
      </c>
      <c r="CZ5" s="67"/>
      <c r="DA5" s="94">
        <v>2</v>
      </c>
      <c r="DB5" s="94" t="s">
        <v>702</v>
      </c>
      <c r="DC5" s="94" t="s">
        <v>16</v>
      </c>
      <c r="DD5" s="94" t="s">
        <v>15</v>
      </c>
      <c r="DE5" s="94" t="s">
        <v>25</v>
      </c>
      <c r="DF5" s="94">
        <v>2</v>
      </c>
      <c r="DG5" s="99" t="s">
        <v>703</v>
      </c>
      <c r="DH5" s="100">
        <v>1865</v>
      </c>
      <c r="DI5" s="101">
        <v>12</v>
      </c>
      <c r="DJ5" s="94" t="s">
        <v>15</v>
      </c>
      <c r="DK5" s="102">
        <v>8.3333333333333329E-2</v>
      </c>
      <c r="DL5" s="94" t="s">
        <v>702</v>
      </c>
      <c r="DM5" s="69"/>
      <c r="DN5" s="103">
        <f ca="1">Last_Yr!E20</f>
        <v>45282.477309463546</v>
      </c>
      <c r="DO5" s="94" t="str">
        <f ca="1">"冬至"&amp;(Program!AA4-1)</f>
        <v>冬至2023</v>
      </c>
      <c r="DP5" s="146">
        <f ca="1">DN6</f>
        <v>45297.200880481396</v>
      </c>
      <c r="DQ5" s="94" t="s">
        <v>12</v>
      </c>
      <c r="DR5" s="87" t="s">
        <v>683</v>
      </c>
      <c r="DS5" s="69"/>
      <c r="DT5" s="104" t="str">
        <f ca="1">IF(AND(TIME(I2,K2,0)&gt;=TIME(1,0,0),TIME(I2,K2,0)&lt;TIME(3,0,0)),"Yes","No")</f>
        <v>No</v>
      </c>
      <c r="DU5" s="100" t="s">
        <v>703</v>
      </c>
      <c r="DV5" s="94" t="s">
        <v>15</v>
      </c>
      <c r="DW5" s="69"/>
      <c r="DX5" s="87">
        <v>1</v>
      </c>
      <c r="DY5" s="87" t="s">
        <v>649</v>
      </c>
      <c r="DZ5" s="105" t="s">
        <v>650</v>
      </c>
      <c r="EA5" s="111">
        <f ca="1">IF(AV5-AB15&gt;=0,AV5-AB15+1,EA13+1)</f>
        <v>2</v>
      </c>
      <c r="EB5" s="97">
        <f t="shared" ref="EB5:EJ5" ca="1" si="6">EA5+9</f>
        <v>11</v>
      </c>
      <c r="EC5" s="97">
        <f t="shared" ca="1" si="6"/>
        <v>20</v>
      </c>
      <c r="ED5" s="97">
        <f t="shared" ca="1" si="6"/>
        <v>29</v>
      </c>
      <c r="EE5" s="97">
        <f t="shared" ca="1" si="6"/>
        <v>38</v>
      </c>
      <c r="EF5" s="97">
        <f t="shared" ca="1" si="6"/>
        <v>47</v>
      </c>
      <c r="EG5" s="97">
        <f t="shared" ca="1" si="6"/>
        <v>56</v>
      </c>
      <c r="EH5" s="97">
        <f t="shared" ca="1" si="6"/>
        <v>65</v>
      </c>
      <c r="EI5" s="97">
        <f t="shared" ca="1" si="6"/>
        <v>74</v>
      </c>
      <c r="EJ5" s="97">
        <f t="shared" ca="1" si="6"/>
        <v>83</v>
      </c>
      <c r="EK5" s="111">
        <f ca="1">IF(AV5-AB15=0, -1, EK6-1)</f>
        <v>-9</v>
      </c>
      <c r="EL5" s="97">
        <f t="shared" ref="EL5:ET5" ca="1" si="7">EK5-9</f>
        <v>-18</v>
      </c>
      <c r="EM5" s="97">
        <f t="shared" ca="1" si="7"/>
        <v>-27</v>
      </c>
      <c r="EN5" s="97">
        <f t="shared" ca="1" si="7"/>
        <v>-36</v>
      </c>
      <c r="EO5" s="97">
        <f t="shared" ca="1" si="7"/>
        <v>-45</v>
      </c>
      <c r="EP5" s="97">
        <f t="shared" ca="1" si="7"/>
        <v>-54</v>
      </c>
      <c r="EQ5" s="97">
        <f t="shared" ca="1" si="7"/>
        <v>-63</v>
      </c>
      <c r="ER5" s="97">
        <f t="shared" ca="1" si="7"/>
        <v>-72</v>
      </c>
      <c r="ES5" s="97">
        <f t="shared" ca="1" si="7"/>
        <v>-81</v>
      </c>
      <c r="ET5" s="97">
        <f t="shared" ca="1" si="7"/>
        <v>-90</v>
      </c>
      <c r="EU5" s="71"/>
      <c r="EX5" s="87">
        <v>1</v>
      </c>
      <c r="EY5" s="87" t="s">
        <v>649</v>
      </c>
      <c r="EZ5" s="87" t="s">
        <v>650</v>
      </c>
      <c r="FA5" s="87">
        <f t="shared" ref="FA5:FH5" si="8">FB5-1</f>
        <v>1</v>
      </c>
      <c r="FB5" s="87">
        <f t="shared" si="8"/>
        <v>2</v>
      </c>
      <c r="FC5" s="87">
        <f t="shared" si="8"/>
        <v>3</v>
      </c>
      <c r="FD5" s="87">
        <f t="shared" si="8"/>
        <v>4</v>
      </c>
      <c r="FE5" s="87">
        <f t="shared" si="8"/>
        <v>5</v>
      </c>
      <c r="FF5" s="87">
        <f t="shared" si="8"/>
        <v>6</v>
      </c>
      <c r="FG5" s="87">
        <f t="shared" si="8"/>
        <v>7</v>
      </c>
      <c r="FH5" s="87">
        <f t="shared" si="8"/>
        <v>8</v>
      </c>
      <c r="FI5" s="87">
        <v>9</v>
      </c>
      <c r="FJ5" s="87">
        <v>1</v>
      </c>
      <c r="FK5" s="87">
        <f t="shared" ref="FK5:FQ6" si="9">FJ5+1</f>
        <v>2</v>
      </c>
      <c r="FL5" s="87">
        <f t="shared" si="9"/>
        <v>3</v>
      </c>
      <c r="FM5" s="87">
        <f t="shared" si="9"/>
        <v>4</v>
      </c>
      <c r="FN5" s="87">
        <f t="shared" si="9"/>
        <v>5</v>
      </c>
      <c r="FO5" s="87">
        <f t="shared" si="9"/>
        <v>6</v>
      </c>
      <c r="FP5" s="87">
        <f t="shared" si="9"/>
        <v>7</v>
      </c>
      <c r="FQ5" s="87">
        <f t="shared" si="9"/>
        <v>8</v>
      </c>
      <c r="FR5" s="87">
        <f>FP5+1</f>
        <v>8</v>
      </c>
      <c r="FS5" s="87">
        <f>FQ5+1</f>
        <v>9</v>
      </c>
      <c r="FU5" s="87">
        <v>1</v>
      </c>
      <c r="FV5" s="87" t="s">
        <v>649</v>
      </c>
      <c r="FW5" s="87" t="s">
        <v>650</v>
      </c>
      <c r="FX5" s="87">
        <v>1</v>
      </c>
      <c r="FY5" s="87">
        <v>6</v>
      </c>
      <c r="FZ5" s="87">
        <v>7</v>
      </c>
      <c r="GA5" s="87">
        <v>2</v>
      </c>
      <c r="GB5" s="87">
        <v>9</v>
      </c>
      <c r="GC5" s="87">
        <v>4</v>
      </c>
      <c r="GD5" s="87">
        <v>3</v>
      </c>
      <c r="GE5" s="87">
        <v>8</v>
      </c>
      <c r="GF5" s="87">
        <v>8</v>
      </c>
      <c r="GG5" s="87">
        <v>3</v>
      </c>
      <c r="GH5" s="87">
        <v>4</v>
      </c>
      <c r="GI5" s="87">
        <v>9</v>
      </c>
      <c r="GJ5" s="87">
        <v>2</v>
      </c>
      <c r="GK5" s="87">
        <v>7</v>
      </c>
      <c r="GL5" s="87">
        <v>6</v>
      </c>
    </row>
    <row r="6" spans="1:241" ht="7.35" customHeight="1" x14ac:dyDescent="0.1">
      <c r="A6" s="88"/>
      <c r="B6" s="452" t="s">
        <v>690</v>
      </c>
      <c r="C6" s="452"/>
      <c r="D6" s="452"/>
      <c r="E6" s="452"/>
      <c r="F6" s="367" t="str">
        <f ca="1">AR17</f>
        <v>否</v>
      </c>
      <c r="G6" s="367"/>
      <c r="H6" s="452" t="s">
        <v>698</v>
      </c>
      <c r="I6" s="452"/>
      <c r="J6" s="383">
        <f>Mirror!J6</f>
        <v>0</v>
      </c>
      <c r="K6" s="367"/>
      <c r="L6" s="452" t="s">
        <v>699</v>
      </c>
      <c r="M6" s="452"/>
      <c r="N6" s="383">
        <f>Mirror!N6</f>
        <v>0</v>
      </c>
      <c r="O6" s="365"/>
      <c r="P6" s="65"/>
      <c r="T6" s="81"/>
      <c r="U6" s="72"/>
      <c r="W6" s="67" t="str">
        <f ca="1">CONCATENATE(Y6,Z6)</f>
        <v>壬申</v>
      </c>
      <c r="X6" s="67" t="s">
        <v>631</v>
      </c>
      <c r="Y6" s="90" t="str">
        <f ca="1">VLOOKUP(AC7, DA4:DC13, 3, FALSE)</f>
        <v>壬</v>
      </c>
      <c r="Z6" s="91" t="str">
        <f ca="1">VLOOKUP(AC6, DO4:DQ29, 3, FALSE)</f>
        <v>申</v>
      </c>
      <c r="AA6" s="118"/>
      <c r="AB6" s="92" t="s">
        <v>705</v>
      </c>
      <c r="AC6" s="119" t="str">
        <f ca="1">VLOOKUP((DATE(B2,E2,G2)+TIME(I2,K2,0)), DN4:DO29, 2, TRUE)</f>
        <v>處暑</v>
      </c>
      <c r="AG6" s="94">
        <f>HLOOKUP(AG3, FX4:GL13, 3, FALSE)</f>
        <v>2</v>
      </c>
      <c r="AH6" s="95">
        <v>2</v>
      </c>
      <c r="AI6" s="95" t="s">
        <v>653</v>
      </c>
      <c r="AJ6" s="95" t="s">
        <v>649</v>
      </c>
      <c r="AK6" s="95" t="str">
        <f t="shared" ca="1" si="1"/>
        <v>丙</v>
      </c>
      <c r="AL6" s="95" t="str">
        <f t="shared" ca="1" si="2"/>
        <v>九</v>
      </c>
      <c r="AM6" s="95" t="str">
        <f ca="1">IF(AC14="阳遁", BK6,CE6)</f>
        <v>丁</v>
      </c>
      <c r="AN6" s="95" t="str">
        <f ca="1">IF(AC14="阳遁", BL6,CF6)</f>
        <v>冲</v>
      </c>
      <c r="AO6" s="95" t="str">
        <f ca="1">IF(AC14="阳遁", BM6,CG6)</f>
        <v>蛇</v>
      </c>
      <c r="AP6" s="95" t="str">
        <f ca="1">IF(AC14="阳遁", BQ6,CK6)</f>
        <v>伤</v>
      </c>
      <c r="AQ6" s="109" t="str">
        <f ca="1">IF(AC14="阳遁", BW6, CQ6)</f>
        <v>丙</v>
      </c>
      <c r="AR6" s="109" t="str">
        <f ca="1">IF(AC14="阳遁", CA6, CU6)</f>
        <v>乙</v>
      </c>
      <c r="AS6" s="94" t="str">
        <f ca="1">IF(AR17="是", AR6, AQ6)</f>
        <v>丙</v>
      </c>
      <c r="AT6" s="250" t="str">
        <f t="shared" ref="AT6:AT13" ca="1" si="10">AM6</f>
        <v>丁</v>
      </c>
      <c r="AU6" s="69"/>
      <c r="AV6" s="87">
        <v>2</v>
      </c>
      <c r="AW6" s="87" t="s">
        <v>653</v>
      </c>
      <c r="AX6" s="87" t="s">
        <v>649</v>
      </c>
      <c r="AY6" s="110">
        <f ca="1">IF(AC14="阳遁", EA6,EK6)</f>
        <v>-8</v>
      </c>
      <c r="AZ6" s="111" t="str">
        <f ca="1">VLOOKUP(AY6,CW4:CX21,2,FALSE)</f>
        <v>丙</v>
      </c>
      <c r="BA6" s="87" t="s">
        <v>667</v>
      </c>
      <c r="BB6" s="87" t="s">
        <v>668</v>
      </c>
      <c r="BC6" s="110">
        <f ca="1">IF(AC14="阳遁", EB19, ED19)</f>
        <v>-7</v>
      </c>
      <c r="BD6" s="112" t="str">
        <f ca="1">VLOOKUP(BC6, EX17:EY33, 2, FALSE)</f>
        <v>九</v>
      </c>
      <c r="BE6" s="110">
        <f t="shared" ca="1" si="3"/>
        <v>-8</v>
      </c>
      <c r="BF6" s="113">
        <f ca="1">IF(AZ6=IF(Y11="甲", AC17, Y11),1,0)</f>
        <v>0</v>
      </c>
      <c r="BG6" s="110">
        <f ca="1">HLOOKUP(BF14, EE17:EM26, 3, FALSE)</f>
        <v>8</v>
      </c>
      <c r="BH6" s="113">
        <f ca="1">IF(Y11="甲",  IF(AZ6=W12,1,0), IF(AZ6=Y11,1,0))</f>
        <v>0</v>
      </c>
      <c r="BI6" s="110">
        <f ca="1">HLOOKUP(BH14, EE17:EM26, 3, FALSE)</f>
        <v>8</v>
      </c>
      <c r="BJ6" s="114" t="e">
        <f ca="1">VLOOKUP(BI6, BC5:BE13,3,FALSE)</f>
        <v>#N/A</v>
      </c>
      <c r="BK6" s="115" t="e">
        <f ca="1">VLOOKUP(BJ6,AY5:AZ13,2,FALSE)</f>
        <v>#N/A</v>
      </c>
      <c r="BL6" s="115" t="e">
        <f ca="1">VLOOKUP(BK6, AZ5:BA13,2,FALSE)</f>
        <v>#N/A</v>
      </c>
      <c r="BM6" s="115" t="e">
        <f ca="1">VLOOKUP(BK6, AZ5:BD13, 5, FALSE)</f>
        <v>#N/A</v>
      </c>
      <c r="BN6" s="113">
        <f ca="1">IF(BN14=2, VLOOKUP(AC19, FE18:FF26,2, FALSE), 0)</f>
        <v>0</v>
      </c>
      <c r="BO6" s="110">
        <f ca="1">IF(ISNA(HLOOKUP(BN6, FF19:FM27, 9, FALSE)),0,HLOOKUP(BN6, FF19:FM27, 9, FALSE))</f>
        <v>0</v>
      </c>
      <c r="BP6" s="110">
        <f ca="1">HLOOKUP(BO14, FF17:FM26,3,FALSE)</f>
        <v>1</v>
      </c>
      <c r="BQ6" s="115" t="str">
        <f ca="1">VLOOKUP(BP6, AV5:BB13, 7,FALSE)</f>
        <v>休</v>
      </c>
      <c r="BR6" s="98" t="e">
        <f t="shared" ca="1" si="4"/>
        <v>#N/A</v>
      </c>
      <c r="BS6" s="97">
        <f ca="1">IF(IF(BQ6=AC19, VLOOKUP(IF(Y11="甲", W12,Y11),CX4:CY12,2,FALSE), 0)=BJ9,AY6,IF(BQ6=AC19, VLOOKUP(IF(Y11="甲", W12,Y11),CX4:CY12,2,FALSE), 0))</f>
        <v>0</v>
      </c>
      <c r="BT6" s="97">
        <f ca="1">IF(BS6&lt;&gt;0, HLOOKUP(BK14, FF19:FM27, 9, FALSE),0)</f>
        <v>0</v>
      </c>
      <c r="BU6" s="97" t="e">
        <f ca="1">IF(BK14=5,BY37,HLOOKUP(BT14,FF17:FM26,3,FALSE))</f>
        <v>#N/A</v>
      </c>
      <c r="BV6" s="97" t="e">
        <f ca="1">IF(BK14=5,VLOOKUP(AV6, BY36:BZ44, 2, FALSE),VLOOKUP(BU6,AV5:BJ13,15,FALSE))</f>
        <v>#N/A</v>
      </c>
      <c r="BW6" s="115" t="e">
        <f ca="1">IF(BK14=5,VLOOKUP(BV6,AV5:BK13,16,FALSE),VLOOKUP(BV6,AY5:AZ13,2,FALSE))</f>
        <v>#N/A</v>
      </c>
      <c r="BX6" s="113">
        <v>0</v>
      </c>
      <c r="BY6" s="113">
        <v>7</v>
      </c>
      <c r="BZ6" s="113">
        <f ca="1">IF(MOD(BX9+BY6-1,9)=0, 9, MOD(BX9+BY6-1,9))</f>
        <v>9</v>
      </c>
      <c r="CA6" s="115" t="e">
        <f ca="1">VLOOKUP(BZ6, AY5:AZ13, 2, FALSE)</f>
        <v>#N/A</v>
      </c>
      <c r="CB6" s="113">
        <f ca="1">IF(AZ6=IF(Y11="甲", AC17, Y11),-1,0)</f>
        <v>0</v>
      </c>
      <c r="CC6" s="110">
        <f ca="1">HLOOKUP(CB14, EN17:EV26, 3, FALSE)</f>
        <v>-2</v>
      </c>
      <c r="CD6" s="114">
        <f ca="1">VLOOKUP(CC6, BC5:BE13,3,FALSE)</f>
        <v>-7</v>
      </c>
      <c r="CE6" s="115" t="str">
        <f ca="1">VLOOKUP(CD6,CW4:CX21,2,FALSE)</f>
        <v>丁</v>
      </c>
      <c r="CF6" s="115" t="str">
        <f ca="1">VLOOKUP(CE6, AZ5:BA13,2,FALSE)</f>
        <v>冲</v>
      </c>
      <c r="CG6" s="115" t="str">
        <f ca="1">VLOOKUP(CE6, AZ5:BD13, 5, FALSE)</f>
        <v>蛇</v>
      </c>
      <c r="CH6" s="113">
        <f ca="1">IF(CH14=2, VLOOKUP(AC19, FE18:FF26,2, FALSE), 0)</f>
        <v>0</v>
      </c>
      <c r="CI6" s="113">
        <f ca="1">IF(ISNA(HLOOKUP(CH6, FF19:FM27, 9, FALSE)),0,HLOOKUP(CH6, FF19:FM27, 9, FALSE))</f>
        <v>0</v>
      </c>
      <c r="CJ6" s="113">
        <f ca="1">HLOOKUP(CI14, FF17:FM26,3,FALSE)</f>
        <v>3</v>
      </c>
      <c r="CK6" s="115" t="str">
        <f ca="1">VLOOKUP(CJ6, AV5:BB13, 7,FALSE)</f>
        <v>伤</v>
      </c>
      <c r="CL6" s="98" t="str">
        <f t="shared" ca="1" si="5"/>
        <v>丁</v>
      </c>
      <c r="CM6" s="97">
        <f ca="1">IF(IF(CK6=AC19, VLOOKUP(IF(Y11="甲", W12,Y11),CX13:CY21,2,FALSE), 0)=CD9, AY6, IF(CK6=AC19, VLOOKUP(IF(Y11="甲", W12,Y11),CX13:CY21,2,FALSE), 0))</f>
        <v>0</v>
      </c>
      <c r="CN6" s="426">
        <f ca="1">IF(CM6&lt;&gt;0, HLOOKUP(CE14, FF19:FM27, 9, FALSE),0)</f>
        <v>0</v>
      </c>
      <c r="CO6" s="97">
        <f ca="1">IF(CE14=5,CS37,HLOOKUP(CN14,FF17:FM26,3,FALSE))</f>
        <v>1</v>
      </c>
      <c r="CP6" s="97">
        <f ca="1">IF(CE14=5,VLOOKUP(AV6,CS36:CT44,2,FALSE),VLOOKUP(CO6,AV5:CD13,35,FALSE))</f>
        <v>-8</v>
      </c>
      <c r="CQ6" s="115" t="str">
        <f ca="1">IF(CE14=5,VLOOKUP(CP6,AV5:CE13,36,FALSE),VLOOKUP(CP6,CW13:CX21,2,FALSE))</f>
        <v>丙</v>
      </c>
      <c r="CR6" s="113">
        <v>0</v>
      </c>
      <c r="CS6" s="113">
        <v>-4</v>
      </c>
      <c r="CT6" s="113">
        <f ca="1">IF(MOD(CR9+CS6+1,-9)=0, -9, MOD(CR9+CS6+1,-9))</f>
        <v>-9</v>
      </c>
      <c r="CU6" s="115" t="str">
        <f ca="1">VLOOKUP(CT6, AY5:AZ13, 2, FALSE)</f>
        <v>乙</v>
      </c>
      <c r="CW6" s="87">
        <v>3</v>
      </c>
      <c r="CX6" s="97" t="s">
        <v>31</v>
      </c>
      <c r="CY6" s="87">
        <v>3</v>
      </c>
      <c r="CZ6" s="67"/>
      <c r="DA6" s="94">
        <v>3</v>
      </c>
      <c r="DB6" s="94" t="s">
        <v>707</v>
      </c>
      <c r="DC6" s="94" t="s">
        <v>19</v>
      </c>
      <c r="DD6" s="94" t="s">
        <v>18</v>
      </c>
      <c r="DE6" s="94" t="s">
        <v>25</v>
      </c>
      <c r="DF6" s="94">
        <v>3</v>
      </c>
      <c r="DG6" s="99" t="s">
        <v>708</v>
      </c>
      <c r="DH6" s="100">
        <v>1866</v>
      </c>
      <c r="DI6" s="101">
        <v>1</v>
      </c>
      <c r="DJ6" s="94" t="s">
        <v>18</v>
      </c>
      <c r="DK6" s="102">
        <v>0.16666666666666666</v>
      </c>
      <c r="DL6" s="94" t="s">
        <v>707</v>
      </c>
      <c r="DM6" s="69"/>
      <c r="DN6" s="103">
        <f ca="1">Last_Yr!E21</f>
        <v>45297.200880481396</v>
      </c>
      <c r="DO6" s="94" t="s">
        <v>36</v>
      </c>
      <c r="DP6" s="146">
        <f t="shared" ref="DP6:DP33" ca="1" si="11">DN7</f>
        <v>45311.921831501648</v>
      </c>
      <c r="DQ6" s="94" t="s">
        <v>15</v>
      </c>
      <c r="DR6" s="87" t="s">
        <v>683</v>
      </c>
      <c r="DS6" s="69"/>
      <c r="DT6" s="104" t="str">
        <f ca="1">IF(AND(TIME(I2,K2,0)&gt;=TIME(3,0,0),TIME(I2,K2,0)&lt;TIME(5,0,0)),"Yes","No")</f>
        <v>No</v>
      </c>
      <c r="DU6" s="100" t="s">
        <v>708</v>
      </c>
      <c r="DV6" s="94" t="s">
        <v>18</v>
      </c>
      <c r="DW6" s="69"/>
      <c r="DX6" s="87">
        <v>2</v>
      </c>
      <c r="DY6" s="87" t="s">
        <v>653</v>
      </c>
      <c r="DZ6" s="105" t="s">
        <v>649</v>
      </c>
      <c r="EA6" s="111">
        <f ca="1">IF(AV6-AB15&gt;=0,AV6-AB15+1,EA5+1)</f>
        <v>3</v>
      </c>
      <c r="EB6" s="97">
        <f t="shared" ref="EB6:EJ6" ca="1" si="12">EA6+9</f>
        <v>12</v>
      </c>
      <c r="EC6" s="97">
        <f t="shared" ca="1" si="12"/>
        <v>21</v>
      </c>
      <c r="ED6" s="97">
        <f t="shared" ca="1" si="12"/>
        <v>30</v>
      </c>
      <c r="EE6" s="97">
        <f t="shared" ca="1" si="12"/>
        <v>39</v>
      </c>
      <c r="EF6" s="97">
        <f t="shared" ca="1" si="12"/>
        <v>48</v>
      </c>
      <c r="EG6" s="97">
        <f t="shared" ca="1" si="12"/>
        <v>57</v>
      </c>
      <c r="EH6" s="97">
        <f t="shared" ca="1" si="12"/>
        <v>66</v>
      </c>
      <c r="EI6" s="97">
        <f t="shared" ca="1" si="12"/>
        <v>75</v>
      </c>
      <c r="EJ6" s="97">
        <f t="shared" ca="1" si="12"/>
        <v>84</v>
      </c>
      <c r="EK6" s="111">
        <f ca="1">IF(AV6-AB15=0, -1, EK7-1)</f>
        <v>-8</v>
      </c>
      <c r="EL6" s="97">
        <f t="shared" ref="EL6:ET6" ca="1" si="13">EK6-9</f>
        <v>-17</v>
      </c>
      <c r="EM6" s="97">
        <f t="shared" ca="1" si="13"/>
        <v>-26</v>
      </c>
      <c r="EN6" s="97">
        <f t="shared" ca="1" si="13"/>
        <v>-35</v>
      </c>
      <c r="EO6" s="97">
        <f t="shared" ca="1" si="13"/>
        <v>-44</v>
      </c>
      <c r="EP6" s="97">
        <f t="shared" ca="1" si="13"/>
        <v>-53</v>
      </c>
      <c r="EQ6" s="97">
        <f t="shared" ca="1" si="13"/>
        <v>-62</v>
      </c>
      <c r="ER6" s="97">
        <f t="shared" ca="1" si="13"/>
        <v>-71</v>
      </c>
      <c r="ES6" s="97">
        <f t="shared" ca="1" si="13"/>
        <v>-80</v>
      </c>
      <c r="ET6" s="97">
        <f t="shared" ca="1" si="13"/>
        <v>-89</v>
      </c>
      <c r="EU6" s="71"/>
      <c r="EX6" s="87">
        <v>2</v>
      </c>
      <c r="EY6" s="87" t="s">
        <v>653</v>
      </c>
      <c r="EZ6" s="87" t="s">
        <v>649</v>
      </c>
      <c r="FA6" s="87">
        <f t="shared" ref="FA6:FG6" si="14">FB6-1</f>
        <v>2</v>
      </c>
      <c r="FB6" s="87">
        <f t="shared" si="14"/>
        <v>3</v>
      </c>
      <c r="FC6" s="87">
        <f t="shared" si="14"/>
        <v>4</v>
      </c>
      <c r="FD6" s="87">
        <f t="shared" si="14"/>
        <v>5</v>
      </c>
      <c r="FE6" s="87">
        <f t="shared" si="14"/>
        <v>6</v>
      </c>
      <c r="FF6" s="87">
        <f t="shared" si="14"/>
        <v>7</v>
      </c>
      <c r="FG6" s="87">
        <f t="shared" si="14"/>
        <v>8</v>
      </c>
      <c r="FH6" s="87">
        <v>9</v>
      </c>
      <c r="FI6" s="87">
        <f t="shared" ref="FI6:FI13" si="15">FJ6-1</f>
        <v>1</v>
      </c>
      <c r="FJ6" s="87">
        <v>2</v>
      </c>
      <c r="FK6" s="87">
        <f t="shared" si="9"/>
        <v>3</v>
      </c>
      <c r="FL6" s="87">
        <f t="shared" si="9"/>
        <v>4</v>
      </c>
      <c r="FM6" s="87">
        <f t="shared" si="9"/>
        <v>5</v>
      </c>
      <c r="FN6" s="87">
        <f t="shared" si="9"/>
        <v>6</v>
      </c>
      <c r="FO6" s="87">
        <f t="shared" si="9"/>
        <v>7</v>
      </c>
      <c r="FP6" s="87">
        <f t="shared" si="9"/>
        <v>8</v>
      </c>
      <c r="FQ6" s="87">
        <f t="shared" si="9"/>
        <v>9</v>
      </c>
      <c r="FR6" s="87">
        <v>1</v>
      </c>
      <c r="FS6" s="87">
        <f t="shared" ref="FS6:FS13" si="16">FR6+1</f>
        <v>2</v>
      </c>
      <c r="FU6" s="87">
        <v>2</v>
      </c>
      <c r="FV6" s="87" t="s">
        <v>653</v>
      </c>
      <c r="FW6" s="87" t="s">
        <v>649</v>
      </c>
      <c r="FX6" s="87">
        <v>2</v>
      </c>
      <c r="FY6" s="87">
        <v>9</v>
      </c>
      <c r="FZ6" s="87">
        <v>4</v>
      </c>
      <c r="GA6" s="87">
        <v>3</v>
      </c>
      <c r="GB6" s="87">
        <v>8</v>
      </c>
      <c r="GC6" s="87">
        <v>1</v>
      </c>
      <c r="GD6" s="87">
        <v>6</v>
      </c>
      <c r="GE6" s="87">
        <v>7</v>
      </c>
      <c r="GF6" s="87">
        <v>7</v>
      </c>
      <c r="GG6" s="87">
        <v>6</v>
      </c>
      <c r="GH6" s="87">
        <v>1</v>
      </c>
      <c r="GI6" s="87">
        <v>8</v>
      </c>
      <c r="GJ6" s="87">
        <v>3</v>
      </c>
      <c r="GK6" s="87">
        <v>4</v>
      </c>
      <c r="GL6" s="87">
        <v>9</v>
      </c>
    </row>
    <row r="7" spans="1:241" ht="7.35" customHeight="1" x14ac:dyDescent="0.1">
      <c r="A7" s="88"/>
      <c r="B7" s="81"/>
      <c r="C7" s="81"/>
      <c r="D7" s="81"/>
      <c r="E7" s="81"/>
      <c r="F7" s="81"/>
      <c r="G7" s="81"/>
      <c r="H7" s="81"/>
      <c r="I7" s="81"/>
      <c r="J7" s="81"/>
      <c r="K7" s="81"/>
      <c r="L7" s="81"/>
      <c r="M7" s="81"/>
      <c r="N7" s="81"/>
      <c r="O7" s="81"/>
      <c r="P7" s="81"/>
      <c r="Q7" s="81"/>
      <c r="R7" s="81"/>
      <c r="S7" s="81"/>
      <c r="T7" s="81"/>
      <c r="U7" s="120"/>
      <c r="Y7" s="121"/>
      <c r="Z7" s="122"/>
      <c r="AA7" s="122"/>
      <c r="AB7" s="123" t="s">
        <v>688</v>
      </c>
      <c r="AC7" s="124">
        <f ca="1">IF( MOD((AC4*2)+AC8,10)=0, 10, MOD((AC4*2)+AC8,10))</f>
        <v>9</v>
      </c>
      <c r="AG7" s="94">
        <f>HLOOKUP(AG3, FX4:GL13, 4, FALSE)</f>
        <v>3</v>
      </c>
      <c r="AH7" s="95">
        <v>3</v>
      </c>
      <c r="AI7" s="95" t="s">
        <v>657</v>
      </c>
      <c r="AJ7" s="95" t="s">
        <v>658</v>
      </c>
      <c r="AK7" s="95" t="str">
        <f t="shared" ca="1" si="1"/>
        <v>丁</v>
      </c>
      <c r="AL7" s="95" t="str">
        <f t="shared" ca="1" si="2"/>
        <v>蛇</v>
      </c>
      <c r="AM7" s="95" t="str">
        <f ca="1">IF(AC14="阳遁", BK7,CE7)</f>
        <v>辛</v>
      </c>
      <c r="AN7" s="95" t="str">
        <f ca="1">IF(AC14="阳遁", BL7,CF7)</f>
        <v>心</v>
      </c>
      <c r="AO7" s="95" t="str">
        <f ca="1">IF(AC14="阳遁", BM7,CG7)</f>
        <v>虎</v>
      </c>
      <c r="AP7" s="95" t="str">
        <f ca="1">IF(AC14="阳遁", BQ7,CK7)</f>
        <v>开</v>
      </c>
      <c r="AQ7" s="109" t="str">
        <f ca="1">IF(AC14="阳遁", BW7, CQ7)</f>
        <v>丁</v>
      </c>
      <c r="AR7" s="109" t="str">
        <f ca="1">IF(AC14="阳遁", CA7, CU7)</f>
        <v>丙</v>
      </c>
      <c r="AS7" s="94" t="str">
        <f ca="1">IF(AR17="是", AR7, AQ7)</f>
        <v>丁</v>
      </c>
      <c r="AT7" s="250" t="str">
        <f t="shared" ca="1" si="10"/>
        <v>辛</v>
      </c>
      <c r="AU7" s="69"/>
      <c r="AV7" s="387">
        <v>3</v>
      </c>
      <c r="AW7" s="387" t="s">
        <v>657</v>
      </c>
      <c r="AX7" s="387" t="s">
        <v>658</v>
      </c>
      <c r="AY7" s="388">
        <f ca="1">IF(AC14="阳遁", EA7,EK7)</f>
        <v>-7</v>
      </c>
      <c r="AZ7" s="389" t="str">
        <f ca="1">VLOOKUP(AY7,CW4:CX21,2,FALSE)</f>
        <v>丁</v>
      </c>
      <c r="BA7" s="387" t="s">
        <v>654</v>
      </c>
      <c r="BB7" s="387" t="s">
        <v>655</v>
      </c>
      <c r="BC7" s="388">
        <f ca="1">IF(AC14="阳遁", EB20, ED20)</f>
        <v>-2</v>
      </c>
      <c r="BD7" s="399" t="str">
        <f ca="1">VLOOKUP(BC7, EX17:EY33, 2, FALSE)</f>
        <v>蛇</v>
      </c>
      <c r="BE7" s="388">
        <f t="shared" ca="1" si="3"/>
        <v>-7</v>
      </c>
      <c r="BF7" s="400">
        <f ca="1">IF(AZ7=IF(Y11="甲", AC17, Y11),1,0)</f>
        <v>0</v>
      </c>
      <c r="BG7" s="388">
        <f ca="1">HLOOKUP(BF14, EE17:EM26, 4, FALSE)</f>
        <v>5</v>
      </c>
      <c r="BH7" s="400">
        <f ca="1">IF(Y11="甲",  IF(AZ7=W12,1,0), IF(AZ7=Y11,1,0))</f>
        <v>0</v>
      </c>
      <c r="BI7" s="388">
        <f ca="1">HLOOKUP(BH14, EE17:EM26, 4, FALSE)</f>
        <v>5</v>
      </c>
      <c r="BJ7" s="403" t="e">
        <f ca="1">VLOOKUP(BI7, BC5:BE13,3,FALSE)</f>
        <v>#N/A</v>
      </c>
      <c r="BK7" s="404" t="e">
        <f ca="1">VLOOKUP(BJ7,AY5:AZ13,2,FALSE)</f>
        <v>#N/A</v>
      </c>
      <c r="BL7" s="404" t="e">
        <f ca="1">VLOOKUP(BK7, AZ5:BA13,2,FALSE)</f>
        <v>#N/A</v>
      </c>
      <c r="BM7" s="404" t="e">
        <f ca="1">VLOOKUP(BK7, AZ5:BD13, 5, FALSE)</f>
        <v>#N/A</v>
      </c>
      <c r="BN7" s="113">
        <f ca="1">IF(BN14=3, VLOOKUP(AC19, FE18:FF26,2, FALSE), 0)</f>
        <v>0</v>
      </c>
      <c r="BO7" s="110">
        <f ca="1">IF(ISNA(HLOOKUP(BN7, FF20:FM27, 8, FALSE)),0,HLOOKUP(BN7, FF20:FM27, 8, FALSE))</f>
        <v>0</v>
      </c>
      <c r="BP7" s="110">
        <f ca="1">HLOOKUP(BO14, FF17:FM26,4,FALSE)</f>
        <v>2</v>
      </c>
      <c r="BQ7" s="115" t="str">
        <f ca="1">VLOOKUP(BP7, AV5:BB13, 7,FALSE)</f>
        <v>死</v>
      </c>
      <c r="BR7" s="98" t="e">
        <f t="shared" ca="1" si="4"/>
        <v>#N/A</v>
      </c>
      <c r="BS7" s="97">
        <f ca="1">IF(IF(BQ7=AC19, VLOOKUP(IF(Y11="甲", W12,Y11),CX4:CY12,2,FALSE), 0)=BJ9, AY6, IF(BQ7=AC19, VLOOKUP(IF(Y11="甲", W12,Y11),CX4:CY12,2,FALSE), 0))</f>
        <v>0</v>
      </c>
      <c r="BT7" s="97">
        <f ca="1">IF(BS7&lt;&gt;0, HLOOKUP(BK14, FF20:FM27, 8, FALSE),0)</f>
        <v>0</v>
      </c>
      <c r="BU7" s="97" t="e">
        <f ca="1">IF(BK14=5,BY38,HLOOKUP(BT14,FF17:FM26,4,FALSE))</f>
        <v>#N/A</v>
      </c>
      <c r="BV7" s="97" t="e">
        <f ca="1">IF(BK14=5, VLOOKUP(AV7, BY36:BZ44, 2, FALSE),VLOOKUP(BU7,AV5:BJ13,15,FALSE))</f>
        <v>#N/A</v>
      </c>
      <c r="BW7" s="115" t="e">
        <f ca="1">IF(BK14=5,VLOOKUP(BV7,AV5:BK13,16,FALSE),VLOOKUP(BV7,AY5:AZ13,2,FALSE))</f>
        <v>#N/A</v>
      </c>
      <c r="BX7" s="113">
        <v>0</v>
      </c>
      <c r="BY7" s="113">
        <v>8</v>
      </c>
      <c r="BZ7" s="113">
        <f ca="1">IF(MOD(BX9+BY7-1,9)=0, 9, MOD(BX9+BY7-1,9))</f>
        <v>1</v>
      </c>
      <c r="CA7" s="115" t="e">
        <f ca="1">VLOOKUP(BZ7, AY5:AZ13, 2, FALSE)</f>
        <v>#N/A</v>
      </c>
      <c r="CB7" s="113">
        <f ca="1">IF(AZ7=IF(Y11="甲", AC17, Y11),-1,0)</f>
        <v>0</v>
      </c>
      <c r="CC7" s="110">
        <f ca="1">HLOOKUP(CB14, EN17:EV26, 4, FALSE)</f>
        <v>-5</v>
      </c>
      <c r="CD7" s="114">
        <f ca="1">VLOOKUP(CC7, BC5:BE13,3,FALSE)</f>
        <v>-4</v>
      </c>
      <c r="CE7" s="115" t="str">
        <f ca="1">VLOOKUP(CD7,CW4:CX21,2,FALSE)</f>
        <v>辛</v>
      </c>
      <c r="CF7" s="115" t="str">
        <f ca="1">VLOOKUP(CE7, AZ5:BA13,2,FALSE)</f>
        <v>心</v>
      </c>
      <c r="CG7" s="115" t="str">
        <f ca="1">VLOOKUP(CE7, AZ5:BD13, 5, FALSE)</f>
        <v>虎</v>
      </c>
      <c r="CH7" s="113">
        <f ca="1">IF(CH14=3, VLOOKUP(AC19, FE18:FF26,2, FALSE), 0)</f>
        <v>0</v>
      </c>
      <c r="CI7" s="113">
        <f ca="1">IF(ISNA(HLOOKUP(CH7, FF20:FM27, 8, FALSE)),0,HLOOKUP(CH7, FF20:FM27, 8, FALSE))</f>
        <v>0</v>
      </c>
      <c r="CJ7" s="113">
        <f ca="1">HLOOKUP(CI14, FF17:FM26,4,FALSE)</f>
        <v>6</v>
      </c>
      <c r="CK7" s="115" t="str">
        <f ca="1">VLOOKUP(CJ7, AV5:BB13, 7,FALSE)</f>
        <v>开</v>
      </c>
      <c r="CL7" s="98" t="str">
        <f t="shared" ca="1" si="5"/>
        <v>辛</v>
      </c>
      <c r="CM7" s="97">
        <f ca="1">IF(IF(CK7=AC19, VLOOKUP(IF(Y11="甲", W12,Y11),CX13:CY21,2,FALSE), 0)=CD9, AY6, IF(CK7=AC19, VLOOKUP(IF(Y11="甲", W12,Y11),CX13:CY21,2,FALSE), 0))</f>
        <v>0</v>
      </c>
      <c r="CN7" s="426">
        <f ca="1">IF(CM7&lt;&gt;0, HLOOKUP(CE14, FF20:FM27, 8, FALSE),0)</f>
        <v>0</v>
      </c>
      <c r="CO7" s="97">
        <f ca="1">IF(CE14=5,CS38,HLOOKUP(CN14,FF17:FM26,4,FALSE))</f>
        <v>2</v>
      </c>
      <c r="CP7" s="97">
        <f ca="1">IF(CE14=5,VLOOKUP(AV7,CS36:CT44,2,FALSE),VLOOKUP(CO7,AV5:CD13,35,FALSE))</f>
        <v>-7</v>
      </c>
      <c r="CQ7" s="115" t="str">
        <f ca="1">IF(CE14=5,VLOOKUP(CP7,AV5:CE13,36,FALSE),VLOOKUP(CP7,CW13:CX21,2,FALSE))</f>
        <v>丁</v>
      </c>
      <c r="CR7" s="113">
        <v>0</v>
      </c>
      <c r="CS7" s="113">
        <v>-3</v>
      </c>
      <c r="CT7" s="113">
        <f ca="1">IF(MOD(CR9+CS7+1,-9)=0, -9, MOD(CR9+CS7+1,-9))</f>
        <v>-8</v>
      </c>
      <c r="CU7" s="115" t="str">
        <f ca="1">VLOOKUP(CT7, AY5:AZ13, 2, FALSE)</f>
        <v>丙</v>
      </c>
      <c r="CW7" s="87">
        <v>4</v>
      </c>
      <c r="CX7" s="97" t="s">
        <v>4</v>
      </c>
      <c r="CY7" s="87">
        <v>4</v>
      </c>
      <c r="CZ7" s="67"/>
      <c r="DA7" s="94">
        <v>4</v>
      </c>
      <c r="DB7" s="94" t="s">
        <v>710</v>
      </c>
      <c r="DC7" s="94" t="s">
        <v>22</v>
      </c>
      <c r="DD7" s="94" t="s">
        <v>21</v>
      </c>
      <c r="DE7" s="94" t="s">
        <v>25</v>
      </c>
      <c r="DF7" s="94">
        <v>4</v>
      </c>
      <c r="DG7" s="99" t="s">
        <v>711</v>
      </c>
      <c r="DH7" s="100">
        <v>1867</v>
      </c>
      <c r="DI7" s="101">
        <v>2</v>
      </c>
      <c r="DJ7" s="94" t="s">
        <v>21</v>
      </c>
      <c r="DK7" s="102">
        <v>0.25</v>
      </c>
      <c r="DL7" s="94" t="s">
        <v>710</v>
      </c>
      <c r="DM7" s="69"/>
      <c r="DN7" s="103">
        <f ca="1">Last_Yr!E22</f>
        <v>45311.921831501648</v>
      </c>
      <c r="DO7" s="94" t="s">
        <v>37</v>
      </c>
      <c r="DP7" s="146">
        <f t="shared" ca="1" si="11"/>
        <v>45326.685447454453</v>
      </c>
      <c r="DQ7" s="94" t="s">
        <v>15</v>
      </c>
      <c r="DR7" s="87" t="s">
        <v>683</v>
      </c>
      <c r="DS7" s="69"/>
      <c r="DT7" s="104" t="str">
        <f ca="1">IF(AND(TIME(I2,K2,0)&gt;=TIME(5,0,0),TIME(I2,K2,0)&lt;TIME(7,0,0)),"Yes","No")</f>
        <v>No</v>
      </c>
      <c r="DU7" s="100" t="s">
        <v>711</v>
      </c>
      <c r="DV7" s="94" t="s">
        <v>21</v>
      </c>
      <c r="DW7" s="69"/>
      <c r="DX7" s="87">
        <v>3</v>
      </c>
      <c r="DY7" s="87" t="s">
        <v>657</v>
      </c>
      <c r="DZ7" s="105" t="s">
        <v>658</v>
      </c>
      <c r="EA7" s="111">
        <f ca="1">IF(AV7-AB15&gt;=0,AV7-AB15+1,EA6+1)</f>
        <v>4</v>
      </c>
      <c r="EB7" s="97">
        <f t="shared" ref="EB7:EJ7" ca="1" si="17">EA7+9</f>
        <v>13</v>
      </c>
      <c r="EC7" s="97">
        <f t="shared" ca="1" si="17"/>
        <v>22</v>
      </c>
      <c r="ED7" s="97">
        <f t="shared" ca="1" si="17"/>
        <v>31</v>
      </c>
      <c r="EE7" s="97">
        <f t="shared" ca="1" si="17"/>
        <v>40</v>
      </c>
      <c r="EF7" s="97">
        <f t="shared" ca="1" si="17"/>
        <v>49</v>
      </c>
      <c r="EG7" s="97">
        <f t="shared" ca="1" si="17"/>
        <v>58</v>
      </c>
      <c r="EH7" s="97">
        <f t="shared" ca="1" si="17"/>
        <v>67</v>
      </c>
      <c r="EI7" s="97">
        <f t="shared" ca="1" si="17"/>
        <v>76</v>
      </c>
      <c r="EJ7" s="97">
        <f t="shared" ca="1" si="17"/>
        <v>85</v>
      </c>
      <c r="EK7" s="111">
        <f ca="1">IF(AV7-AB15=0, -1, EK8-1)</f>
        <v>-7</v>
      </c>
      <c r="EL7" s="97">
        <f t="shared" ref="EL7:ET7" ca="1" si="18">EK7-9</f>
        <v>-16</v>
      </c>
      <c r="EM7" s="97">
        <f t="shared" ca="1" si="18"/>
        <v>-25</v>
      </c>
      <c r="EN7" s="97">
        <f t="shared" ca="1" si="18"/>
        <v>-34</v>
      </c>
      <c r="EO7" s="97">
        <f t="shared" ca="1" si="18"/>
        <v>-43</v>
      </c>
      <c r="EP7" s="97">
        <f t="shared" ca="1" si="18"/>
        <v>-52</v>
      </c>
      <c r="EQ7" s="97">
        <f t="shared" ca="1" si="18"/>
        <v>-61</v>
      </c>
      <c r="ER7" s="97">
        <f t="shared" ca="1" si="18"/>
        <v>-70</v>
      </c>
      <c r="ES7" s="97">
        <f t="shared" ca="1" si="18"/>
        <v>-79</v>
      </c>
      <c r="ET7" s="97">
        <f t="shared" ca="1" si="18"/>
        <v>-88</v>
      </c>
      <c r="EU7" s="71"/>
      <c r="EX7" s="87">
        <v>3</v>
      </c>
      <c r="EY7" s="87" t="s">
        <v>657</v>
      </c>
      <c r="EZ7" s="87" t="s">
        <v>658</v>
      </c>
      <c r="FA7" s="87">
        <f t="shared" ref="FA7:FF7" si="19">FB7-1</f>
        <v>3</v>
      </c>
      <c r="FB7" s="87">
        <f t="shared" si="19"/>
        <v>4</v>
      </c>
      <c r="FC7" s="87">
        <f t="shared" si="19"/>
        <v>5</v>
      </c>
      <c r="FD7" s="87">
        <f t="shared" si="19"/>
        <v>6</v>
      </c>
      <c r="FE7" s="87">
        <f t="shared" si="19"/>
        <v>7</v>
      </c>
      <c r="FF7" s="87">
        <f t="shared" si="19"/>
        <v>8</v>
      </c>
      <c r="FG7" s="87">
        <v>9</v>
      </c>
      <c r="FH7" s="87">
        <f t="shared" ref="FH7:FH13" si="20">FI7-1</f>
        <v>1</v>
      </c>
      <c r="FI7" s="87">
        <f t="shared" si="15"/>
        <v>2</v>
      </c>
      <c r="FJ7" s="87">
        <v>3</v>
      </c>
      <c r="FK7" s="87">
        <f t="shared" ref="FK7:FP7" si="21">FJ7+1</f>
        <v>4</v>
      </c>
      <c r="FL7" s="87">
        <f t="shared" si="21"/>
        <v>5</v>
      </c>
      <c r="FM7" s="87">
        <f t="shared" si="21"/>
        <v>6</v>
      </c>
      <c r="FN7" s="87">
        <f t="shared" si="21"/>
        <v>7</v>
      </c>
      <c r="FO7" s="87">
        <f t="shared" si="21"/>
        <v>8</v>
      </c>
      <c r="FP7" s="87">
        <f t="shared" si="21"/>
        <v>9</v>
      </c>
      <c r="FQ7" s="87">
        <v>1</v>
      </c>
      <c r="FR7" s="87">
        <f t="shared" ref="FR7:FR13" si="22">FQ7+1</f>
        <v>2</v>
      </c>
      <c r="FS7" s="87">
        <f t="shared" si="16"/>
        <v>3</v>
      </c>
      <c r="FU7" s="87">
        <v>3</v>
      </c>
      <c r="FV7" s="87" t="s">
        <v>657</v>
      </c>
      <c r="FW7" s="87" t="s">
        <v>658</v>
      </c>
      <c r="FX7" s="87">
        <v>3</v>
      </c>
      <c r="FY7" s="87">
        <v>8</v>
      </c>
      <c r="FZ7" s="87">
        <v>1</v>
      </c>
      <c r="GA7" s="87">
        <v>6</v>
      </c>
      <c r="GB7" s="87">
        <v>7</v>
      </c>
      <c r="GC7" s="87">
        <v>2</v>
      </c>
      <c r="GD7" s="87">
        <v>9</v>
      </c>
      <c r="GE7" s="87">
        <v>4</v>
      </c>
      <c r="GF7" s="87">
        <v>4</v>
      </c>
      <c r="GG7" s="87">
        <v>9</v>
      </c>
      <c r="GH7" s="87">
        <v>2</v>
      </c>
      <c r="GI7" s="87">
        <v>7</v>
      </c>
      <c r="GJ7" s="87">
        <v>6</v>
      </c>
      <c r="GK7" s="87">
        <v>1</v>
      </c>
      <c r="GL7" s="87">
        <v>8</v>
      </c>
    </row>
    <row r="8" spans="1:241" ht="7.35" customHeight="1" x14ac:dyDescent="0.1">
      <c r="A8" s="88"/>
      <c r="B8" s="270"/>
      <c r="C8" s="271"/>
      <c r="D8" s="271"/>
      <c r="E8" s="271"/>
      <c r="F8" s="271"/>
      <c r="G8" s="271">
        <f>AG8</f>
        <v>4</v>
      </c>
      <c r="H8" s="272"/>
      <c r="I8" s="273"/>
      <c r="J8" s="273"/>
      <c r="K8" s="273"/>
      <c r="L8" s="273"/>
      <c r="M8" s="273">
        <f>AG13</f>
        <v>9</v>
      </c>
      <c r="N8" s="270"/>
      <c r="O8" s="271"/>
      <c r="P8" s="271"/>
      <c r="Q8" s="271"/>
      <c r="R8" s="271"/>
      <c r="S8" s="274">
        <f>AG6</f>
        <v>2</v>
      </c>
      <c r="T8" s="275" t="str">
        <f ca="1">IF(K11="景", "八門伏吟", IF(K11="休", "八門反吟",""))</f>
        <v/>
      </c>
      <c r="U8" s="120"/>
      <c r="Y8" s="106"/>
      <c r="Z8" s="85"/>
      <c r="AA8" s="85"/>
      <c r="AB8" s="107" t="s">
        <v>820</v>
      </c>
      <c r="AC8" s="108">
        <f ca="1">VLOOKUP(Z6, DD4:DI15,6,FALSE)</f>
        <v>7</v>
      </c>
      <c r="AG8" s="94">
        <f>HLOOKUP(AG3, FX4:GL13,5, FALSE)</f>
        <v>4</v>
      </c>
      <c r="AH8" s="95">
        <v>4</v>
      </c>
      <c r="AI8" s="95" t="s">
        <v>662</v>
      </c>
      <c r="AJ8" s="95" t="s">
        <v>653</v>
      </c>
      <c r="AK8" s="95" t="str">
        <f t="shared" ca="1" si="1"/>
        <v>癸</v>
      </c>
      <c r="AL8" s="95" t="str">
        <f t="shared" ca="1" si="2"/>
        <v>符</v>
      </c>
      <c r="AM8" s="95" t="str">
        <f ca="1">IF(AC14="阳遁", BK8,CE8)</f>
        <v>乙</v>
      </c>
      <c r="AN8" s="95" t="str">
        <f ca="1">IF(AC14="阳遁", BL8,CF8)</f>
        <v>蓬</v>
      </c>
      <c r="AO8" s="95" t="str">
        <f ca="1">IF(AC14="阳遁", BM8,CG8)</f>
        <v>合</v>
      </c>
      <c r="AP8" s="95" t="str">
        <f ca="1">IF(AC14="阳遁", BQ8,CK8)</f>
        <v>休</v>
      </c>
      <c r="AQ8" s="109" t="str">
        <f ca="1">IF(AC14="阳遁", BW8, CQ8)</f>
        <v>癸</v>
      </c>
      <c r="AR8" s="109" t="str">
        <f ca="1">IF(AC14="阳遁", CA8, CU8)</f>
        <v>丁</v>
      </c>
      <c r="AS8" s="94" t="str">
        <f ca="1">IF(AR17="是", AR8, AQ8)</f>
        <v>癸</v>
      </c>
      <c r="AT8" s="250" t="str">
        <f t="shared" ca="1" si="10"/>
        <v>乙</v>
      </c>
      <c r="AU8" s="69"/>
      <c r="AV8" s="390">
        <v>4</v>
      </c>
      <c r="AW8" s="391" t="s">
        <v>662</v>
      </c>
      <c r="AX8" s="391" t="s">
        <v>653</v>
      </c>
      <c r="AY8" s="392">
        <f ca="1">IF(AC14="阳遁", EA8,EK8)</f>
        <v>-6</v>
      </c>
      <c r="AZ8" s="393" t="str">
        <f ca="1">VLOOKUP(AY8,CW4:CX21,2,FALSE)</f>
        <v>癸</v>
      </c>
      <c r="BA8" s="391" t="s">
        <v>659</v>
      </c>
      <c r="BB8" s="390" t="s">
        <v>660</v>
      </c>
      <c r="BC8" s="392">
        <f ca="1">IF(AC14="阳遁", EB21, ED21)</f>
        <v>-1</v>
      </c>
      <c r="BD8" s="393" t="str">
        <f ca="1">VLOOKUP(BC8, EX17:EY33, 2, FALSE)</f>
        <v>符</v>
      </c>
      <c r="BE8" s="392">
        <f t="shared" ca="1" si="3"/>
        <v>-6</v>
      </c>
      <c r="BF8" s="401">
        <f ca="1">IF(AZ8=IF(Y11="甲", AC17, Y11),1,0)</f>
        <v>0</v>
      </c>
      <c r="BG8" s="392">
        <f ca="1">HLOOKUP(BF14, EE17:EM26, 5, FALSE)</f>
        <v>6</v>
      </c>
      <c r="BH8" s="405">
        <f ca="1">IF(Y11="甲",  IF(AZ8=W12,1,0), IF(AZ8=Y11,1,0))</f>
        <v>0</v>
      </c>
      <c r="BI8" s="392">
        <f ca="1">HLOOKUP(BH14, EE17:EM26, 5, FALSE)</f>
        <v>6</v>
      </c>
      <c r="BJ8" s="406" t="e">
        <f ca="1">VLOOKUP(BI8, BC5:BE13,3,FALSE)</f>
        <v>#N/A</v>
      </c>
      <c r="BK8" s="407" t="e">
        <f ca="1">VLOOKUP(BJ8,AY5:AZ13,2,FALSE)</f>
        <v>#N/A</v>
      </c>
      <c r="BL8" s="407" t="e">
        <f ca="1">VLOOKUP(BK8, AZ5:BA13,2,FALSE)</f>
        <v>#N/A</v>
      </c>
      <c r="BM8" s="408" t="e">
        <f ca="1">VLOOKUP(BK8, AZ5:BD13, 5, FALSE)</f>
        <v>#N/A</v>
      </c>
      <c r="BN8" s="398">
        <f ca="1">IF(BN14=4, VLOOKUP(AC19, FE18:FF26,2, FALSE), 0)</f>
        <v>0</v>
      </c>
      <c r="BO8" s="110">
        <f ca="1">IF(ISNA(HLOOKUP(BN8, FF21:FM27, 7, FALSE)),0,HLOOKUP(BN8, FF21:FM27, 7, FALSE))</f>
        <v>0</v>
      </c>
      <c r="BP8" s="110">
        <f ca="1">HLOOKUP(BO14, FF17:FM26,5,FALSE)</f>
        <v>7</v>
      </c>
      <c r="BQ8" s="115" t="str">
        <f ca="1">VLOOKUP(BP8, AV5:BB13, 7,FALSE)</f>
        <v>惊</v>
      </c>
      <c r="BR8" s="98" t="e">
        <f t="shared" ca="1" si="4"/>
        <v>#N/A</v>
      </c>
      <c r="BS8" s="97">
        <f ca="1">IF(IF(BQ8=AC19, VLOOKUP(IF(Y11="甲", W12,Y11),CX4:CY12,2,FALSE), 0)=BJ9, AY6, IF(BQ8=AC19, VLOOKUP(IF(Y11="甲", W12,Y11),CX4:CY12,2,FALSE), 0))</f>
        <v>0</v>
      </c>
      <c r="BT8" s="97">
        <f ca="1">IF(BS8&lt;&gt;0, HLOOKUP(BK14, FF21:FM27, 7, FALSE),0)</f>
        <v>0</v>
      </c>
      <c r="BU8" s="97" t="e">
        <f ca="1">IF(BK14=5,BY39,HLOOKUP(BT14,FF17:FM26,5,FALSE))</f>
        <v>#N/A</v>
      </c>
      <c r="BV8" s="97" t="e">
        <f ca="1">IF(BK14=5, VLOOKUP(AV8, BY36:BZ44, 2, FALSE),VLOOKUP(BU8,AV5:BJ13,15,FALSE))</f>
        <v>#N/A</v>
      </c>
      <c r="BW8" s="115" t="e">
        <f ca="1">IF(BK14=5,VLOOKUP(BV8,AV5:BK13,16,FALSE),VLOOKUP(BV8,AY5:AZ13,2,FALSE))</f>
        <v>#N/A</v>
      </c>
      <c r="BX8" s="113">
        <v>0</v>
      </c>
      <c r="BY8" s="113">
        <v>9</v>
      </c>
      <c r="BZ8" s="113">
        <f ca="1">IF(MOD(BX9+BY8-1,9)=0, 9, MOD(BX9+BY8-1,9))</f>
        <v>2</v>
      </c>
      <c r="CA8" s="115" t="e">
        <f ca="1">VLOOKUP(BZ8, AY5:AZ13, 2, FALSE)</f>
        <v>#N/A</v>
      </c>
      <c r="CB8" s="113">
        <f ca="1">IF(AZ8=IF(Y11="甲", AC17, Y11),-1,0)</f>
        <v>0</v>
      </c>
      <c r="CC8" s="110">
        <f ca="1">HLOOKUP(CB14, EN17:EV26, 5, FALSE)</f>
        <v>-4</v>
      </c>
      <c r="CD8" s="114">
        <f ca="1">VLOOKUP(CC8, BC5:BE13,3,FALSE)</f>
        <v>-9</v>
      </c>
      <c r="CE8" s="115" t="str">
        <f ca="1">VLOOKUP(CD8,CW4:CX21,2,FALSE)</f>
        <v>乙</v>
      </c>
      <c r="CF8" s="115" t="str">
        <f ca="1">VLOOKUP(CE8, AZ5:BA13,2,FALSE)</f>
        <v>蓬</v>
      </c>
      <c r="CG8" s="115" t="str">
        <f ca="1">VLOOKUP(CE8, AZ5:BD13, 5, FALSE)</f>
        <v>合</v>
      </c>
      <c r="CH8" s="113">
        <f ca="1">IF(CH14=4, VLOOKUP(AC19, FE18:FF26,2, FALSE), 0)</f>
        <v>0</v>
      </c>
      <c r="CI8" s="113">
        <f ca="1">IF(ISNA(HLOOKUP(CH8, FF21:FM27, 7, FALSE)),0,HLOOKUP(CH8, FF21:FM27, 7, FALSE))</f>
        <v>0</v>
      </c>
      <c r="CJ8" s="113">
        <f ca="1">HLOOKUP(CI14, FF17:FM26,5,FALSE)</f>
        <v>1</v>
      </c>
      <c r="CK8" s="115" t="str">
        <f ca="1">VLOOKUP(CJ8, AV5:BB13, 7,FALSE)</f>
        <v>休</v>
      </c>
      <c r="CL8" s="98" t="str">
        <f t="shared" ca="1" si="5"/>
        <v>乙</v>
      </c>
      <c r="CM8" s="97">
        <f ca="1">IF(IF(CK8=AC19, VLOOKUP(IF(Y11="甲", W12,Y11),CX13:CY21,2,FALSE), 0)=CD9, AY6, IF(CK8=AC19, VLOOKUP(IF(Y11="甲", W12,Y11),CX13:CY21,2,FALSE), 0))</f>
        <v>0</v>
      </c>
      <c r="CN8" s="426">
        <f ca="1">IF(CM8&lt;&gt;0, HLOOKUP(CE14, FF21:FM27, 7, FALSE),0)</f>
        <v>0</v>
      </c>
      <c r="CO8" s="97">
        <f ca="1">IF(CE14=5,CS39,HLOOKUP(CN14,FF17:FM26,5,FALSE))</f>
        <v>7</v>
      </c>
      <c r="CP8" s="97">
        <f ca="1">IF(CE14=5,VLOOKUP(AV8,CS36:CT44,2,FALSE),VLOOKUP(CO8,AV5:CD13,35,FALSE))</f>
        <v>-6</v>
      </c>
      <c r="CQ8" s="115" t="str">
        <f ca="1">IF(CE14=5,VLOOKUP(CP8,AV5:CE13,36,FALSE),VLOOKUP(CP8,CW13:CX21,2,FALSE))</f>
        <v>癸</v>
      </c>
      <c r="CR8" s="113">
        <v>0</v>
      </c>
      <c r="CS8" s="113">
        <v>-2</v>
      </c>
      <c r="CT8" s="113">
        <f ca="1">IF(MOD(CR9+CS8+1,-9)=0, -9, MOD(CR9+CS8+1,-9))</f>
        <v>-7</v>
      </c>
      <c r="CU8" s="115" t="str">
        <f ca="1">VLOOKUP(CT8, AY5:AZ13, 2, FALSE)</f>
        <v>丁</v>
      </c>
      <c r="CW8" s="87">
        <v>5</v>
      </c>
      <c r="CX8" s="97" t="s">
        <v>7</v>
      </c>
      <c r="CY8" s="87">
        <v>5</v>
      </c>
      <c r="CZ8" s="67"/>
      <c r="DA8" s="94">
        <v>5</v>
      </c>
      <c r="DB8" s="94" t="s">
        <v>713</v>
      </c>
      <c r="DC8" s="94" t="s">
        <v>25</v>
      </c>
      <c r="DD8" s="94" t="s">
        <v>24</v>
      </c>
      <c r="DE8" s="94" t="s">
        <v>25</v>
      </c>
      <c r="DF8" s="94">
        <v>5</v>
      </c>
      <c r="DG8" s="99" t="s">
        <v>714</v>
      </c>
      <c r="DH8" s="100">
        <v>1868</v>
      </c>
      <c r="DI8" s="101">
        <v>3</v>
      </c>
      <c r="DJ8" s="94" t="s">
        <v>24</v>
      </c>
      <c r="DK8" s="102">
        <v>0.33333333333333331</v>
      </c>
      <c r="DL8" s="94" t="s">
        <v>713</v>
      </c>
      <c r="DM8" s="69"/>
      <c r="DN8" s="103">
        <f ca="1">Last_Yr!E23</f>
        <v>45326.685447454453</v>
      </c>
      <c r="DO8" s="94" t="s">
        <v>38</v>
      </c>
      <c r="DP8" s="146">
        <f t="shared" ca="1" si="11"/>
        <v>45341.509246611968</v>
      </c>
      <c r="DQ8" s="94" t="s">
        <v>18</v>
      </c>
      <c r="DR8" s="87" t="s">
        <v>683</v>
      </c>
      <c r="DS8" s="69"/>
      <c r="DT8" s="104" t="str">
        <f ca="1">IF(AND(TIME(I2,K2,0)&gt;=TIME(7,0,0),TIME(I2,K2,0)&lt;TIME(9,0,0)),"Yes","No")</f>
        <v>No</v>
      </c>
      <c r="DU8" s="100" t="s">
        <v>714</v>
      </c>
      <c r="DV8" s="94" t="s">
        <v>24</v>
      </c>
      <c r="DW8" s="69"/>
      <c r="DX8" s="87">
        <v>4</v>
      </c>
      <c r="DY8" s="87" t="s">
        <v>662</v>
      </c>
      <c r="DZ8" s="105" t="s">
        <v>653</v>
      </c>
      <c r="EA8" s="111">
        <f ca="1">IF(AV8-AB15&gt;=0,AV8-AB15+1,EA7+1)</f>
        <v>5</v>
      </c>
      <c r="EB8" s="97">
        <f t="shared" ref="EB8:EJ8" ca="1" si="23">EA8+9</f>
        <v>14</v>
      </c>
      <c r="EC8" s="97">
        <f t="shared" ca="1" si="23"/>
        <v>23</v>
      </c>
      <c r="ED8" s="97">
        <f t="shared" ca="1" si="23"/>
        <v>32</v>
      </c>
      <c r="EE8" s="97">
        <f t="shared" ca="1" si="23"/>
        <v>41</v>
      </c>
      <c r="EF8" s="97">
        <f t="shared" ca="1" si="23"/>
        <v>50</v>
      </c>
      <c r="EG8" s="97">
        <f t="shared" ca="1" si="23"/>
        <v>59</v>
      </c>
      <c r="EH8" s="97">
        <f t="shared" ca="1" si="23"/>
        <v>68</v>
      </c>
      <c r="EI8" s="97">
        <f t="shared" ca="1" si="23"/>
        <v>77</v>
      </c>
      <c r="EJ8" s="97">
        <f t="shared" ca="1" si="23"/>
        <v>86</v>
      </c>
      <c r="EK8" s="111">
        <f ca="1">IF(AV8-AB15=0, -1, EK9-1)</f>
        <v>-6</v>
      </c>
      <c r="EL8" s="97">
        <f t="shared" ref="EL8:ET8" ca="1" si="24">EK8-9</f>
        <v>-15</v>
      </c>
      <c r="EM8" s="97">
        <f t="shared" ca="1" si="24"/>
        <v>-24</v>
      </c>
      <c r="EN8" s="97">
        <f t="shared" ca="1" si="24"/>
        <v>-33</v>
      </c>
      <c r="EO8" s="97">
        <f t="shared" ca="1" si="24"/>
        <v>-42</v>
      </c>
      <c r="EP8" s="97">
        <f t="shared" ca="1" si="24"/>
        <v>-51</v>
      </c>
      <c r="EQ8" s="97">
        <f t="shared" ca="1" si="24"/>
        <v>-60</v>
      </c>
      <c r="ER8" s="97">
        <f t="shared" ca="1" si="24"/>
        <v>-69</v>
      </c>
      <c r="ES8" s="97">
        <f t="shared" ca="1" si="24"/>
        <v>-78</v>
      </c>
      <c r="ET8" s="97">
        <f t="shared" ca="1" si="24"/>
        <v>-87</v>
      </c>
      <c r="EU8" s="71"/>
      <c r="EX8" s="87">
        <v>4</v>
      </c>
      <c r="EY8" s="87" t="s">
        <v>662</v>
      </c>
      <c r="EZ8" s="87" t="s">
        <v>653</v>
      </c>
      <c r="FA8" s="87">
        <f>FB8-1</f>
        <v>4</v>
      </c>
      <c r="FB8" s="87">
        <f>FC8-1</f>
        <v>5</v>
      </c>
      <c r="FC8" s="87">
        <f>FD8-1</f>
        <v>6</v>
      </c>
      <c r="FD8" s="87">
        <f>FE8-1</f>
        <v>7</v>
      </c>
      <c r="FE8" s="87">
        <f>FF8-1</f>
        <v>8</v>
      </c>
      <c r="FF8" s="87">
        <v>9</v>
      </c>
      <c r="FG8" s="87">
        <f t="shared" ref="FG8:FG13" si="25">FH8-1</f>
        <v>1</v>
      </c>
      <c r="FH8" s="87">
        <f t="shared" si="20"/>
        <v>2</v>
      </c>
      <c r="FI8" s="87">
        <f t="shared" si="15"/>
        <v>3</v>
      </c>
      <c r="FJ8" s="87">
        <v>4</v>
      </c>
      <c r="FK8" s="87">
        <f>FJ8+1</f>
        <v>5</v>
      </c>
      <c r="FL8" s="87">
        <f>FK8+1</f>
        <v>6</v>
      </c>
      <c r="FM8" s="87">
        <f>FL8+1</f>
        <v>7</v>
      </c>
      <c r="FN8" s="87">
        <f>FM8+1</f>
        <v>8</v>
      </c>
      <c r="FO8" s="87">
        <f>FN8+1</f>
        <v>9</v>
      </c>
      <c r="FP8" s="87">
        <v>1</v>
      </c>
      <c r="FQ8" s="87">
        <f>FP8+1</f>
        <v>2</v>
      </c>
      <c r="FR8" s="87">
        <f t="shared" si="22"/>
        <v>3</v>
      </c>
      <c r="FS8" s="87">
        <f t="shared" si="16"/>
        <v>4</v>
      </c>
      <c r="FU8" s="87">
        <v>4</v>
      </c>
      <c r="FV8" s="87" t="s">
        <v>662</v>
      </c>
      <c r="FW8" s="87" t="s">
        <v>653</v>
      </c>
      <c r="FX8" s="87">
        <v>4</v>
      </c>
      <c r="FY8" s="87">
        <v>3</v>
      </c>
      <c r="FZ8" s="87">
        <v>8</v>
      </c>
      <c r="GA8" s="87">
        <v>1</v>
      </c>
      <c r="GB8" s="87">
        <v>6</v>
      </c>
      <c r="GC8" s="87">
        <v>7</v>
      </c>
      <c r="GD8" s="87">
        <v>2</v>
      </c>
      <c r="GE8" s="87">
        <v>9</v>
      </c>
      <c r="GF8" s="87">
        <v>9</v>
      </c>
      <c r="GG8" s="87">
        <v>2</v>
      </c>
      <c r="GH8" s="87">
        <v>7</v>
      </c>
      <c r="GI8" s="87">
        <v>6</v>
      </c>
      <c r="GJ8" s="87">
        <v>1</v>
      </c>
      <c r="GK8" s="87">
        <v>8</v>
      </c>
      <c r="GL8" s="87">
        <v>3</v>
      </c>
    </row>
    <row r="9" spans="1:241" ht="7.35" customHeight="1" x14ac:dyDescent="0.1">
      <c r="A9" s="88"/>
      <c r="B9" s="276"/>
      <c r="C9" s="277"/>
      <c r="D9" s="278" t="str">
        <f ca="1">IF(AB17="甲午", "空","")</f>
        <v/>
      </c>
      <c r="E9" s="277" t="str">
        <f ca="1">VLOOKUP(G8, AH5:AS13,8, FALSE)</f>
        <v>合</v>
      </c>
      <c r="F9" s="277" t="str">
        <f ca="1">VLOOKUP(G8, AH5:AS13,5, FALSE)</f>
        <v>符</v>
      </c>
      <c r="G9" s="277"/>
      <c r="H9" s="279"/>
      <c r="I9" s="280"/>
      <c r="J9" s="281" t="str">
        <f ca="1">IF(AB17="甲申", "空","")</f>
        <v/>
      </c>
      <c r="K9" s="280" t="str">
        <f ca="1">VLOOKUP(M8, AH5:AS13,8, FALSE)</f>
        <v>阴</v>
      </c>
      <c r="L9" s="280" t="str">
        <f ca="1">VLOOKUP(M8, AH5:AS13,5, FALSE)</f>
        <v>天</v>
      </c>
      <c r="M9" s="280"/>
      <c r="N9" s="276"/>
      <c r="O9" s="277"/>
      <c r="P9" s="278" t="str">
        <f ca="1">IF( OR(AB17="甲戌", AB17="甲申"), "空","")</f>
        <v/>
      </c>
      <c r="Q9" s="277" t="str">
        <f ca="1">VLOOKUP(S8, AH5:AS13,8, FALSE)</f>
        <v>蛇</v>
      </c>
      <c r="R9" s="277" t="str">
        <f ca="1">VLOOKUP(S8, AH5:AS13,5, FALSE)</f>
        <v>九</v>
      </c>
      <c r="S9" s="282"/>
      <c r="T9" s="275" t="str">
        <f ca="1">IF(OR(L10=L11,M10=L11),"天干伏吟",IF(OR(L10=L23,M10=L23),"天干反吟",""))</f>
        <v/>
      </c>
      <c r="U9" s="72"/>
      <c r="W9" s="67" t="str">
        <f ca="1">CONCATENATE(Y9,Z9)</f>
        <v>癸亥</v>
      </c>
      <c r="X9" s="67" t="s">
        <v>632</v>
      </c>
      <c r="Y9" s="90" t="str">
        <f ca="1">MID("甲乙丙丁戊己庚辛壬癸",MOD(W2-2,10)+1,1)</f>
        <v>癸</v>
      </c>
      <c r="Z9" s="91" t="str">
        <f ca="1">MID("子丑寅卯辰巳午未申酉戌亥",(MOD(W2-4,12)+1),1)</f>
        <v>亥</v>
      </c>
      <c r="AA9" s="118"/>
      <c r="AB9" s="125" t="s">
        <v>715</v>
      </c>
      <c r="AC9" s="93">
        <f ca="1">AH19</f>
        <v>24</v>
      </c>
      <c r="AG9" s="94">
        <f>HLOOKUP(AG3, FX4:GL13,6, FALSE)</f>
        <v>5</v>
      </c>
      <c r="AH9" s="95">
        <v>5</v>
      </c>
      <c r="AI9" s="95" t="s">
        <v>665</v>
      </c>
      <c r="AJ9" s="95" t="s">
        <v>665</v>
      </c>
      <c r="AK9" s="95" t="str">
        <f t="shared" ca="1" si="1"/>
        <v>壬</v>
      </c>
      <c r="AL9" s="95" t="str">
        <f t="shared" ca="1" si="2"/>
        <v>-</v>
      </c>
      <c r="AM9" s="95" t="str">
        <f ca="1">IF(AC14="阳遁", BK9,CE9)</f>
        <v>壬</v>
      </c>
      <c r="AN9" s="95" t="str">
        <f ca="1">IF(AC14="阳遁", BL9,CF9)</f>
        <v>禽</v>
      </c>
      <c r="AO9" s="95" t="str">
        <f ca="1">IF(AC14="阳遁", BM9,CG9)</f>
        <v>-</v>
      </c>
      <c r="AP9" s="95" t="str">
        <f ca="1">IF(AC14="阳遁", BQ9,CK9)</f>
        <v>-</v>
      </c>
      <c r="AQ9" s="109" t="str">
        <f ca="1">IF(AC14="阳遁", BW9, CQ9)</f>
        <v>壬</v>
      </c>
      <c r="AR9" s="109" t="str">
        <f ca="1">IF(AC14="阳遁", CA9, CU9)</f>
        <v>癸</v>
      </c>
      <c r="AS9" s="94" t="str">
        <f ca="1">IF(AR17="是", AR9, AQ9)</f>
        <v>壬</v>
      </c>
      <c r="AT9" s="250" t="str">
        <f t="shared" ca="1" si="10"/>
        <v>壬</v>
      </c>
      <c r="AU9" s="69"/>
      <c r="AV9" s="394">
        <v>5</v>
      </c>
      <c r="AW9" s="67" t="s">
        <v>665</v>
      </c>
      <c r="AX9" s="67" t="s">
        <v>665</v>
      </c>
      <c r="AY9" s="395">
        <f ca="1">IF(AC14="阳遁", EA9,EK9)</f>
        <v>-5</v>
      </c>
      <c r="AZ9" s="128" t="str">
        <f ca="1">VLOOKUP(AY9,CW4:CX21,2,FALSE)</f>
        <v>壬</v>
      </c>
      <c r="BA9" s="67" t="s">
        <v>845</v>
      </c>
      <c r="BB9" s="394" t="s">
        <v>821</v>
      </c>
      <c r="BC9" s="395" t="str">
        <f ca="1">IF(AC14="阳遁", EB22, ED22)</f>
        <v>-</v>
      </c>
      <c r="BD9" s="128" t="str">
        <f ca="1">VLOOKUP(BC9, EX17:EY33, 2, FALSE)</f>
        <v>-</v>
      </c>
      <c r="BE9" s="395">
        <f t="shared" ca="1" si="3"/>
        <v>-5</v>
      </c>
      <c r="BF9" s="402">
        <f ca="1">IF(AZ9=IF(Y11="甲", AC17, Y11),1,0)</f>
        <v>0</v>
      </c>
      <c r="BG9" s="395" t="str">
        <f ca="1">HLOOKUP(BF14, EE17:EM26, 6, FALSE)</f>
        <v>-</v>
      </c>
      <c r="BH9" s="409">
        <f ca="1">IF(Y11="甲",  IF(AZ9=W12,1,0), IF(AZ9=Y11,1,0))</f>
        <v>0</v>
      </c>
      <c r="BI9" s="395" t="str">
        <f ca="1">HLOOKUP(BH14, EE17:EM26, 6, FALSE)</f>
        <v>-</v>
      </c>
      <c r="BJ9" s="410">
        <f ca="1">VLOOKUP(BI9, BC5:BE13,3,FALSE)</f>
        <v>-5</v>
      </c>
      <c r="BK9" s="411" t="str">
        <f ca="1">VLOOKUP(BJ9,AY5:AZ13,2,FALSE)</f>
        <v>壬</v>
      </c>
      <c r="BL9" s="411" t="str">
        <f ca="1">VLOOKUP(BK9, AZ5:BA13,2,FALSE)</f>
        <v>禽</v>
      </c>
      <c r="BM9" s="412" t="str">
        <f ca="1">VLOOKUP(BK9, AZ5:BD13, 5, FALSE)</f>
        <v>-</v>
      </c>
      <c r="BN9" s="398">
        <f ca="1">IF(BN14=5, VLOOKUP(AC19, FE18:FF26,2, FALSE), 0)</f>
        <v>0</v>
      </c>
      <c r="BO9" s="110">
        <f ca="1">IF(ISNA(HLOOKUP(BN9, FF22:FM27, 6, FALSE)),0,HLOOKUP(BN9, FF22:FM27, 6, FALSE))</f>
        <v>0</v>
      </c>
      <c r="BP9" s="110">
        <f ca="1">HLOOKUP(BO14, FF17:FM26,6,FALSE)</f>
        <v>5</v>
      </c>
      <c r="BQ9" s="115" t="s">
        <v>651</v>
      </c>
      <c r="BR9" s="98" t="str">
        <f t="shared" ca="1" si="4"/>
        <v>壬</v>
      </c>
      <c r="BS9" s="97">
        <f ca="1">IF(IF(BQ9=AC19, VLOOKUP(IF(Y11="甲", W12,Y11),CX4:CY12,2,FALSE), 0)=BJ9, AY6, IF(BQ9=AC19, VLOOKUP(IF(Y11="甲", W12,Y11),CX4:CY12,2,FALSE), 0))</f>
        <v>0</v>
      </c>
      <c r="BT9" s="97">
        <f ca="1">IF(BS9&lt;&gt;0, HLOOKUP(BK14, FF22:FM27, 6, FALSE),0)</f>
        <v>0</v>
      </c>
      <c r="BU9" s="97" t="e">
        <f ca="1">IF(BK14=5,BY40,HLOOKUP(BT14,FF17:FM26,6,FALSE))</f>
        <v>#N/A</v>
      </c>
      <c r="BV9" s="97" t="e">
        <f ca="1">IF(BK14=5, VLOOKUP(AV9, BY36:BZ44, 2, FALSE),VLOOKUP(BU9,AV5:BJ13,15,FALSE))</f>
        <v>#N/A</v>
      </c>
      <c r="BW9" s="115" t="e">
        <f ca="1">IF(BK14=5,VLOOKUP(BV9,AV5:BK13,16,FALSE),VLOOKUP(BV9,AY5:AZ13,2,FALSE))</f>
        <v>#N/A</v>
      </c>
      <c r="BX9" s="113">
        <f ca="1">VLOOKUP(AC17, AZ5:BE13, 6, FALSE)</f>
        <v>-6</v>
      </c>
      <c r="BY9" s="113">
        <v>1</v>
      </c>
      <c r="BZ9" s="113">
        <f ca="1">IF(MOD(BX9+BY9-1,9)=0, 9, MOD(BX9+BY9-1,9))</f>
        <v>3</v>
      </c>
      <c r="CA9" s="115" t="e">
        <f ca="1">VLOOKUP(BZ9, AY5:AZ13, 2, FALSE)</f>
        <v>#N/A</v>
      </c>
      <c r="CB9" s="113">
        <f ca="1">IF(AZ9=IF(Y11="甲", AC17, Y11),-1,0)</f>
        <v>0</v>
      </c>
      <c r="CC9" s="110" t="str">
        <f ca="1">HLOOKUP(CB14, EN17:EV26, 6, FALSE)</f>
        <v>-</v>
      </c>
      <c r="CD9" s="114">
        <f ca="1">VLOOKUP(CC9, BC5:BE13,3,FALSE)</f>
        <v>-5</v>
      </c>
      <c r="CE9" s="115" t="str">
        <f ca="1">VLOOKUP(CD9,CW4:CX21,2,FALSE)</f>
        <v>壬</v>
      </c>
      <c r="CF9" s="115" t="str">
        <f ca="1">VLOOKUP(CE9, AZ5:BA13,2,FALSE)</f>
        <v>禽</v>
      </c>
      <c r="CG9" s="115" t="str">
        <f ca="1">VLOOKUP(CE9, AZ5:BD13, 5, FALSE)</f>
        <v>-</v>
      </c>
      <c r="CH9" s="113">
        <f ca="1">IF(CH14=5, VLOOKUP(AC19, FE18:FF26,2, FALSE), 0)</f>
        <v>0</v>
      </c>
      <c r="CI9" s="113">
        <f ca="1">IF(ISNA(HLOOKUP(CH9, FF22:FM27, 6, FALSE)),0,HLOOKUP(CH9, FF22:FM27, 6, FALSE))</f>
        <v>0</v>
      </c>
      <c r="CJ9" s="113">
        <f ca="1">HLOOKUP(CI14, FF17:FM26,6,FALSE)</f>
        <v>5</v>
      </c>
      <c r="CK9" s="115" t="s">
        <v>651</v>
      </c>
      <c r="CL9" s="98" t="str">
        <f t="shared" ca="1" si="5"/>
        <v>壬</v>
      </c>
      <c r="CM9" s="97">
        <f ca="1">IF(IF(CK9=AC19, VLOOKUP(IF(Y11="甲", W12,Y11),CX13:CY21,2,FALSE), 0)=CD9, AY6, IF(CK9=AC19, VLOOKUP(IF(Y11="甲", W12,Y11),CX13:CY21,2,FALSE), 0))</f>
        <v>0</v>
      </c>
      <c r="CN9" s="426">
        <f ca="1">IF(CM9&lt;&gt;0, HLOOKUP(CE14, FF22:FM27, 6, FALSE),0)</f>
        <v>0</v>
      </c>
      <c r="CO9" s="97">
        <f ca="1">IF(CE14=5,CS40,HLOOKUP(CN14,FF17:FM26,6,FALSE))</f>
        <v>5</v>
      </c>
      <c r="CP9" s="97">
        <f ca="1">IF(CE14=5,VLOOKUP(AV9,CS36:CT44,2,FALSE),VLOOKUP(CO9,AV5:CD13,35,FALSE))</f>
        <v>-5</v>
      </c>
      <c r="CQ9" s="115" t="str">
        <f ca="1">IF(CE14=5,VLOOKUP(CP9,AV5:CE13,36,FALSE),VLOOKUP(CP9,CW13:CX21,2,FALSE))</f>
        <v>壬</v>
      </c>
      <c r="CR9" s="113">
        <f ca="1">VLOOKUP(AC17, AZ5:BE13, 6, FALSE)</f>
        <v>-6</v>
      </c>
      <c r="CS9" s="113">
        <v>-1</v>
      </c>
      <c r="CT9" s="113">
        <f ca="1">IF(MOD(CR9+CS9+1,-9)=0, -9, MOD(CR9+CS9+1,-9))</f>
        <v>-6</v>
      </c>
      <c r="CU9" s="115" t="str">
        <f ca="1">VLOOKUP(CT9, AY5:AZ13, 2, FALSE)</f>
        <v>癸</v>
      </c>
      <c r="CW9" s="87">
        <v>6</v>
      </c>
      <c r="CX9" s="97" t="s">
        <v>10</v>
      </c>
      <c r="CY9" s="87">
        <v>6</v>
      </c>
      <c r="CZ9" s="67"/>
      <c r="DA9" s="94">
        <v>6</v>
      </c>
      <c r="DB9" s="94" t="s">
        <v>717</v>
      </c>
      <c r="DC9" s="94" t="s">
        <v>666</v>
      </c>
      <c r="DD9" s="94" t="s">
        <v>27</v>
      </c>
      <c r="DE9" s="94" t="s">
        <v>25</v>
      </c>
      <c r="DF9" s="94">
        <v>6</v>
      </c>
      <c r="DG9" s="99" t="s">
        <v>718</v>
      </c>
      <c r="DH9" s="100">
        <v>1869</v>
      </c>
      <c r="DI9" s="101">
        <v>4</v>
      </c>
      <c r="DJ9" s="94" t="s">
        <v>27</v>
      </c>
      <c r="DK9" s="102">
        <v>0.41666666666666669</v>
      </c>
      <c r="DL9" s="94" t="s">
        <v>717</v>
      </c>
      <c r="DM9" s="69"/>
      <c r="DN9" s="103">
        <f ca="1">Last_Yr!E24</f>
        <v>45341.509246611968</v>
      </c>
      <c r="DO9" s="94" t="s">
        <v>39</v>
      </c>
      <c r="DP9" s="146">
        <f t="shared" ca="1" si="11"/>
        <v>45356.432420665864</v>
      </c>
      <c r="DQ9" s="94" t="s">
        <v>18</v>
      </c>
      <c r="DR9" s="87" t="s">
        <v>683</v>
      </c>
      <c r="DS9" s="69"/>
      <c r="DT9" s="104" t="str">
        <f ca="1">IF(AND(TIME(I2,K2,0)&gt;=TIME(9,0,0),TIME(I2,K2,0)&lt;TIME(11,0,0)),"Yes","No")</f>
        <v>No</v>
      </c>
      <c r="DU9" s="100" t="s">
        <v>718</v>
      </c>
      <c r="DV9" s="94" t="s">
        <v>27</v>
      </c>
      <c r="DW9" s="69"/>
      <c r="DX9" s="87">
        <v>5</v>
      </c>
      <c r="DY9" s="87" t="s">
        <v>665</v>
      </c>
      <c r="DZ9" s="105" t="s">
        <v>665</v>
      </c>
      <c r="EA9" s="111">
        <f ca="1">IF(AV9-AB15&gt;=0,AV9-AB15+1,EA8+1)</f>
        <v>6</v>
      </c>
      <c r="EB9" s="97">
        <f t="shared" ref="EB9:EJ9" ca="1" si="26">EA9+9</f>
        <v>15</v>
      </c>
      <c r="EC9" s="97">
        <f t="shared" ca="1" si="26"/>
        <v>24</v>
      </c>
      <c r="ED9" s="97">
        <f t="shared" ca="1" si="26"/>
        <v>33</v>
      </c>
      <c r="EE9" s="97">
        <f t="shared" ca="1" si="26"/>
        <v>42</v>
      </c>
      <c r="EF9" s="97">
        <f t="shared" ca="1" si="26"/>
        <v>51</v>
      </c>
      <c r="EG9" s="97">
        <f t="shared" ca="1" si="26"/>
        <v>60</v>
      </c>
      <c r="EH9" s="97">
        <f t="shared" ca="1" si="26"/>
        <v>69</v>
      </c>
      <c r="EI9" s="97">
        <f t="shared" ca="1" si="26"/>
        <v>78</v>
      </c>
      <c r="EJ9" s="97">
        <f t="shared" ca="1" si="26"/>
        <v>87</v>
      </c>
      <c r="EK9" s="111">
        <f ca="1">IF(AV9-AB15=0, -1, EK10-1)</f>
        <v>-5</v>
      </c>
      <c r="EL9" s="97">
        <f t="shared" ref="EL9:ET9" ca="1" si="27">EK9-9</f>
        <v>-14</v>
      </c>
      <c r="EM9" s="97">
        <f t="shared" ca="1" si="27"/>
        <v>-23</v>
      </c>
      <c r="EN9" s="97">
        <f t="shared" ca="1" si="27"/>
        <v>-32</v>
      </c>
      <c r="EO9" s="97">
        <f t="shared" ca="1" si="27"/>
        <v>-41</v>
      </c>
      <c r="EP9" s="97">
        <f t="shared" ca="1" si="27"/>
        <v>-50</v>
      </c>
      <c r="EQ9" s="97">
        <f t="shared" ca="1" si="27"/>
        <v>-59</v>
      </c>
      <c r="ER9" s="97">
        <f t="shared" ca="1" si="27"/>
        <v>-68</v>
      </c>
      <c r="ES9" s="97">
        <f t="shared" ca="1" si="27"/>
        <v>-77</v>
      </c>
      <c r="ET9" s="97">
        <f t="shared" ca="1" si="27"/>
        <v>-86</v>
      </c>
      <c r="EU9" s="71"/>
      <c r="EX9" s="87">
        <v>5</v>
      </c>
      <c r="EY9" s="87" t="s">
        <v>665</v>
      </c>
      <c r="EZ9" s="87" t="s">
        <v>665</v>
      </c>
      <c r="FA9" s="87">
        <f>FB9-1</f>
        <v>5</v>
      </c>
      <c r="FB9" s="87">
        <f>FC9-1</f>
        <v>6</v>
      </c>
      <c r="FC9" s="87">
        <f>FD9-1</f>
        <v>7</v>
      </c>
      <c r="FD9" s="87">
        <f>FE9-1</f>
        <v>8</v>
      </c>
      <c r="FE9" s="87">
        <v>9</v>
      </c>
      <c r="FF9" s="87">
        <f>FG9-1</f>
        <v>1</v>
      </c>
      <c r="FG9" s="87">
        <f t="shared" si="25"/>
        <v>2</v>
      </c>
      <c r="FH9" s="87">
        <f t="shared" si="20"/>
        <v>3</v>
      </c>
      <c r="FI9" s="87">
        <f t="shared" si="15"/>
        <v>4</v>
      </c>
      <c r="FJ9" s="87">
        <v>5</v>
      </c>
      <c r="FK9" s="87">
        <f>FJ9+1</f>
        <v>6</v>
      </c>
      <c r="FL9" s="87">
        <f>FK9+1</f>
        <v>7</v>
      </c>
      <c r="FM9" s="87">
        <f>FL9+1</f>
        <v>8</v>
      </c>
      <c r="FN9" s="87">
        <f>FM9+1</f>
        <v>9</v>
      </c>
      <c r="FO9" s="87">
        <v>1</v>
      </c>
      <c r="FP9" s="87">
        <f>FO9+1</f>
        <v>2</v>
      </c>
      <c r="FQ9" s="87">
        <f>FP9+1</f>
        <v>3</v>
      </c>
      <c r="FR9" s="87">
        <f t="shared" si="22"/>
        <v>4</v>
      </c>
      <c r="FS9" s="87">
        <f t="shared" si="16"/>
        <v>5</v>
      </c>
      <c r="FU9" s="87">
        <v>5</v>
      </c>
      <c r="FV9" s="87" t="s">
        <v>665</v>
      </c>
      <c r="FW9" s="87" t="s">
        <v>665</v>
      </c>
      <c r="FX9" s="87">
        <v>5</v>
      </c>
      <c r="FY9" s="87">
        <v>5</v>
      </c>
      <c r="FZ9" s="87">
        <v>5</v>
      </c>
      <c r="GA9" s="87">
        <v>5</v>
      </c>
      <c r="GB9" s="87">
        <v>5</v>
      </c>
      <c r="GC9" s="87">
        <v>5</v>
      </c>
      <c r="GD9" s="87">
        <v>5</v>
      </c>
      <c r="GE9" s="87">
        <v>5</v>
      </c>
      <c r="GF9" s="87">
        <v>5</v>
      </c>
      <c r="GG9" s="87">
        <v>5</v>
      </c>
      <c r="GH9" s="87">
        <v>5</v>
      </c>
      <c r="GI9" s="87">
        <v>5</v>
      </c>
      <c r="GJ9" s="87">
        <v>5</v>
      </c>
      <c r="GK9" s="87">
        <v>5</v>
      </c>
      <c r="GL9" s="87">
        <v>5</v>
      </c>
    </row>
    <row r="10" spans="1:241" ht="7.35" customHeight="1" x14ac:dyDescent="0.1">
      <c r="A10" s="88"/>
      <c r="B10" s="276"/>
      <c r="C10" s="283"/>
      <c r="D10" s="284" t="str">
        <f ca="1">VLOOKUP(G8, AH5:AS13,12, FALSE)</f>
        <v>癸</v>
      </c>
      <c r="E10" s="277" t="str">
        <f ca="1">VLOOKUP(G8, AH5:AS13,7, FALSE)</f>
        <v>蓬</v>
      </c>
      <c r="F10" s="277" t="str">
        <f ca="1">VLOOKUP(G8, AH5:AS13,6, FALSE)</f>
        <v>乙</v>
      </c>
      <c r="G10" s="277" t="str">
        <f ca="1">IF(F10=AK6, AK9, "")</f>
        <v/>
      </c>
      <c r="H10" s="285"/>
      <c r="I10" s="286"/>
      <c r="J10" s="287" t="str">
        <f ca="1">VLOOKUP(M8, AH5:AS13,12, FALSE)</f>
        <v>戊</v>
      </c>
      <c r="K10" s="280" t="str">
        <f ca="1">VLOOKUP(M8, AH5:AS13,7, FALSE)</f>
        <v>任</v>
      </c>
      <c r="L10" s="280" t="str">
        <f ca="1">VLOOKUP(M8, AH5:AS13,6, FALSE)</f>
        <v>己</v>
      </c>
      <c r="M10" s="280" t="str">
        <f ca="1">IF(L10=AK6, AK9, "")</f>
        <v/>
      </c>
      <c r="N10" s="276"/>
      <c r="O10" s="283"/>
      <c r="P10" s="284" t="str">
        <f ca="1">VLOOKUP(S8, AH5:AS13,12, FALSE)</f>
        <v>丙</v>
      </c>
      <c r="Q10" s="277" t="str">
        <f ca="1">VLOOKUP(S8, AH5:AS13,7, FALSE)</f>
        <v>冲</v>
      </c>
      <c r="R10" s="277" t="str">
        <f ca="1">VLOOKUP(S8, AH5:AS13,6, FALSE)</f>
        <v>丁</v>
      </c>
      <c r="S10" s="282" t="str">
        <f ca="1">IF(R10=AK6, AK9, "")</f>
        <v/>
      </c>
      <c r="T10" s="255"/>
      <c r="U10" s="72"/>
      <c r="Y10" s="106"/>
      <c r="Z10" s="85"/>
      <c r="AA10" s="85"/>
      <c r="AB10" s="85"/>
      <c r="AC10" s="126"/>
      <c r="AG10" s="94">
        <f>HLOOKUP(AG3, FX4:GL13,7, FALSE)</f>
        <v>6</v>
      </c>
      <c r="AH10" s="95">
        <v>6</v>
      </c>
      <c r="AI10" s="95" t="s">
        <v>670</v>
      </c>
      <c r="AJ10" s="95" t="s">
        <v>671</v>
      </c>
      <c r="AK10" s="95" t="str">
        <f t="shared" ca="1" si="1"/>
        <v>辛</v>
      </c>
      <c r="AL10" s="95" t="str">
        <f t="shared" ca="1" si="2"/>
        <v>虎</v>
      </c>
      <c r="AM10" s="95" t="str">
        <f ca="1">IF(AC14="阳遁", BK10,CE10)</f>
        <v>戊</v>
      </c>
      <c r="AN10" s="95" t="str">
        <f ca="1">IF(AC14="阳遁", BL10,CF10)</f>
        <v>英</v>
      </c>
      <c r="AO10" s="95" t="str">
        <f ca="1">IF(AC14="阳遁", BM10,CG10)</f>
        <v>天</v>
      </c>
      <c r="AP10" s="95" t="str">
        <f ca="1">IF(AC14="阳遁", BQ10,CK10)</f>
        <v>景</v>
      </c>
      <c r="AQ10" s="109" t="str">
        <f ca="1">IF(AC14="阳遁", BW10, CQ10)</f>
        <v>辛</v>
      </c>
      <c r="AR10" s="109" t="str">
        <f ca="1">IF(AC14="阳遁", CA10, CU10)</f>
        <v>壬</v>
      </c>
      <c r="AS10" s="94" t="str">
        <f ca="1">IF(AR17="是", AR10, AQ10)</f>
        <v>辛</v>
      </c>
      <c r="AT10" s="250" t="str">
        <f t="shared" ca="1" si="10"/>
        <v>戊</v>
      </c>
      <c r="AU10" s="69"/>
      <c r="AV10" s="394">
        <v>6</v>
      </c>
      <c r="AW10" s="67" t="s">
        <v>670</v>
      </c>
      <c r="AX10" s="67" t="s">
        <v>671</v>
      </c>
      <c r="AY10" s="395">
        <f ca="1">IF(AC14="阳遁", EA10,EK10)</f>
        <v>-4</v>
      </c>
      <c r="AZ10" s="128" t="str">
        <f ca="1">VLOOKUP(AY10,CW4:CX21,2,FALSE)</f>
        <v>辛</v>
      </c>
      <c r="BA10" s="67" t="s">
        <v>675</v>
      </c>
      <c r="BB10" s="394" t="s">
        <v>676</v>
      </c>
      <c r="BC10" s="395">
        <f ca="1">IF(AC14="阳遁", EB23, ED23)</f>
        <v>-5</v>
      </c>
      <c r="BD10" s="128" t="str">
        <f ca="1">VLOOKUP(BC10, EX17:EY33, 2, FALSE)</f>
        <v>虎</v>
      </c>
      <c r="BE10" s="395">
        <f t="shared" ca="1" si="3"/>
        <v>-4</v>
      </c>
      <c r="BF10" s="402">
        <f ca="1">IF(AZ10=IF(Y11="甲", AC17, Y11),1,0)</f>
        <v>0</v>
      </c>
      <c r="BG10" s="395">
        <f ca="1">HLOOKUP(BF14, EE17:EM26, 7, FALSE)</f>
        <v>2</v>
      </c>
      <c r="BH10" s="409">
        <f ca="1">IF(Y11="甲",  IF(AZ10=W12,1,0), IF(AZ10=Y11,1,0))</f>
        <v>0</v>
      </c>
      <c r="BI10" s="395">
        <f ca="1">HLOOKUP(BH14, EE17:EM26, 7, FALSE)</f>
        <v>2</v>
      </c>
      <c r="BJ10" s="410" t="e">
        <f ca="1">VLOOKUP(BI10, BC5:BE13,3,FALSE)</f>
        <v>#N/A</v>
      </c>
      <c r="BK10" s="411" t="e">
        <f ca="1">VLOOKUP(BJ10,AY5:AZ13,2,FALSE)</f>
        <v>#N/A</v>
      </c>
      <c r="BL10" s="411" t="e">
        <f ca="1">VLOOKUP(BK10, AZ5:BA13,2,FALSE)</f>
        <v>#N/A</v>
      </c>
      <c r="BM10" s="412" t="e">
        <f ca="1">VLOOKUP(BK10, AZ5:BD13, 5, FALSE)</f>
        <v>#N/A</v>
      </c>
      <c r="BN10" s="398">
        <f ca="1">IF(BN14=6, VLOOKUP(AC19, FE18:FF26,2, FALSE), 0)</f>
        <v>0</v>
      </c>
      <c r="BO10" s="110">
        <f ca="1">IF(ISNA(HLOOKUP(BN10, FF23:FM27, 5, FALSE)),0,HLOOKUP(BN10, FF23:FM27, 5, FALSE))</f>
        <v>0</v>
      </c>
      <c r="BP10" s="110">
        <f ca="1">HLOOKUP(BO14, FF17:FM26,7,FALSE)</f>
        <v>3</v>
      </c>
      <c r="BQ10" s="115" t="str">
        <f ca="1">VLOOKUP(BP10, AV5:BB13, 7,FALSE)</f>
        <v>伤</v>
      </c>
      <c r="BR10" s="98" t="e">
        <f t="shared" ca="1" si="4"/>
        <v>#N/A</v>
      </c>
      <c r="BS10" s="97">
        <f ca="1">IF(IF(BQ10=AC19, VLOOKUP(IF(Y11="甲", W12,Y11),CX4:CY12,2,FALSE), 0)=BJ9, AY6, IF(BQ10=AC19, VLOOKUP(IF(Y11="甲", W12,Y11),CX4:CY12,2,FALSE), 0))</f>
        <v>0</v>
      </c>
      <c r="BT10" s="97">
        <f ca="1">IF(BS10&lt;&gt;0, HLOOKUP(BK14, FF23:FM27, 5, FALSE),0)</f>
        <v>0</v>
      </c>
      <c r="BU10" s="97" t="e">
        <f ca="1">IF(BK14=5,BY41,HLOOKUP(BT14,FF17:FM26,7,FALSE))</f>
        <v>#N/A</v>
      </c>
      <c r="BV10" s="97" t="e">
        <f ca="1">IF(BK14=5, VLOOKUP(AV10, BY36:BZ44, 2, FALSE),VLOOKUP(BU10,AV5:BJ13,15,FALSE))</f>
        <v>#N/A</v>
      </c>
      <c r="BW10" s="115" t="e">
        <f ca="1">IF(BK14=5,VLOOKUP(BV10,AV5:BK13,16,FALSE),VLOOKUP(BV10,AY5:AZ13,2,FALSE))</f>
        <v>#N/A</v>
      </c>
      <c r="BX10" s="113">
        <v>0</v>
      </c>
      <c r="BY10" s="113">
        <v>2</v>
      </c>
      <c r="BZ10" s="113">
        <f ca="1">IF(MOD(BX9+BY10-1,9)=0, 9, MOD(BX9+BY10-1,9))</f>
        <v>4</v>
      </c>
      <c r="CA10" s="115" t="e">
        <f ca="1">VLOOKUP(BZ10, AY5:AZ13, 2, FALSE)</f>
        <v>#N/A</v>
      </c>
      <c r="CB10" s="113">
        <f ca="1">IF(AZ10=IF(Y11="甲", AC17, Y11),-1,0)</f>
        <v>0</v>
      </c>
      <c r="CC10" s="110">
        <f ca="1">HLOOKUP(CB14, EN17:EV26, 7, FALSE)</f>
        <v>-8</v>
      </c>
      <c r="CD10" s="114">
        <f ca="1">VLOOKUP(CC10, BC5:BE13,3,FALSE)</f>
        <v>-1</v>
      </c>
      <c r="CE10" s="115" t="str">
        <f ca="1">VLOOKUP(CD10,CW4:CX21,2,FALSE)</f>
        <v>戊</v>
      </c>
      <c r="CF10" s="115" t="str">
        <f ca="1">VLOOKUP(CE10, AZ5:BA13,2,FALSE)</f>
        <v>英</v>
      </c>
      <c r="CG10" s="115" t="str">
        <f ca="1">VLOOKUP(CE10, AZ5:BD13, 5, FALSE)</f>
        <v>天</v>
      </c>
      <c r="CH10" s="113">
        <f ca="1">IF(CH14=6, VLOOKUP(AC19, FE18:FF26,2, FALSE), 0)</f>
        <v>0</v>
      </c>
      <c r="CI10" s="113">
        <f ca="1">IF(ISNA(HLOOKUP(CH10, FF23:FM27, 5, FALSE)),0,HLOOKUP(CH10, FF23:FM27, 5, FALSE))</f>
        <v>0</v>
      </c>
      <c r="CJ10" s="113">
        <f ca="1">HLOOKUP(CI14, FF17:FM26,7,FALSE)</f>
        <v>9</v>
      </c>
      <c r="CK10" s="115" t="str">
        <f ca="1">VLOOKUP(CJ10, AV5:BB13, 7,FALSE)</f>
        <v>景</v>
      </c>
      <c r="CL10" s="98" t="str">
        <f t="shared" ca="1" si="5"/>
        <v>戊</v>
      </c>
      <c r="CM10" s="97">
        <f ca="1">IF(IF(CK10=AC19, VLOOKUP(IF(Y11="甲", W12,Y11),CX13:CY21,2,FALSE), 0)=CD9, AY6, IF(CK10=AC19, VLOOKUP(IF(Y11="甲", W12,Y11),CX13:CY21,2,FALSE), 0))</f>
        <v>0</v>
      </c>
      <c r="CN10" s="426">
        <f ca="1">IF(CM10&lt;&gt;0, HLOOKUP(CE14, FF23:FM27, 5, FALSE),0)</f>
        <v>0</v>
      </c>
      <c r="CO10" s="97">
        <f ca="1">IF(CE14=5,CS41,HLOOKUP(CN14,FF17:FM26,7,FALSE))</f>
        <v>3</v>
      </c>
      <c r="CP10" s="97">
        <f ca="1">IF(CE14=5,VLOOKUP(AV10,CS36:CT44,2,FALSE),VLOOKUP(CO10,AV5:CD13,35,FALSE))</f>
        <v>-4</v>
      </c>
      <c r="CQ10" s="115" t="str">
        <f ca="1">IF(CE14=5,VLOOKUP(CP10,AV5:CE13,36,FALSE),VLOOKUP(CP10,CW13:CX21,2,FALSE))</f>
        <v>辛</v>
      </c>
      <c r="CR10" s="113">
        <v>0</v>
      </c>
      <c r="CS10" s="113">
        <v>-9</v>
      </c>
      <c r="CT10" s="113">
        <f ca="1">IF(MOD(CR9+CS10+1,-9)=0, -9, MOD(CR9+CS10+1,-9))</f>
        <v>-5</v>
      </c>
      <c r="CU10" s="115" t="str">
        <f ca="1">VLOOKUP(CT10, AY5:AZ13, 2, FALSE)</f>
        <v>壬</v>
      </c>
      <c r="CW10" s="87">
        <v>7</v>
      </c>
      <c r="CX10" s="97" t="s">
        <v>22</v>
      </c>
      <c r="CY10" s="87">
        <v>7</v>
      </c>
      <c r="CZ10" s="67"/>
      <c r="DA10" s="94">
        <v>7</v>
      </c>
      <c r="DB10" s="94" t="s">
        <v>720</v>
      </c>
      <c r="DC10" s="94" t="s">
        <v>31</v>
      </c>
      <c r="DD10" s="94" t="s">
        <v>30</v>
      </c>
      <c r="DE10" s="94" t="s">
        <v>25</v>
      </c>
      <c r="DF10" s="94">
        <v>7</v>
      </c>
      <c r="DG10" s="99" t="s">
        <v>721</v>
      </c>
      <c r="DH10" s="100">
        <v>1870</v>
      </c>
      <c r="DI10" s="101">
        <v>5</v>
      </c>
      <c r="DJ10" s="94" t="s">
        <v>30</v>
      </c>
      <c r="DK10" s="102">
        <v>0.5</v>
      </c>
      <c r="DL10" s="94" t="s">
        <v>720</v>
      </c>
      <c r="DM10" s="69"/>
      <c r="DN10" s="103">
        <f ca="1">Last_Yr!E25</f>
        <v>45356.432420665864</v>
      </c>
      <c r="DO10" s="94" t="s">
        <v>722</v>
      </c>
      <c r="DP10" s="146">
        <f t="shared" ca="1" si="11"/>
        <v>45371.462851632852</v>
      </c>
      <c r="DQ10" s="94" t="s">
        <v>822</v>
      </c>
      <c r="DR10" s="87" t="s">
        <v>683</v>
      </c>
      <c r="DS10" s="69"/>
      <c r="DT10" s="104" t="str">
        <f ca="1">IF(AND(TIME(I2,K2,0)&gt;=TIME(11,0,0),TIME(I2,K2,0)&lt;TIME(13,0,0)),"Yes","No")</f>
        <v>No</v>
      </c>
      <c r="DU10" s="100" t="s">
        <v>721</v>
      </c>
      <c r="DV10" s="94" t="s">
        <v>30</v>
      </c>
      <c r="DW10" s="69"/>
      <c r="DX10" s="87">
        <v>6</v>
      </c>
      <c r="DY10" s="87" t="s">
        <v>670</v>
      </c>
      <c r="DZ10" s="105" t="s">
        <v>671</v>
      </c>
      <c r="EA10" s="111">
        <f ca="1">IF(AV10-AB15&gt;=0,AV10-AB15+1,EA9+1)</f>
        <v>7</v>
      </c>
      <c r="EB10" s="97">
        <f t="shared" ref="EB10:EJ10" ca="1" si="28">EA10+9</f>
        <v>16</v>
      </c>
      <c r="EC10" s="97">
        <f t="shared" ca="1" si="28"/>
        <v>25</v>
      </c>
      <c r="ED10" s="97">
        <f t="shared" ca="1" si="28"/>
        <v>34</v>
      </c>
      <c r="EE10" s="97">
        <f t="shared" ca="1" si="28"/>
        <v>43</v>
      </c>
      <c r="EF10" s="97">
        <f t="shared" ca="1" si="28"/>
        <v>52</v>
      </c>
      <c r="EG10" s="97">
        <f t="shared" ca="1" si="28"/>
        <v>61</v>
      </c>
      <c r="EH10" s="97">
        <f t="shared" ca="1" si="28"/>
        <v>70</v>
      </c>
      <c r="EI10" s="97">
        <f t="shared" ca="1" si="28"/>
        <v>79</v>
      </c>
      <c r="EJ10" s="97">
        <f t="shared" ca="1" si="28"/>
        <v>88</v>
      </c>
      <c r="EK10" s="111">
        <f ca="1">IF(AV10-AB15=0, -1, EK11-1)</f>
        <v>-4</v>
      </c>
      <c r="EL10" s="97">
        <f t="shared" ref="EL10:ET10" ca="1" si="29">EK10-9</f>
        <v>-13</v>
      </c>
      <c r="EM10" s="97">
        <f t="shared" ca="1" si="29"/>
        <v>-22</v>
      </c>
      <c r="EN10" s="97">
        <f t="shared" ca="1" si="29"/>
        <v>-31</v>
      </c>
      <c r="EO10" s="97">
        <f t="shared" ca="1" si="29"/>
        <v>-40</v>
      </c>
      <c r="EP10" s="97">
        <f t="shared" ca="1" si="29"/>
        <v>-49</v>
      </c>
      <c r="EQ10" s="97">
        <f t="shared" ca="1" si="29"/>
        <v>-58</v>
      </c>
      <c r="ER10" s="97">
        <f t="shared" ca="1" si="29"/>
        <v>-67</v>
      </c>
      <c r="ES10" s="97">
        <f t="shared" ca="1" si="29"/>
        <v>-76</v>
      </c>
      <c r="ET10" s="97">
        <f t="shared" ca="1" si="29"/>
        <v>-85</v>
      </c>
      <c r="EU10" s="71"/>
      <c r="EX10" s="87">
        <v>6</v>
      </c>
      <c r="EY10" s="87" t="s">
        <v>670</v>
      </c>
      <c r="EZ10" s="87" t="s">
        <v>671</v>
      </c>
      <c r="FA10" s="87">
        <f>FB10-1</f>
        <v>6</v>
      </c>
      <c r="FB10" s="87">
        <f>FC10-1</f>
        <v>7</v>
      </c>
      <c r="FC10" s="87">
        <f>FD10-1</f>
        <v>8</v>
      </c>
      <c r="FD10" s="87">
        <v>9</v>
      </c>
      <c r="FE10" s="87">
        <f>FF10-1</f>
        <v>1</v>
      </c>
      <c r="FF10" s="87">
        <f>FG10-1</f>
        <v>2</v>
      </c>
      <c r="FG10" s="87">
        <f t="shared" si="25"/>
        <v>3</v>
      </c>
      <c r="FH10" s="87">
        <f t="shared" si="20"/>
        <v>4</v>
      </c>
      <c r="FI10" s="87">
        <f t="shared" si="15"/>
        <v>5</v>
      </c>
      <c r="FJ10" s="87">
        <v>6</v>
      </c>
      <c r="FK10" s="87">
        <f>FJ10+1</f>
        <v>7</v>
      </c>
      <c r="FL10" s="87">
        <f>FK10+1</f>
        <v>8</v>
      </c>
      <c r="FM10" s="87">
        <f>FL10+1</f>
        <v>9</v>
      </c>
      <c r="FN10" s="87">
        <v>1</v>
      </c>
      <c r="FO10" s="87">
        <f>FN10+1</f>
        <v>2</v>
      </c>
      <c r="FP10" s="87">
        <f>FO10+1</f>
        <v>3</v>
      </c>
      <c r="FQ10" s="87">
        <f>FP10+1</f>
        <v>4</v>
      </c>
      <c r="FR10" s="87">
        <f t="shared" si="22"/>
        <v>5</v>
      </c>
      <c r="FS10" s="87">
        <f t="shared" si="16"/>
        <v>6</v>
      </c>
      <c r="FU10" s="87">
        <v>6</v>
      </c>
      <c r="FV10" s="87" t="s">
        <v>670</v>
      </c>
      <c r="FW10" s="87" t="s">
        <v>671</v>
      </c>
      <c r="FX10" s="87">
        <v>6</v>
      </c>
      <c r="FY10" s="87">
        <v>7</v>
      </c>
      <c r="FZ10" s="87">
        <v>2</v>
      </c>
      <c r="GA10" s="87">
        <v>9</v>
      </c>
      <c r="GB10" s="87">
        <v>4</v>
      </c>
      <c r="GC10" s="87">
        <v>3</v>
      </c>
      <c r="GD10" s="87">
        <v>8</v>
      </c>
      <c r="GE10" s="87">
        <v>1</v>
      </c>
      <c r="GF10" s="87">
        <v>1</v>
      </c>
      <c r="GG10" s="87">
        <v>8</v>
      </c>
      <c r="GH10" s="87">
        <v>3</v>
      </c>
      <c r="GI10" s="87">
        <v>4</v>
      </c>
      <c r="GJ10" s="87">
        <v>9</v>
      </c>
      <c r="GK10" s="87">
        <v>2</v>
      </c>
      <c r="GL10" s="87">
        <v>7</v>
      </c>
    </row>
    <row r="11" spans="1:241" ht="7.35" customHeight="1" x14ac:dyDescent="0.1">
      <c r="A11" s="88"/>
      <c r="B11" s="276"/>
      <c r="C11" s="283"/>
      <c r="D11" s="284" t="str">
        <f ca="1">IF(AND(AR17="是",D10=AR6),AR9,IF(D10=AK6,IF(AR17="是", "", AK9),""))</f>
        <v/>
      </c>
      <c r="E11" s="277" t="str">
        <f ca="1">VLOOKUP(G8, AH5:AS13,9, FALSE)</f>
        <v>休</v>
      </c>
      <c r="F11" s="277" t="str">
        <f ca="1">VLOOKUP(G8, AH5:AS13,4, FALSE)</f>
        <v>癸</v>
      </c>
      <c r="G11" s="277" t="str">
        <f ca="1">IF(F11=AK6, AK9, "")</f>
        <v/>
      </c>
      <c r="H11" s="279"/>
      <c r="I11" s="286"/>
      <c r="J11" s="287" t="str">
        <f ca="1">IF(AND(AR17="是",J10=AR6),AR9,IF(J10=AK6,IF(AR17="是", "", AK9),""))</f>
        <v/>
      </c>
      <c r="K11" s="280" t="str">
        <f ca="1">VLOOKUP(M8, AH5:AS13,9, FALSE)</f>
        <v>生</v>
      </c>
      <c r="L11" s="280" t="str">
        <f ca="1">VLOOKUP(M8, AH5:AS13,4, FALSE)</f>
        <v>戊</v>
      </c>
      <c r="M11" s="280" t="str">
        <f ca="1">IF(L11=AK6, AK9, "")</f>
        <v/>
      </c>
      <c r="N11" s="276"/>
      <c r="O11" s="283"/>
      <c r="P11" s="284" t="str">
        <f ca="1">IF(AND(AR17="是",P10=AR6),AR9,IF(P10=AK6,IF(AR17="是", "", AK9),""))</f>
        <v>壬</v>
      </c>
      <c r="Q11" s="277" t="str">
        <f ca="1">VLOOKUP(S8, AH5:AS13,9, FALSE)</f>
        <v>伤</v>
      </c>
      <c r="R11" s="277" t="str">
        <f ca="1">VLOOKUP(S8, AH5:AS13,4, FALSE)</f>
        <v>丙</v>
      </c>
      <c r="S11" s="282" t="str">
        <f ca="1">IF(R11=AK6, AK9, "")</f>
        <v>壬</v>
      </c>
      <c r="T11" s="255"/>
      <c r="U11" s="72"/>
      <c r="W11" s="67" t="str">
        <f ca="1">CONCATENATE(Y11,Z11)</f>
        <v>庚申</v>
      </c>
      <c r="X11" s="89" t="s">
        <v>633</v>
      </c>
      <c r="Y11" s="90" t="str">
        <f ca="1">VLOOKUP(AC11, DA4:DC13, 3, FALSE)</f>
        <v>庚</v>
      </c>
      <c r="Z11" s="91" t="str">
        <f ca="1">IF(VLOOKUP("Yes", DT4:DV16, 1, FALSE) = DT16, "子", VLOOKUP("Yes", DT4:DV16, 3, FALSE))</f>
        <v>申</v>
      </c>
      <c r="AA11" s="118"/>
      <c r="AB11" s="92" t="s">
        <v>688</v>
      </c>
      <c r="AC11" s="93">
        <f ca="1">IF( MOD(((VLOOKUP(Y9, DC4:DF13, 4, FALSE)-1)*2)+AC12, 10)=0, 10, MOD(((VLOOKUP(Y9, DC4:DF13, 4, FALSE)-1)*2)+AC12, 10))</f>
        <v>7</v>
      </c>
      <c r="AG11" s="94">
        <f>HLOOKUP(AG3, FX4:GL13,8, FALSE)</f>
        <v>7</v>
      </c>
      <c r="AH11" s="95">
        <v>7</v>
      </c>
      <c r="AI11" s="95" t="s">
        <v>650</v>
      </c>
      <c r="AJ11" s="95" t="s">
        <v>662</v>
      </c>
      <c r="AK11" s="95" t="str">
        <f t="shared" ca="1" si="1"/>
        <v>庚</v>
      </c>
      <c r="AL11" s="95" t="str">
        <f t="shared" ca="1" si="2"/>
        <v>武</v>
      </c>
      <c r="AM11" s="95" t="str">
        <f ca="1">IF(AC14="阳遁", BK11,CE11)</f>
        <v>癸</v>
      </c>
      <c r="AN11" s="95" t="str">
        <f ca="1">IF(AC14="阳遁", BL11,CF11)</f>
        <v>辅</v>
      </c>
      <c r="AO11" s="95" t="str">
        <f ca="1">IF(AC14="阳遁", BM11,CG11)</f>
        <v>符</v>
      </c>
      <c r="AP11" s="95" t="str">
        <f ca="1">IF(AC14="阳遁", BQ11,CK11)</f>
        <v>杜</v>
      </c>
      <c r="AQ11" s="109" t="str">
        <f ca="1">IF(AC14="阳遁", BW11, CQ11)</f>
        <v>庚</v>
      </c>
      <c r="AR11" s="109" t="str">
        <f ca="1">IF(AC14="阳遁", CA11, CU11)</f>
        <v>辛</v>
      </c>
      <c r="AS11" s="94" t="str">
        <f ca="1">IF(AR17="是", AR11, AQ11)</f>
        <v>庚</v>
      </c>
      <c r="AT11" s="250" t="str">
        <f t="shared" ca="1" si="10"/>
        <v>癸</v>
      </c>
      <c r="AU11" s="69"/>
      <c r="AV11" s="394">
        <v>7</v>
      </c>
      <c r="AW11" s="67" t="s">
        <v>650</v>
      </c>
      <c r="AX11" s="67" t="s">
        <v>662</v>
      </c>
      <c r="AY11" s="395">
        <f ca="1">IF(AC14="阳遁", EA11,EK11)</f>
        <v>-3</v>
      </c>
      <c r="AZ11" s="128" t="str">
        <f ca="1">VLOOKUP(AY11,CW4:CX21,2,FALSE)</f>
        <v>庚</v>
      </c>
      <c r="BA11" s="67" t="s">
        <v>672</v>
      </c>
      <c r="BB11" s="394" t="s">
        <v>673</v>
      </c>
      <c r="BC11" s="395">
        <f ca="1">IF(AC14="阳遁", EB24, ED24)</f>
        <v>-6</v>
      </c>
      <c r="BD11" s="128" t="str">
        <f ca="1">VLOOKUP(BC11, EX17:EY33, 2, FALSE)</f>
        <v>武</v>
      </c>
      <c r="BE11" s="395">
        <f t="shared" ca="1" si="3"/>
        <v>-3</v>
      </c>
      <c r="BF11" s="402">
        <f ca="1">IF(AZ11=IF(Y11="甲", AC17, Y11),1,0)</f>
        <v>1</v>
      </c>
      <c r="BG11" s="395">
        <f ca="1">HLOOKUP(BF14, EE17:EM26, 8, FALSE)</f>
        <v>1</v>
      </c>
      <c r="BH11" s="409">
        <f ca="1">IF(Y11="甲",  IF(AZ11=W12,1,0), IF(AZ11=Y11,1,0))</f>
        <v>1</v>
      </c>
      <c r="BI11" s="395">
        <f ca="1">HLOOKUP(BH14, EE17:EM26, 8, FALSE)</f>
        <v>1</v>
      </c>
      <c r="BJ11" s="410" t="e">
        <f ca="1">VLOOKUP(BI11, BC5:BE13,3,FALSE)</f>
        <v>#N/A</v>
      </c>
      <c r="BK11" s="411" t="e">
        <f ca="1">VLOOKUP(BJ11,AY5:AZ13,2,FALSE)</f>
        <v>#N/A</v>
      </c>
      <c r="BL11" s="411" t="e">
        <f ca="1">VLOOKUP(BK11, AZ5:BA13,2,FALSE)</f>
        <v>#N/A</v>
      </c>
      <c r="BM11" s="412" t="e">
        <f ca="1">VLOOKUP(BK11, AZ5:BD13, 5, FALSE)</f>
        <v>#N/A</v>
      </c>
      <c r="BN11" s="398">
        <f ca="1">IF(BN14=7, VLOOKUP(AC19, FE18:FF26,2, FALSE), 0)</f>
        <v>0</v>
      </c>
      <c r="BO11" s="110">
        <f ca="1">IF(ISNA(HLOOKUP(BN11, FF24:FM27, 4, FALSE)),0,HLOOKUP(BN11, FF24:FM27, 4, FALSE))</f>
        <v>0</v>
      </c>
      <c r="BP11" s="110">
        <f ca="1">HLOOKUP(BO14, FF17:FM26,8,FALSE)</f>
        <v>8</v>
      </c>
      <c r="BQ11" s="115" t="str">
        <f ca="1">VLOOKUP(BP11, AV5:BB13, 7,FALSE)</f>
        <v>生</v>
      </c>
      <c r="BR11" s="98" t="e">
        <f t="shared" ca="1" si="4"/>
        <v>#N/A</v>
      </c>
      <c r="BS11" s="97">
        <f ca="1">IF(IF(BQ11=AC19, VLOOKUP(IF(Y11="甲", W12,Y11),CX4:CY12,2,FALSE), 0)=BJ9, AY6, IF(BQ11=AC19, VLOOKUP(IF(Y11="甲", W12,Y11),CX4:CY12,2,FALSE), 0))</f>
        <v>0</v>
      </c>
      <c r="BT11" s="97">
        <f ca="1">IF(BS11&lt;&gt;0, HLOOKUP(BK14, FF24:FM27, 4, FALSE),0)</f>
        <v>0</v>
      </c>
      <c r="BU11" s="97" t="e">
        <f ca="1">IF(BK14=5,BY42,HLOOKUP(BT14,FF17:FM26,8,FALSE))</f>
        <v>#N/A</v>
      </c>
      <c r="BV11" s="97" t="e">
        <f ca="1">IF(BK14=5,VLOOKUP(AV11, BY36:BZ44, 2, FALSE),VLOOKUP(BU11,AV5:BJ13,15,FALSE))</f>
        <v>#N/A</v>
      </c>
      <c r="BW11" s="115" t="e">
        <f ca="1">IF(BK14=5,VLOOKUP(BV11,AV5:BK13,16,FALSE),VLOOKUP(BV11,AY5:AZ13,2,FALSE))</f>
        <v>#N/A</v>
      </c>
      <c r="BX11" s="113">
        <v>0</v>
      </c>
      <c r="BY11" s="113">
        <v>3</v>
      </c>
      <c r="BZ11" s="113">
        <f ca="1">IF(MOD(BX9+BY11-1,9)=0, 9, MOD(BX9+BY11-1,9))</f>
        <v>5</v>
      </c>
      <c r="CA11" s="115" t="e">
        <f ca="1">VLOOKUP(BZ11, AY5:AZ13, 2, FALSE)</f>
        <v>#N/A</v>
      </c>
      <c r="CB11" s="113">
        <f ca="1">IF(AZ11=IF(Y11="甲", AC17, Y11),-1,0)</f>
        <v>-1</v>
      </c>
      <c r="CC11" s="110">
        <f ca="1">HLOOKUP(CB14, EN17:EV26, 8, FALSE)</f>
        <v>-1</v>
      </c>
      <c r="CD11" s="114">
        <f ca="1">VLOOKUP(CC11, BC5:BE13,3,FALSE)</f>
        <v>-6</v>
      </c>
      <c r="CE11" s="115" t="str">
        <f ca="1">VLOOKUP(CD11,CW4:CX21,2,FALSE)</f>
        <v>癸</v>
      </c>
      <c r="CF11" s="115" t="str">
        <f ca="1">VLOOKUP(CE11, AZ5:BA13,2,FALSE)</f>
        <v>辅</v>
      </c>
      <c r="CG11" s="115" t="str">
        <f ca="1">VLOOKUP(CE11, AZ5:BD13, 5, FALSE)</f>
        <v>符</v>
      </c>
      <c r="CH11" s="113">
        <f ca="1">IF(CH14=7, VLOOKUP(AC19, FE18:FF26,2, FALSE), 0)</f>
        <v>4</v>
      </c>
      <c r="CI11" s="113">
        <f ca="1">IF(ISNA(HLOOKUP(CH11, FF24:FM27, 4, FALSE)),0,HLOOKUP(CH11, FF24:FM27, 4, FALSE))</f>
        <v>5</v>
      </c>
      <c r="CJ11" s="113">
        <f ca="1">HLOOKUP(CI14, FF17:FM26,8,FALSE)</f>
        <v>4</v>
      </c>
      <c r="CK11" s="115" t="str">
        <f ca="1">VLOOKUP(CJ11, AV5:BB13, 7,FALSE)</f>
        <v>杜</v>
      </c>
      <c r="CL11" s="98" t="str">
        <f t="shared" ca="1" si="5"/>
        <v>癸</v>
      </c>
      <c r="CM11" s="97">
        <f ca="1">IF(IF(CK11=AC19, VLOOKUP(IF(Y11="甲", W12,Y11),CX13:CY21,2,FALSE), 0)=CD9, AY6, IF(CK11=AC19, VLOOKUP(IF(Y11="甲", W12,Y11),CX13:CY21,2,FALSE), 0))</f>
        <v>-3</v>
      </c>
      <c r="CN11" s="426">
        <f ca="1">IF(CM11&lt;&gt;0, HLOOKUP(CE14, FF24:FM27, 4, FALSE),0)</f>
        <v>3</v>
      </c>
      <c r="CO11" s="97">
        <f ca="1">IF(CE14=5,CS42,HLOOKUP(CN14,FF17:FM26,8,FALSE))</f>
        <v>8</v>
      </c>
      <c r="CP11" s="97">
        <f ca="1">IF(CE14=5,VLOOKUP(AV11,CS36:CT44,2,FALSE),VLOOKUP(CO11,AV5:CD13,35,FALSE))</f>
        <v>-3</v>
      </c>
      <c r="CQ11" s="115" t="str">
        <f ca="1">IF(CE14=5,VLOOKUP(CP11,AV5:CE13,36,FALSE),VLOOKUP(CP11,CW13:CX21,2,FALSE))</f>
        <v>庚</v>
      </c>
      <c r="CR11" s="113">
        <v>0</v>
      </c>
      <c r="CS11" s="113">
        <v>-8</v>
      </c>
      <c r="CT11" s="113">
        <f ca="1">IF(MOD(CR9+CS11+1,-9)=0, -9, MOD(CR9+CS11+1,-9))</f>
        <v>-4</v>
      </c>
      <c r="CU11" s="115" t="str">
        <f ca="1">VLOOKUP(CT11, AY5:AZ13, 2, FALSE)</f>
        <v>辛</v>
      </c>
      <c r="CW11" s="87">
        <v>8</v>
      </c>
      <c r="CX11" s="97" t="s">
        <v>19</v>
      </c>
      <c r="CY11" s="87">
        <v>8</v>
      </c>
      <c r="CZ11" s="67"/>
      <c r="DA11" s="94">
        <v>8</v>
      </c>
      <c r="DB11" s="94" t="s">
        <v>724</v>
      </c>
      <c r="DC11" s="94" t="s">
        <v>4</v>
      </c>
      <c r="DD11" s="94" t="s">
        <v>33</v>
      </c>
      <c r="DE11" s="94" t="s">
        <v>25</v>
      </c>
      <c r="DF11" s="94">
        <v>8</v>
      </c>
      <c r="DG11" s="99" t="s">
        <v>725</v>
      </c>
      <c r="DH11" s="100">
        <v>1871</v>
      </c>
      <c r="DI11" s="101">
        <v>6</v>
      </c>
      <c r="DJ11" s="94" t="s">
        <v>33</v>
      </c>
      <c r="DK11" s="102">
        <v>0.58333333333333337</v>
      </c>
      <c r="DL11" s="94" t="s">
        <v>724</v>
      </c>
      <c r="DM11" s="69"/>
      <c r="DN11" s="103">
        <f ca="1">This_Yr!E2</f>
        <v>45371.462851632852</v>
      </c>
      <c r="DO11" s="94" t="s">
        <v>41</v>
      </c>
      <c r="DP11" s="146">
        <f t="shared" ca="1" si="11"/>
        <v>45386.6263880888</v>
      </c>
      <c r="DQ11" s="94" t="s">
        <v>21</v>
      </c>
      <c r="DR11" s="87" t="s">
        <v>683</v>
      </c>
      <c r="DS11" s="69"/>
      <c r="DT11" s="104" t="str">
        <f ca="1">IF(AND(TIME(I2,K2,0)&gt;=TIME(13,0,0),TIME(I2,K2,0)&lt;TIME(15,0,0)),"Yes","No")</f>
        <v>No</v>
      </c>
      <c r="DU11" s="100" t="s">
        <v>725</v>
      </c>
      <c r="DV11" s="94" t="s">
        <v>33</v>
      </c>
      <c r="DW11" s="69"/>
      <c r="DX11" s="87">
        <v>7</v>
      </c>
      <c r="DY11" s="87" t="s">
        <v>650</v>
      </c>
      <c r="DZ11" s="105" t="s">
        <v>662</v>
      </c>
      <c r="EA11" s="111">
        <f ca="1">IF(AV11-AB15&gt;=0,AV11-AB15+1,EA10+1)</f>
        <v>8</v>
      </c>
      <c r="EB11" s="97">
        <f t="shared" ref="EB11:EJ11" ca="1" si="30">EA11+9</f>
        <v>17</v>
      </c>
      <c r="EC11" s="97">
        <f t="shared" ca="1" si="30"/>
        <v>26</v>
      </c>
      <c r="ED11" s="97">
        <f t="shared" ca="1" si="30"/>
        <v>35</v>
      </c>
      <c r="EE11" s="97">
        <f t="shared" ca="1" si="30"/>
        <v>44</v>
      </c>
      <c r="EF11" s="97">
        <f t="shared" ca="1" si="30"/>
        <v>53</v>
      </c>
      <c r="EG11" s="97">
        <f t="shared" ca="1" si="30"/>
        <v>62</v>
      </c>
      <c r="EH11" s="97">
        <f t="shared" ca="1" si="30"/>
        <v>71</v>
      </c>
      <c r="EI11" s="97">
        <f t="shared" ca="1" si="30"/>
        <v>80</v>
      </c>
      <c r="EJ11" s="97">
        <f t="shared" ca="1" si="30"/>
        <v>89</v>
      </c>
      <c r="EK11" s="111">
        <f ca="1">IF(AV11-AB15=0, -1, EK12-1)</f>
        <v>-3</v>
      </c>
      <c r="EL11" s="97">
        <f t="shared" ref="EL11:ET11" ca="1" si="31">EK11-9</f>
        <v>-12</v>
      </c>
      <c r="EM11" s="97">
        <f t="shared" ca="1" si="31"/>
        <v>-21</v>
      </c>
      <c r="EN11" s="97">
        <f t="shared" ca="1" si="31"/>
        <v>-30</v>
      </c>
      <c r="EO11" s="97">
        <f t="shared" ca="1" si="31"/>
        <v>-39</v>
      </c>
      <c r="EP11" s="97">
        <f t="shared" ca="1" si="31"/>
        <v>-48</v>
      </c>
      <c r="EQ11" s="97">
        <f t="shared" ca="1" si="31"/>
        <v>-57</v>
      </c>
      <c r="ER11" s="97">
        <f t="shared" ca="1" si="31"/>
        <v>-66</v>
      </c>
      <c r="ES11" s="97">
        <f t="shared" ca="1" si="31"/>
        <v>-75</v>
      </c>
      <c r="ET11" s="97">
        <f t="shared" ca="1" si="31"/>
        <v>-84</v>
      </c>
      <c r="EU11" s="71"/>
      <c r="EX11" s="87">
        <v>7</v>
      </c>
      <c r="EY11" s="87" t="s">
        <v>650</v>
      </c>
      <c r="EZ11" s="87" t="s">
        <v>662</v>
      </c>
      <c r="FA11" s="87">
        <f>FB11-1</f>
        <v>7</v>
      </c>
      <c r="FB11" s="87">
        <f>FC11-1</f>
        <v>8</v>
      </c>
      <c r="FC11" s="87">
        <v>9</v>
      </c>
      <c r="FD11" s="87">
        <f>FE11-1</f>
        <v>1</v>
      </c>
      <c r="FE11" s="87">
        <f>FF11-1</f>
        <v>2</v>
      </c>
      <c r="FF11" s="87">
        <f>FG11-1</f>
        <v>3</v>
      </c>
      <c r="FG11" s="87">
        <f t="shared" si="25"/>
        <v>4</v>
      </c>
      <c r="FH11" s="87">
        <f t="shared" si="20"/>
        <v>5</v>
      </c>
      <c r="FI11" s="87">
        <f t="shared" si="15"/>
        <v>6</v>
      </c>
      <c r="FJ11" s="87">
        <v>7</v>
      </c>
      <c r="FK11" s="87">
        <f>FJ11+1</f>
        <v>8</v>
      </c>
      <c r="FL11" s="87">
        <f>FK11+1</f>
        <v>9</v>
      </c>
      <c r="FM11" s="87">
        <v>1</v>
      </c>
      <c r="FN11" s="87">
        <f>FM11+1</f>
        <v>2</v>
      </c>
      <c r="FO11" s="87">
        <f>FN11+1</f>
        <v>3</v>
      </c>
      <c r="FP11" s="87">
        <f>FO11+1</f>
        <v>4</v>
      </c>
      <c r="FQ11" s="87">
        <f>FP11+1</f>
        <v>5</v>
      </c>
      <c r="FR11" s="87">
        <f t="shared" si="22"/>
        <v>6</v>
      </c>
      <c r="FS11" s="87">
        <f t="shared" si="16"/>
        <v>7</v>
      </c>
      <c r="FU11" s="87">
        <v>7</v>
      </c>
      <c r="FV11" s="87" t="s">
        <v>650</v>
      </c>
      <c r="FW11" s="87" t="s">
        <v>662</v>
      </c>
      <c r="FX11" s="87">
        <v>7</v>
      </c>
      <c r="FY11" s="87">
        <v>2</v>
      </c>
      <c r="FZ11" s="87">
        <v>9</v>
      </c>
      <c r="GA11" s="87">
        <v>4</v>
      </c>
      <c r="GB11" s="87">
        <v>3</v>
      </c>
      <c r="GC11" s="87">
        <v>8</v>
      </c>
      <c r="GD11" s="87">
        <v>1</v>
      </c>
      <c r="GE11" s="87">
        <v>6</v>
      </c>
      <c r="GF11" s="87">
        <v>6</v>
      </c>
      <c r="GG11" s="87">
        <v>1</v>
      </c>
      <c r="GH11" s="87">
        <v>8</v>
      </c>
      <c r="GI11" s="87">
        <v>3</v>
      </c>
      <c r="GJ11" s="87">
        <v>4</v>
      </c>
      <c r="GK11" s="87">
        <v>9</v>
      </c>
      <c r="GL11" s="87">
        <v>2</v>
      </c>
    </row>
    <row r="12" spans="1:241" ht="7.35" customHeight="1" x14ac:dyDescent="0.1">
      <c r="A12" s="88"/>
      <c r="B12" s="288"/>
      <c r="C12" s="277"/>
      <c r="D12" s="278" t="str">
        <f ca="1">IF(OR(Z11="亥", Z11="卯", Z11="未"), "馬","")</f>
        <v/>
      </c>
      <c r="E12" s="278" t="str">
        <f ca="1">IF( OR(E11="开", E11="惊"), "迫", "")</f>
        <v/>
      </c>
      <c r="F12" s="278" t="str">
        <f ca="1">IF( OR(F10="癸", F11="癸", G10="癸", F10="壬", F11="壬", G10="壬", AND(F10=F11, F10="壬"), AND(G10=F11, G10="壬"), AND(F10=F11, F10="辛"), AND(G10=F11, G10="辛")), "刑", "")</f>
        <v>刑</v>
      </c>
      <c r="G12" s="278" t="str">
        <f ca="1">IF( OR(F10="辛", F11="辛", G10="辛", F10="壬", F11="壬", G10="壬"), "墓", "")</f>
        <v/>
      </c>
      <c r="H12" s="289"/>
      <c r="I12" s="280"/>
      <c r="J12" s="280"/>
      <c r="K12" s="281" t="str">
        <f ca="1">IF(K11="休", "迫", "")</f>
        <v/>
      </c>
      <c r="L12" s="281" t="str">
        <f ca="1">IF( OR(L10="辛", L11="辛", M10="辛", AND(L10=L11, L10="壬"), AND(M10=L11, M10="壬"), AND(L10=L11, L10="辛"), AND(M10=L11, M10="辛")), "刑", "")</f>
        <v/>
      </c>
      <c r="M12" s="280"/>
      <c r="N12" s="288"/>
      <c r="O12" s="277"/>
      <c r="P12" s="278" t="str">
        <f ca="1">IF(OR(Z11="寅", Z11="午", Z11="戌"), "馬","")</f>
        <v/>
      </c>
      <c r="Q12" s="278" t="str">
        <f ca="1">IF( OR(Q11="伤", Q11="杜"), "迫", "")</f>
        <v>迫</v>
      </c>
      <c r="R12" s="278" t="str">
        <f ca="1">IF( OR(R10="己", R11="己",S10="己", S11="己", AND(R10=R11, R10="辛"), AND(S10=R11, S10="辛"), AND(R10=S11, R10="辛"), AND(S10=S11, S10="辛"), AND(R10=R11, R10="壬"), AND(S10=R11,S10="壬"), AND(R10=S11, R10="壬"), AND(S10=S11, S10="壬")), "刑", "")</f>
        <v/>
      </c>
      <c r="S12" s="290" t="str">
        <f ca="1">IF( OR(R10="乙", R11="乙", S10="乙", S11="乙", R10="癸", R11="癸", S10="癸", S11="癸", R10=W12, R11=W12, S10=W12, S11=W12), "墓", "")</f>
        <v/>
      </c>
      <c r="T12" s="255"/>
      <c r="U12" s="72"/>
      <c r="W12" s="67" t="str">
        <f ca="1">VLOOKUP(W11, DB4:DE63, 4, FALSE)</f>
        <v>癸</v>
      </c>
      <c r="X12" s="127"/>
      <c r="Y12" s="121"/>
      <c r="Z12" s="122"/>
      <c r="AA12" s="122"/>
      <c r="AB12" s="72" t="s">
        <v>700</v>
      </c>
      <c r="AC12" s="124">
        <f ca="1">VLOOKUP(Z11,DD4:DF15,3,FALSE)</f>
        <v>9</v>
      </c>
      <c r="AG12" s="94">
        <f>HLOOKUP(AG3, FX4:GL13,9, FALSE)</f>
        <v>8</v>
      </c>
      <c r="AH12" s="95">
        <v>8</v>
      </c>
      <c r="AI12" s="95" t="s">
        <v>658</v>
      </c>
      <c r="AJ12" s="95" t="s">
        <v>670</v>
      </c>
      <c r="AK12" s="95" t="str">
        <f t="shared" ca="1" si="1"/>
        <v>己</v>
      </c>
      <c r="AL12" s="95" t="str">
        <f t="shared" ca="1" si="2"/>
        <v>阴</v>
      </c>
      <c r="AM12" s="95" t="str">
        <f ca="1">IF(AC14="阳遁", BK12,CE12)</f>
        <v>庚</v>
      </c>
      <c r="AN12" s="95" t="str">
        <f ca="1">IF(AC14="阳遁", BL12,CF12)</f>
        <v>柱</v>
      </c>
      <c r="AO12" s="95" t="str">
        <f ca="1">IF(AC14="阳遁", BM12,CG12)</f>
        <v>武</v>
      </c>
      <c r="AP12" s="95" t="str">
        <f ca="1">IF(AC14="阳遁", BQ12,CK12)</f>
        <v>惊</v>
      </c>
      <c r="AQ12" s="109" t="str">
        <f ca="1">IF(AC14="阳遁", BW12, CQ12)</f>
        <v>己</v>
      </c>
      <c r="AR12" s="109" t="str">
        <f ca="1">IF(AC14="阳遁", CA12, CU12)</f>
        <v>庚</v>
      </c>
      <c r="AS12" s="94" t="str">
        <f ca="1">IF(AR17="是", AR12, AQ12)</f>
        <v>己</v>
      </c>
      <c r="AT12" s="250" t="str">
        <f t="shared" ca="1" si="10"/>
        <v>庚</v>
      </c>
      <c r="AU12" s="69"/>
      <c r="AV12" s="394">
        <v>8</v>
      </c>
      <c r="AW12" s="67" t="s">
        <v>658</v>
      </c>
      <c r="AX12" s="67" t="s">
        <v>670</v>
      </c>
      <c r="AY12" s="395">
        <f ca="1">IF(AC14="阳遁", EA12,EK12)</f>
        <v>-2</v>
      </c>
      <c r="AZ12" s="128" t="str">
        <f ca="1">VLOOKUP(AY12,CW4:CX21,2,FALSE)</f>
        <v>己</v>
      </c>
      <c r="BA12" s="67" t="s">
        <v>652</v>
      </c>
      <c r="BB12" s="394" t="s">
        <v>634</v>
      </c>
      <c r="BC12" s="395">
        <f ca="1">IF(AC14="阳遁", EB25, ED25)</f>
        <v>-3</v>
      </c>
      <c r="BD12" s="128" t="str">
        <f ca="1">VLOOKUP(BC12, EX17:EY33, 2, FALSE)</f>
        <v>阴</v>
      </c>
      <c r="BE12" s="395">
        <f t="shared" ca="1" si="3"/>
        <v>-2</v>
      </c>
      <c r="BF12" s="402">
        <f ca="1">IF(AZ12=IF(Y11="甲", AC17, Y11),1,0)</f>
        <v>0</v>
      </c>
      <c r="BG12" s="395">
        <f ca="1">HLOOKUP(BF14, EE17:EM26, 9, FALSE)</f>
        <v>4</v>
      </c>
      <c r="BH12" s="409">
        <f ca="1">IF(Y11="甲",  IF(AZ12=W12,1,0), IF(AZ12=Y11,1,0))</f>
        <v>0</v>
      </c>
      <c r="BI12" s="395">
        <f ca="1">HLOOKUP(BH14, EE17:EM26, 9, FALSE)</f>
        <v>4</v>
      </c>
      <c r="BJ12" s="410" t="e">
        <f ca="1">VLOOKUP(BI12, BC5:BE13,3,FALSE)</f>
        <v>#N/A</v>
      </c>
      <c r="BK12" s="411" t="e">
        <f ca="1">VLOOKUP(BJ12,AY5:AZ13,2,FALSE)</f>
        <v>#N/A</v>
      </c>
      <c r="BL12" s="411" t="e">
        <f ca="1">VLOOKUP(BK12, AZ5:BA13,2,FALSE)</f>
        <v>#N/A</v>
      </c>
      <c r="BM12" s="412" t="e">
        <f ca="1">VLOOKUP(BK12, AZ5:BD13, 5, FALSE)</f>
        <v>#N/A</v>
      </c>
      <c r="BN12" s="398">
        <f ca="1">IF(BN14=8, VLOOKUP(AC19, FE18:FF26,2, FALSE), 0)</f>
        <v>0</v>
      </c>
      <c r="BO12" s="110">
        <f ca="1">IF(ISNA(HLOOKUP(BN12, FF25:FM27, 3, FALSE)),0,HLOOKUP(BN12, FF25:FM27, 3, FALSE))</f>
        <v>0</v>
      </c>
      <c r="BP12" s="110">
        <f ca="1">HLOOKUP(BO14, FF17:FM26,9,FALSE)</f>
        <v>9</v>
      </c>
      <c r="BQ12" s="115" t="str">
        <f ca="1">VLOOKUP(BP12, AV5:BB13, 7,FALSE)</f>
        <v>景</v>
      </c>
      <c r="BR12" s="98" t="e">
        <f t="shared" ca="1" si="4"/>
        <v>#N/A</v>
      </c>
      <c r="BS12" s="97">
        <f ca="1">IF(IF(BQ12=AC19, VLOOKUP(IF(Y11="甲", W12,Y11),CX4:CY12,2,FALSE), 0)=BJ9, AY6, IF(BQ12=AC19, VLOOKUP(IF(Y11="甲", W12,Y11),CX4:CY12,2,FALSE), 0))</f>
        <v>0</v>
      </c>
      <c r="BT12" s="97">
        <f ca="1">IF(BS12&lt;&gt;0, HLOOKUP(BK14, FF25:FM27, 3, FALSE),0)</f>
        <v>0</v>
      </c>
      <c r="BU12" s="97" t="e">
        <f ca="1">IF(BK14=5,BY43,HLOOKUP(BT14,FF17:FM26,9,FALSE))</f>
        <v>#N/A</v>
      </c>
      <c r="BV12" s="97" t="e">
        <f ca="1">IF(BK14=5, VLOOKUP(AV12, BY36:BZ44, 2, FALSE),VLOOKUP(BU12,AV5:BJ13,15,FALSE))</f>
        <v>#N/A</v>
      </c>
      <c r="BW12" s="115" t="e">
        <f ca="1">IF(BK14=5,VLOOKUP(BV12,AV5:BK13,16,FALSE),VLOOKUP(BV12,AY5:AZ13,2,FALSE))</f>
        <v>#N/A</v>
      </c>
      <c r="BX12" s="113">
        <v>0</v>
      </c>
      <c r="BY12" s="113">
        <v>4</v>
      </c>
      <c r="BZ12" s="113">
        <f ca="1">IF(MOD(BX9+BY12-1,9)=0, 9, MOD(BX9+BY12-1,9))</f>
        <v>6</v>
      </c>
      <c r="CA12" s="115" t="e">
        <f ca="1">VLOOKUP(BZ12, AY5:AZ13, 2, FALSE)</f>
        <v>#N/A</v>
      </c>
      <c r="CB12" s="113">
        <f ca="1">IF(AZ12=IF(Y11="甲", AC17, Y11),-1,0)</f>
        <v>0</v>
      </c>
      <c r="CC12" s="110">
        <f ca="1">HLOOKUP(CB14, EN17:EV26, 9, FALSE)</f>
        <v>-6</v>
      </c>
      <c r="CD12" s="114">
        <f ca="1">VLOOKUP(CC12, BC5:BE13,3,FALSE)</f>
        <v>-3</v>
      </c>
      <c r="CE12" s="115" t="str">
        <f ca="1">VLOOKUP(CD12,CW4:CX21,2,FALSE)</f>
        <v>庚</v>
      </c>
      <c r="CF12" s="115" t="str">
        <f ca="1">VLOOKUP(CE12, AZ5:BA13,2,FALSE)</f>
        <v>柱</v>
      </c>
      <c r="CG12" s="115" t="str">
        <f ca="1">VLOOKUP(CE12, AZ5:BD13, 5, FALSE)</f>
        <v>武</v>
      </c>
      <c r="CH12" s="113">
        <f ca="1">IF(CH14=8, VLOOKUP(AC19, FE18:FF26,2, FALSE), 0)</f>
        <v>0</v>
      </c>
      <c r="CI12" s="113">
        <f ca="1">IF(ISNA(HLOOKUP(CH12, FF25:FM27, 3, FALSE)),0,HLOOKUP(CH12, FF25:FM27, 3, FALSE))</f>
        <v>0</v>
      </c>
      <c r="CJ12" s="113">
        <f ca="1">HLOOKUP(CI14, FF17:FM26,9,FALSE)</f>
        <v>7</v>
      </c>
      <c r="CK12" s="115" t="str">
        <f ca="1">VLOOKUP(CJ12, AV5:BB13, 7,FALSE)</f>
        <v>惊</v>
      </c>
      <c r="CL12" s="98" t="str">
        <f t="shared" ca="1" si="5"/>
        <v>庚</v>
      </c>
      <c r="CM12" s="97">
        <f ca="1">IF(IF(CK12=AC19, VLOOKUP(IF(Y11="甲", W12,Y11),CX13:CY21,2,FALSE), 0)=CD9, AY6, IF(CK12=AC19, VLOOKUP(IF(Y11="甲", W12,Y11),CX13:CY21,2,FALSE), 0))</f>
        <v>0</v>
      </c>
      <c r="CN12" s="426">
        <f ca="1">IF(CM12&lt;&gt;0, HLOOKUP(CE14, FF25:FM27, 3, FALSE),0)</f>
        <v>0</v>
      </c>
      <c r="CO12" s="97">
        <f ca="1">IF(CE14=5,CS43,HLOOKUP(CN14,FF17:FM26,9,FALSE))</f>
        <v>9</v>
      </c>
      <c r="CP12" s="97">
        <f ca="1">IF(CE14=5,VLOOKUP(AV12,CS36:CT44,2,FALSE),VLOOKUP(CO12,AV5:CD13,35,FALSE))</f>
        <v>-2</v>
      </c>
      <c r="CQ12" s="115" t="str">
        <f ca="1">IF(CE14=5,VLOOKUP(CP12,AV5:CE13,36,FALSE),VLOOKUP(CP12,CW13:CX21,2,FALSE))</f>
        <v>己</v>
      </c>
      <c r="CR12" s="113">
        <v>0</v>
      </c>
      <c r="CS12" s="113">
        <v>-7</v>
      </c>
      <c r="CT12" s="113">
        <f ca="1">IF(MOD(CR9+CS12+1,-9)=0, -9, MOD(CR9+CS12+1,-9))</f>
        <v>-3</v>
      </c>
      <c r="CU12" s="115" t="str">
        <f ca="1">VLOOKUP(CT12, AY5:AZ13, 2, FALSE)</f>
        <v>庚</v>
      </c>
      <c r="CW12" s="87">
        <v>9</v>
      </c>
      <c r="CX12" s="97" t="s">
        <v>16</v>
      </c>
      <c r="CY12" s="87">
        <v>9</v>
      </c>
      <c r="CZ12" s="67"/>
      <c r="DA12" s="94">
        <v>9</v>
      </c>
      <c r="DB12" s="94" t="s">
        <v>727</v>
      </c>
      <c r="DC12" s="94" t="s">
        <v>7</v>
      </c>
      <c r="DD12" s="94" t="s">
        <v>35</v>
      </c>
      <c r="DE12" s="94" t="s">
        <v>25</v>
      </c>
      <c r="DF12" s="94">
        <v>9</v>
      </c>
      <c r="DG12" s="99" t="s">
        <v>728</v>
      </c>
      <c r="DH12" s="100">
        <v>1872</v>
      </c>
      <c r="DI12" s="101">
        <v>7</v>
      </c>
      <c r="DJ12" s="94" t="s">
        <v>35</v>
      </c>
      <c r="DK12" s="102">
        <v>0.66666666666666663</v>
      </c>
      <c r="DL12" s="94" t="s">
        <v>727</v>
      </c>
      <c r="DM12" s="69"/>
      <c r="DN12" s="103">
        <f ca="1">This_Yr!E3</f>
        <v>45386.6263880888</v>
      </c>
      <c r="DO12" s="94" t="s">
        <v>42</v>
      </c>
      <c r="DP12" s="146">
        <f t="shared" ca="1" si="11"/>
        <v>45401.916221303865</v>
      </c>
      <c r="DQ12" s="94" t="s">
        <v>24</v>
      </c>
      <c r="DR12" s="87" t="s">
        <v>683</v>
      </c>
      <c r="DS12" s="69"/>
      <c r="DT12" s="104" t="str">
        <f ca="1">IF(AND(TIME(I2,K2,0)&gt;=TIME(15,0,0),TIME(I2,K2,0)&lt;TIME(17,0,0)),"Yes","No")</f>
        <v>Yes</v>
      </c>
      <c r="DU12" s="100" t="s">
        <v>728</v>
      </c>
      <c r="DV12" s="94" t="s">
        <v>35</v>
      </c>
      <c r="DW12" s="69"/>
      <c r="DX12" s="87">
        <v>8</v>
      </c>
      <c r="DY12" s="87" t="s">
        <v>658</v>
      </c>
      <c r="DZ12" s="105" t="s">
        <v>670</v>
      </c>
      <c r="EA12" s="111">
        <f ca="1">IF(AV12-AB15&gt;=0,AV12-AB15+1,EA11+1)</f>
        <v>9</v>
      </c>
      <c r="EB12" s="97">
        <f t="shared" ref="EB12:EJ12" ca="1" si="32">EA12+9</f>
        <v>18</v>
      </c>
      <c r="EC12" s="97">
        <f t="shared" ca="1" si="32"/>
        <v>27</v>
      </c>
      <c r="ED12" s="97">
        <f t="shared" ca="1" si="32"/>
        <v>36</v>
      </c>
      <c r="EE12" s="97">
        <f t="shared" ca="1" si="32"/>
        <v>45</v>
      </c>
      <c r="EF12" s="97">
        <f t="shared" ca="1" si="32"/>
        <v>54</v>
      </c>
      <c r="EG12" s="97">
        <f t="shared" ca="1" si="32"/>
        <v>63</v>
      </c>
      <c r="EH12" s="97">
        <f t="shared" ca="1" si="32"/>
        <v>72</v>
      </c>
      <c r="EI12" s="97">
        <f t="shared" ca="1" si="32"/>
        <v>81</v>
      </c>
      <c r="EJ12" s="97">
        <f t="shared" ca="1" si="32"/>
        <v>90</v>
      </c>
      <c r="EK12" s="111">
        <f ca="1">IF(AV12-AB15=0, -1, EK13-1)</f>
        <v>-2</v>
      </c>
      <c r="EL12" s="97">
        <f t="shared" ref="EL12:ET12" ca="1" si="33">EK12-9</f>
        <v>-11</v>
      </c>
      <c r="EM12" s="97">
        <f t="shared" ca="1" si="33"/>
        <v>-20</v>
      </c>
      <c r="EN12" s="97">
        <f t="shared" ca="1" si="33"/>
        <v>-29</v>
      </c>
      <c r="EO12" s="97">
        <f t="shared" ca="1" si="33"/>
        <v>-38</v>
      </c>
      <c r="EP12" s="97">
        <f t="shared" ca="1" si="33"/>
        <v>-47</v>
      </c>
      <c r="EQ12" s="97">
        <f t="shared" ca="1" si="33"/>
        <v>-56</v>
      </c>
      <c r="ER12" s="97">
        <f t="shared" ca="1" si="33"/>
        <v>-65</v>
      </c>
      <c r="ES12" s="97">
        <f t="shared" ca="1" si="33"/>
        <v>-74</v>
      </c>
      <c r="ET12" s="97">
        <f t="shared" ca="1" si="33"/>
        <v>-83</v>
      </c>
      <c r="EU12" s="71"/>
      <c r="EX12" s="87">
        <v>8</v>
      </c>
      <c r="EY12" s="87" t="s">
        <v>658</v>
      </c>
      <c r="EZ12" s="87" t="s">
        <v>670</v>
      </c>
      <c r="FA12" s="87">
        <f>FB12-1</f>
        <v>8</v>
      </c>
      <c r="FB12" s="87">
        <v>9</v>
      </c>
      <c r="FC12" s="87">
        <f>FD12-1</f>
        <v>1</v>
      </c>
      <c r="FD12" s="87">
        <f>FE12-1</f>
        <v>2</v>
      </c>
      <c r="FE12" s="87">
        <f>FF12-1</f>
        <v>3</v>
      </c>
      <c r="FF12" s="87">
        <f>FG12-1</f>
        <v>4</v>
      </c>
      <c r="FG12" s="87">
        <f t="shared" si="25"/>
        <v>5</v>
      </c>
      <c r="FH12" s="87">
        <f t="shared" si="20"/>
        <v>6</v>
      </c>
      <c r="FI12" s="87">
        <f t="shared" si="15"/>
        <v>7</v>
      </c>
      <c r="FJ12" s="87">
        <v>8</v>
      </c>
      <c r="FK12" s="87">
        <f>FJ12+1</f>
        <v>9</v>
      </c>
      <c r="FL12" s="87">
        <v>1</v>
      </c>
      <c r="FM12" s="87">
        <f>FL12+1</f>
        <v>2</v>
      </c>
      <c r="FN12" s="87">
        <f>FM12+1</f>
        <v>3</v>
      </c>
      <c r="FO12" s="87">
        <f>FN12+1</f>
        <v>4</v>
      </c>
      <c r="FP12" s="87">
        <f>FO12+1</f>
        <v>5</v>
      </c>
      <c r="FQ12" s="87">
        <f>FP12+1</f>
        <v>6</v>
      </c>
      <c r="FR12" s="87">
        <f t="shared" si="22"/>
        <v>7</v>
      </c>
      <c r="FS12" s="87">
        <f t="shared" si="16"/>
        <v>8</v>
      </c>
      <c r="FU12" s="87">
        <v>8</v>
      </c>
      <c r="FV12" s="87" t="s">
        <v>658</v>
      </c>
      <c r="FW12" s="87" t="s">
        <v>670</v>
      </c>
      <c r="FX12" s="87">
        <v>8</v>
      </c>
      <c r="FY12" s="87">
        <v>1</v>
      </c>
      <c r="FZ12" s="87">
        <v>6</v>
      </c>
      <c r="GA12" s="87">
        <v>7</v>
      </c>
      <c r="GB12" s="87">
        <v>2</v>
      </c>
      <c r="GC12" s="87">
        <v>9</v>
      </c>
      <c r="GD12" s="87">
        <v>4</v>
      </c>
      <c r="GE12" s="87">
        <v>3</v>
      </c>
      <c r="GF12" s="87">
        <v>3</v>
      </c>
      <c r="GG12" s="87">
        <v>4</v>
      </c>
      <c r="GH12" s="87">
        <v>9</v>
      </c>
      <c r="GI12" s="87">
        <v>2</v>
      </c>
      <c r="GJ12" s="87">
        <v>7</v>
      </c>
      <c r="GK12" s="87">
        <v>6</v>
      </c>
      <c r="GL12" s="87">
        <v>1</v>
      </c>
    </row>
    <row r="13" spans="1:241" ht="7.35" customHeight="1" x14ac:dyDescent="0.1">
      <c r="A13" s="88"/>
      <c r="B13" s="288"/>
      <c r="C13" s="277"/>
      <c r="D13" s="278"/>
      <c r="E13" s="278"/>
      <c r="F13" s="278"/>
      <c r="G13" s="278"/>
      <c r="H13" s="289"/>
      <c r="I13" s="280"/>
      <c r="J13" s="280"/>
      <c r="K13" s="281"/>
      <c r="L13" s="281"/>
      <c r="M13" s="280"/>
      <c r="N13" s="288"/>
      <c r="O13" s="277"/>
      <c r="P13" s="278"/>
      <c r="Q13" s="278"/>
      <c r="R13" s="278"/>
      <c r="S13" s="290"/>
      <c r="T13" s="263"/>
      <c r="U13" s="59"/>
      <c r="W13" s="69"/>
      <c r="Y13" s="106"/>
      <c r="Z13" s="85"/>
      <c r="AA13" s="85"/>
      <c r="AB13" s="107" t="s">
        <v>823</v>
      </c>
      <c r="AC13" s="108">
        <f ca="1">VLOOKUP(W11, DB4:DF63, 5, FALSE)</f>
        <v>57</v>
      </c>
      <c r="AG13" s="94">
        <f>HLOOKUP(AG3, FX4:GL13,10, FALSE)</f>
        <v>9</v>
      </c>
      <c r="AH13" s="95">
        <v>9</v>
      </c>
      <c r="AI13" s="95" t="s">
        <v>671</v>
      </c>
      <c r="AJ13" s="95" t="s">
        <v>657</v>
      </c>
      <c r="AK13" s="95" t="str">
        <f t="shared" ca="1" si="1"/>
        <v>戊</v>
      </c>
      <c r="AL13" s="95" t="str">
        <f t="shared" ca="1" si="2"/>
        <v>天</v>
      </c>
      <c r="AM13" s="95" t="str">
        <f ca="1">IF(AC14="阳遁", BK13,CE13)</f>
        <v>己</v>
      </c>
      <c r="AN13" s="95" t="str">
        <f ca="1">IF(AC14="阳遁", BL13,CF13)</f>
        <v>任</v>
      </c>
      <c r="AO13" s="95" t="str">
        <f ca="1">IF(AC14="阳遁", BM13,CG13)</f>
        <v>阴</v>
      </c>
      <c r="AP13" s="95" t="str">
        <f ca="1">IF(AC14="阳遁", BQ13,CK13)</f>
        <v>生</v>
      </c>
      <c r="AQ13" s="109" t="str">
        <f ca="1">IF(AC14="阳遁", BW13, CQ13)</f>
        <v>戊</v>
      </c>
      <c r="AR13" s="109" t="str">
        <f ca="1">IF(AC14="阳遁", CA13, CU13)</f>
        <v>己</v>
      </c>
      <c r="AS13" s="94" t="str">
        <f ca="1">IF(AR17="是", AR13, AQ13)</f>
        <v>戊</v>
      </c>
      <c r="AT13" s="250" t="str">
        <f t="shared" ca="1" si="10"/>
        <v>己</v>
      </c>
      <c r="AU13" s="69"/>
      <c r="AV13" s="394">
        <v>9</v>
      </c>
      <c r="AW13" s="67" t="s">
        <v>671</v>
      </c>
      <c r="AX13" s="67" t="s">
        <v>657</v>
      </c>
      <c r="AY13" s="395">
        <f ca="1">IF(AC14="阳遁", EA13,EK13)</f>
        <v>-1</v>
      </c>
      <c r="AZ13" s="128" t="str">
        <f ca="1">VLOOKUP(AY13,CW4:CX21,2,FALSE)</f>
        <v>戊</v>
      </c>
      <c r="BA13" s="67" t="s">
        <v>663</v>
      </c>
      <c r="BB13" s="394" t="s">
        <v>664</v>
      </c>
      <c r="BC13" s="395">
        <f ca="1">IF(AC14="阳遁", EB26, ED26)</f>
        <v>-8</v>
      </c>
      <c r="BD13" s="128" t="str">
        <f ca="1">VLOOKUP(BC13, EX17:EY33, 2, FALSE)</f>
        <v>天</v>
      </c>
      <c r="BE13" s="395">
        <f t="shared" ca="1" si="3"/>
        <v>-1</v>
      </c>
      <c r="BF13" s="402">
        <f ca="1">IF(AZ13=IF(Y11="甲", AC17, Y11),1,0)</f>
        <v>0</v>
      </c>
      <c r="BG13" s="395">
        <f ca="1">HLOOKUP(BF14, EE17:EM26, 10, FALSE)</f>
        <v>7</v>
      </c>
      <c r="BH13" s="409">
        <f ca="1">IF(Y11="甲",  IF(AZ13=W12,1,0), IF(AZ13=Y11,1,0))</f>
        <v>0</v>
      </c>
      <c r="BI13" s="395">
        <f ca="1">HLOOKUP(BH14, EE17:EM26, 10, FALSE)</f>
        <v>7</v>
      </c>
      <c r="BJ13" s="410" t="e">
        <f ca="1">VLOOKUP(BI13, BC5:BE13,3,FALSE)</f>
        <v>#N/A</v>
      </c>
      <c r="BK13" s="411" t="e">
        <f ca="1">VLOOKUP(BJ13,AY5:AZ13,2,FALSE)</f>
        <v>#N/A</v>
      </c>
      <c r="BL13" s="411" t="e">
        <f ca="1">VLOOKUP(BK13, AZ5:BA13,2,FALSE)</f>
        <v>#N/A</v>
      </c>
      <c r="BM13" s="412" t="e">
        <f ca="1">VLOOKUP(BK13, AZ5:BD13, 5, FALSE)</f>
        <v>#N/A</v>
      </c>
      <c r="BN13" s="398">
        <f ca="1">IF(BN14=9, VLOOKUP(AC19, FE18:FF26,2, FALSE), 0)</f>
        <v>0</v>
      </c>
      <c r="BO13" s="110">
        <f ca="1">IF(ISNA(HLOOKUP(BN13, FF26:FM27, 2, FALSE)),0,HLOOKUP(BN13, FF26:FM27, 2, FALSE))</f>
        <v>0</v>
      </c>
      <c r="BP13" s="110">
        <f ca="1">HLOOKUP(BO14, FF17:FM26,10,FALSE)</f>
        <v>6</v>
      </c>
      <c r="BQ13" s="115" t="str">
        <f ca="1">VLOOKUP(BP13, AV5:BB13, 7,FALSE)</f>
        <v>开</v>
      </c>
      <c r="BR13" s="98" t="e">
        <f t="shared" ca="1" si="4"/>
        <v>#N/A</v>
      </c>
      <c r="BS13" s="97">
        <f ca="1">IF(IF(BQ13=AC19, VLOOKUP(IF(Y11="甲", W12,Y11),CX4:CY12,2,FALSE), 0)=BJ9, AY6, IF(BQ13=AC19, VLOOKUP(IF(Y11="甲", W12,Y11),CX4:CY12,2,FALSE), 0))</f>
        <v>0</v>
      </c>
      <c r="BT13" s="97">
        <f ca="1">IF(BS13&lt;&gt;0, HLOOKUP(BK14, FF26:FM27, 2, FALSE),0)</f>
        <v>0</v>
      </c>
      <c r="BU13" s="97" t="e">
        <f ca="1">IF(BK14=5,BY44,HLOOKUP(BT14,FF17:FM26,10,FALSE))</f>
        <v>#N/A</v>
      </c>
      <c r="BV13" s="97" t="e">
        <f ca="1">IF(BK14=5, VLOOKUP(AV13, BY36:BZ44, 2, FALSE),VLOOKUP(BU13,AV5:BJ13,15,FALSE))</f>
        <v>#N/A</v>
      </c>
      <c r="BW13" s="115" t="e">
        <f ca="1">IF(BK14=5,VLOOKUP(BV13,AV5:BK13,16,FALSE),VLOOKUP(BV13,AY5:AZ13,2,FALSE))</f>
        <v>#N/A</v>
      </c>
      <c r="BX13" s="113">
        <v>0</v>
      </c>
      <c r="BY13" s="113">
        <v>5</v>
      </c>
      <c r="BZ13" s="113">
        <f ca="1">IF(MOD(BX9+BY13-1,9)=0, 9, MOD(BX9+BY13-1,9))</f>
        <v>7</v>
      </c>
      <c r="CA13" s="115" t="e">
        <f ca="1">VLOOKUP(BZ13, AY5:AZ13, 2, FALSE)</f>
        <v>#N/A</v>
      </c>
      <c r="CB13" s="113">
        <f ca="1">IF(AZ13=IF(Y11="甲", AC17, Y11),-1,0)</f>
        <v>0</v>
      </c>
      <c r="CC13" s="110">
        <f ca="1">HLOOKUP(CB14, EN17:EV26, 10, FALSE)</f>
        <v>-3</v>
      </c>
      <c r="CD13" s="114">
        <f ca="1">VLOOKUP(CC13, BC5:BE13,3,FALSE)</f>
        <v>-2</v>
      </c>
      <c r="CE13" s="115" t="str">
        <f ca="1">VLOOKUP(CD13,CW4:CX21,2,FALSE)</f>
        <v>己</v>
      </c>
      <c r="CF13" s="115" t="str">
        <f ca="1">VLOOKUP(CE13, AZ5:BA13,2,FALSE)</f>
        <v>任</v>
      </c>
      <c r="CG13" s="115" t="str">
        <f ca="1">VLOOKUP(CE13, AZ5:BD13, 5, FALSE)</f>
        <v>阴</v>
      </c>
      <c r="CH13" s="113">
        <f ca="1">IF(CH14=9, VLOOKUP(AC19, FE18:FF26,2, FALSE), 0)</f>
        <v>0</v>
      </c>
      <c r="CI13" s="113">
        <f ca="1">IF(ISNA(HLOOKUP(CH13, FF26:FM27, 2, FALSE)),0,HLOOKUP(CH13, FF26:FM27, 2, FALSE))</f>
        <v>0</v>
      </c>
      <c r="CJ13" s="113">
        <f ca="1">HLOOKUP(CI14, FF17:FM26,10,FALSE)</f>
        <v>8</v>
      </c>
      <c r="CK13" s="115" t="str">
        <f ca="1">VLOOKUP(CJ13, AV5:BB13, 7,FALSE)</f>
        <v>生</v>
      </c>
      <c r="CL13" s="98" t="str">
        <f t="shared" ca="1" si="5"/>
        <v>己</v>
      </c>
      <c r="CM13" s="97">
        <f ca="1">IF(IF(CK13=AC19, VLOOKUP(IF(Y11="甲", W12,Y11),CX13:CY21,2,FALSE), 0)=CD9, AY6, IF(CK13=AC19, VLOOKUP(IF(Y11="甲", W12,Y11),CX13:CY21,2,FALSE), 0))</f>
        <v>0</v>
      </c>
      <c r="CN13" s="426">
        <f ca="1">IF(CM13&lt;&gt;0, HLOOKUP(CE14, FF26:FM27, 2, FALSE),0)</f>
        <v>0</v>
      </c>
      <c r="CO13" s="97">
        <f ca="1">IF(CE14=5,CS44,HLOOKUP(CN14,FF17:FM26,10,FALSE))</f>
        <v>6</v>
      </c>
      <c r="CP13" s="97">
        <f ca="1">IF(CE14=5,VLOOKUP(AV13,CS36:CT44,2,FALSE),VLOOKUP(CO13,AV5:CD13,35,FALSE))</f>
        <v>-1</v>
      </c>
      <c r="CQ13" s="115" t="str">
        <f ca="1">IF(CE14=5,VLOOKUP(CP13,AV5:CE13,36,FALSE),VLOOKUP(CP13,CW13:CX21,2,FALSE))</f>
        <v>戊</v>
      </c>
      <c r="CR13" s="113">
        <v>0</v>
      </c>
      <c r="CS13" s="113">
        <v>-6</v>
      </c>
      <c r="CT13" s="113">
        <f ca="1">IF(MOD(CR9+CS13+1,-9)=0, -9, MOD(CR9+CS13+1,-9))</f>
        <v>-2</v>
      </c>
      <c r="CU13" s="115" t="str">
        <f ca="1">VLOOKUP(CT13, AY5:AZ13, 2, FALSE)</f>
        <v>己</v>
      </c>
      <c r="CW13" s="87">
        <v>-1</v>
      </c>
      <c r="CX13" s="97" t="s">
        <v>25</v>
      </c>
      <c r="CY13" s="87">
        <v>-1</v>
      </c>
      <c r="CZ13" s="67"/>
      <c r="DA13" s="94">
        <v>10</v>
      </c>
      <c r="DB13" s="94" t="s">
        <v>731</v>
      </c>
      <c r="DC13" s="94" t="s">
        <v>10</v>
      </c>
      <c r="DD13" s="94" t="s">
        <v>3</v>
      </c>
      <c r="DE13" s="94" t="s">
        <v>25</v>
      </c>
      <c r="DF13" s="94">
        <v>10</v>
      </c>
      <c r="DG13" s="99" t="s">
        <v>824</v>
      </c>
      <c r="DH13" s="100">
        <v>1873</v>
      </c>
      <c r="DI13" s="101">
        <v>8</v>
      </c>
      <c r="DJ13" s="94" t="s">
        <v>3</v>
      </c>
      <c r="DK13" s="102">
        <v>0.75</v>
      </c>
      <c r="DL13" s="94" t="s">
        <v>731</v>
      </c>
      <c r="DM13" s="69"/>
      <c r="DN13" s="103">
        <f ca="1">This_Yr!E4</f>
        <v>45401.916221303865</v>
      </c>
      <c r="DO13" s="94" t="s">
        <v>567</v>
      </c>
      <c r="DP13" s="146">
        <f t="shared" ca="1" si="11"/>
        <v>45417.339833327103</v>
      </c>
      <c r="DQ13" s="94" t="s">
        <v>24</v>
      </c>
      <c r="DR13" s="87" t="s">
        <v>683</v>
      </c>
      <c r="DS13" s="69"/>
      <c r="DT13" s="104" t="str">
        <f ca="1">IF(AND(TIME(I2,K2,0)&gt;=TIME(17,0,0),TIME(I2,K2,0)&lt;TIME(19,0,0)),"Yes","No")</f>
        <v>No</v>
      </c>
      <c r="DU13" s="100" t="s">
        <v>824</v>
      </c>
      <c r="DV13" s="94" t="s">
        <v>3</v>
      </c>
      <c r="DW13" s="69"/>
      <c r="DX13" s="87">
        <v>9</v>
      </c>
      <c r="DY13" s="87" t="s">
        <v>671</v>
      </c>
      <c r="DZ13" s="105" t="s">
        <v>657</v>
      </c>
      <c r="EA13" s="111">
        <f ca="1">IF(AV13-AB15&gt;=0,AV13-AB15+1,EA12+1)</f>
        <v>1</v>
      </c>
      <c r="EB13" s="97">
        <f t="shared" ref="EB13:EJ13" ca="1" si="34">EA13+9</f>
        <v>10</v>
      </c>
      <c r="EC13" s="97">
        <f t="shared" ca="1" si="34"/>
        <v>19</v>
      </c>
      <c r="ED13" s="97">
        <f t="shared" ca="1" si="34"/>
        <v>28</v>
      </c>
      <c r="EE13" s="97">
        <f t="shared" ca="1" si="34"/>
        <v>37</v>
      </c>
      <c r="EF13" s="97">
        <f t="shared" ca="1" si="34"/>
        <v>46</v>
      </c>
      <c r="EG13" s="97">
        <f t="shared" ca="1" si="34"/>
        <v>55</v>
      </c>
      <c r="EH13" s="97">
        <f t="shared" ca="1" si="34"/>
        <v>64</v>
      </c>
      <c r="EI13" s="97">
        <f t="shared" ca="1" si="34"/>
        <v>73</v>
      </c>
      <c r="EJ13" s="97">
        <f t="shared" ca="1" si="34"/>
        <v>82</v>
      </c>
      <c r="EK13" s="111">
        <f ca="1">IF(AV13-AB15=0, -1, EK5-1)</f>
        <v>-1</v>
      </c>
      <c r="EL13" s="97">
        <f t="shared" ref="EL13:ET13" ca="1" si="35">EK13-9</f>
        <v>-10</v>
      </c>
      <c r="EM13" s="97">
        <f t="shared" ca="1" si="35"/>
        <v>-19</v>
      </c>
      <c r="EN13" s="97">
        <f t="shared" ca="1" si="35"/>
        <v>-28</v>
      </c>
      <c r="EO13" s="97">
        <f t="shared" ca="1" si="35"/>
        <v>-37</v>
      </c>
      <c r="EP13" s="97">
        <f t="shared" ca="1" si="35"/>
        <v>-46</v>
      </c>
      <c r="EQ13" s="97">
        <f t="shared" ca="1" si="35"/>
        <v>-55</v>
      </c>
      <c r="ER13" s="97">
        <f t="shared" ca="1" si="35"/>
        <v>-64</v>
      </c>
      <c r="ES13" s="97">
        <f t="shared" ca="1" si="35"/>
        <v>-73</v>
      </c>
      <c r="ET13" s="97">
        <f t="shared" ca="1" si="35"/>
        <v>-82</v>
      </c>
      <c r="EU13" s="71"/>
      <c r="EX13" s="87">
        <v>9</v>
      </c>
      <c r="EY13" s="87" t="s">
        <v>671</v>
      </c>
      <c r="EZ13" s="87" t="s">
        <v>657</v>
      </c>
      <c r="FA13" s="87">
        <v>9</v>
      </c>
      <c r="FB13" s="87">
        <f>FC13-1</f>
        <v>1</v>
      </c>
      <c r="FC13" s="87">
        <f>FD13-1</f>
        <v>2</v>
      </c>
      <c r="FD13" s="87">
        <f>FE13-1</f>
        <v>3</v>
      </c>
      <c r="FE13" s="87">
        <f>FF13-1</f>
        <v>4</v>
      </c>
      <c r="FF13" s="87">
        <f>FG13-1</f>
        <v>5</v>
      </c>
      <c r="FG13" s="87">
        <f t="shared" si="25"/>
        <v>6</v>
      </c>
      <c r="FH13" s="87">
        <f t="shared" si="20"/>
        <v>7</v>
      </c>
      <c r="FI13" s="87">
        <f t="shared" si="15"/>
        <v>8</v>
      </c>
      <c r="FJ13" s="87">
        <v>9</v>
      </c>
      <c r="FK13" s="87">
        <v>1</v>
      </c>
      <c r="FL13" s="87">
        <v>2</v>
      </c>
      <c r="FM13" s="87">
        <v>3</v>
      </c>
      <c r="FN13" s="87">
        <v>4</v>
      </c>
      <c r="FO13" s="87">
        <v>5</v>
      </c>
      <c r="FP13" s="87">
        <v>6</v>
      </c>
      <c r="FQ13" s="87">
        <v>7</v>
      </c>
      <c r="FR13" s="87">
        <f t="shared" si="22"/>
        <v>8</v>
      </c>
      <c r="FS13" s="87">
        <f t="shared" si="16"/>
        <v>9</v>
      </c>
      <c r="FU13" s="87">
        <v>9</v>
      </c>
      <c r="FV13" s="87" t="s">
        <v>671</v>
      </c>
      <c r="FW13" s="87" t="s">
        <v>657</v>
      </c>
      <c r="FX13" s="87">
        <v>9</v>
      </c>
      <c r="FY13" s="87">
        <v>4</v>
      </c>
      <c r="FZ13" s="87">
        <v>3</v>
      </c>
      <c r="GA13" s="87">
        <v>8</v>
      </c>
      <c r="GB13" s="87">
        <v>1</v>
      </c>
      <c r="GC13" s="87">
        <v>6</v>
      </c>
      <c r="GD13" s="87">
        <v>7</v>
      </c>
      <c r="GE13" s="87">
        <v>2</v>
      </c>
      <c r="GF13" s="87">
        <v>2</v>
      </c>
      <c r="GG13" s="87">
        <v>7</v>
      </c>
      <c r="GH13" s="87">
        <v>6</v>
      </c>
      <c r="GI13" s="87">
        <v>1</v>
      </c>
      <c r="GJ13" s="87">
        <v>8</v>
      </c>
      <c r="GK13" s="87">
        <v>3</v>
      </c>
      <c r="GL13" s="87">
        <v>4</v>
      </c>
    </row>
    <row r="14" spans="1:241" ht="7.35" customHeight="1" x14ac:dyDescent="0.1">
      <c r="A14" s="88"/>
      <c r="B14" s="272"/>
      <c r="C14" s="273"/>
      <c r="D14" s="273"/>
      <c r="E14" s="273"/>
      <c r="F14" s="273"/>
      <c r="G14" s="273">
        <f>AG7</f>
        <v>3</v>
      </c>
      <c r="H14" s="291"/>
      <c r="I14" s="292"/>
      <c r="J14" s="292"/>
      <c r="K14" s="292"/>
      <c r="L14" s="293"/>
      <c r="M14" s="294" t="str">
        <f ca="1">CONCATENATE(AB16,AC16)</f>
        <v>阴九局</v>
      </c>
      <c r="N14" s="272"/>
      <c r="O14" s="273"/>
      <c r="P14" s="273"/>
      <c r="Q14" s="273"/>
      <c r="R14" s="273"/>
      <c r="S14" s="295">
        <f>AG11</f>
        <v>7</v>
      </c>
      <c r="T14" s="263"/>
      <c r="W14" s="69"/>
      <c r="AC14" s="128" t="str">
        <f ca="1">IF( ISBLANK(Worksheet!AF14), VLOOKUP(AC6, DO4:DR29, 4, FALSE),  Worksheet!AF14)</f>
        <v>阴遁</v>
      </c>
      <c r="AG14" s="78"/>
      <c r="AH14" s="69"/>
      <c r="AI14" s="69"/>
      <c r="AJ14" s="69"/>
      <c r="AK14" s="69"/>
      <c r="AL14" s="69"/>
      <c r="AM14" s="69"/>
      <c r="AN14" s="69"/>
      <c r="AO14" s="69"/>
      <c r="AP14" s="69"/>
      <c r="AQ14" s="69"/>
      <c r="AR14" s="69"/>
      <c r="AS14" s="69"/>
      <c r="AU14" s="69"/>
      <c r="AV14" s="390"/>
      <c r="AW14" s="391"/>
      <c r="AX14" s="391"/>
      <c r="AY14" s="391"/>
      <c r="AZ14" s="413">
        <f ca="1">IF(AZ5=AC17,1, AZ15)</f>
        <v>4</v>
      </c>
      <c r="BA14" s="391"/>
      <c r="BB14" s="390"/>
      <c r="BC14" s="391"/>
      <c r="BD14" s="391"/>
      <c r="BE14" s="413"/>
      <c r="BF14" s="413">
        <f ca="1">IF(BF5=1,1, BF15)</f>
        <v>7</v>
      </c>
      <c r="BG14" s="413"/>
      <c r="BH14" s="414">
        <f ca="1">IF(BH5=1,1, BH15)</f>
        <v>7</v>
      </c>
      <c r="BI14" s="413"/>
      <c r="BJ14" s="413"/>
      <c r="BK14" s="413" t="e">
        <f ca="1">IF(BK5=IF(Y11="甲", W12,Y11),1, BK15)</f>
        <v>#N/A</v>
      </c>
      <c r="BL14" s="413"/>
      <c r="BM14" s="416"/>
      <c r="BN14" s="130">
        <f ca="1">IF(IF(AZ14+AC13-AA17&gt;9,AZ14+AC13-AA17-9,AZ14+AC13-AA17)=5, 2, IF(AZ14+AC13-AA17&gt;9,AZ14+AC13-AA17-9,AZ14+AC13-AA17))</f>
        <v>1</v>
      </c>
      <c r="BO14" s="129">
        <f ca="1">MAX(BO5:BO13)</f>
        <v>3</v>
      </c>
      <c r="BP14" s="129"/>
      <c r="BQ14" s="130"/>
      <c r="BR14" s="130"/>
      <c r="BS14" s="131">
        <f ca="1">IF( OR(BS5=VLOOKUP(Y11, CX4:CY12, 2, FALSE), BS5=AY6),1, BS15)</f>
        <v>1</v>
      </c>
      <c r="BT14" s="129" t="e">
        <f ca="1">MAX(BT5:BT13)</f>
        <v>#N/A</v>
      </c>
      <c r="BY14" s="129"/>
      <c r="CB14" s="129">
        <f ca="1">IF(CB5=-1,-1, CB15)</f>
        <v>-7</v>
      </c>
      <c r="CC14" s="129"/>
      <c r="CD14" s="129"/>
      <c r="CE14" s="129">
        <f ca="1">IF(CE5=IF(Y11="甲", W12,Y11),1, CE15)</f>
        <v>8</v>
      </c>
      <c r="CF14" s="129"/>
      <c r="CG14" s="130"/>
      <c r="CH14" s="130">
        <f ca="1">IF(IF(AZ14-AC13+AA17&lt;=0,AZ14-AC13+AA17+9,AZ14-AC13+AA17)=5, 2, IF(AZ14-AC13+AA17&lt;=0,AZ14-AC13+AA17+9,AZ14-AC13+AA17))</f>
        <v>7</v>
      </c>
      <c r="CI14" s="129">
        <f ca="1">MAX(CI5:CI13)</f>
        <v>5</v>
      </c>
      <c r="CJ14" s="129"/>
      <c r="CK14" s="130"/>
      <c r="CL14" s="130"/>
      <c r="CM14" s="131">
        <f ca="1">IF( OR(CM5=VLOOKUP(Y11, CX13:CY21, 2, FALSE), CM5=AY6),1, CM15)</f>
        <v>7</v>
      </c>
      <c r="CN14" s="130">
        <f ca="1">MAX(CN5:CN13)</f>
        <v>3</v>
      </c>
      <c r="CS14" s="129"/>
      <c r="CW14" s="87">
        <v>-2</v>
      </c>
      <c r="CX14" s="97" t="s">
        <v>666</v>
      </c>
      <c r="CY14" s="87">
        <v>-2</v>
      </c>
      <c r="CZ14" s="67"/>
      <c r="DA14" s="94">
        <v>11</v>
      </c>
      <c r="DB14" s="94" t="s">
        <v>732</v>
      </c>
      <c r="DC14" s="94" t="s">
        <v>13</v>
      </c>
      <c r="DD14" s="94" t="s">
        <v>6</v>
      </c>
      <c r="DE14" s="94" t="s">
        <v>666</v>
      </c>
      <c r="DF14" s="94">
        <v>11</v>
      </c>
      <c r="DG14" s="99" t="s">
        <v>733</v>
      </c>
      <c r="DH14" s="100">
        <v>1874</v>
      </c>
      <c r="DI14" s="101">
        <v>9</v>
      </c>
      <c r="DJ14" s="94" t="s">
        <v>6</v>
      </c>
      <c r="DK14" s="102">
        <v>0.83333333333333337</v>
      </c>
      <c r="DL14" s="94" t="s">
        <v>732</v>
      </c>
      <c r="DM14" s="69"/>
      <c r="DN14" s="103">
        <f ca="1">This_Yr!E5</f>
        <v>45417.339833327103</v>
      </c>
      <c r="DO14" s="94" t="s">
        <v>44</v>
      </c>
      <c r="DP14" s="146">
        <f t="shared" ca="1" si="11"/>
        <v>45432.874184390064</v>
      </c>
      <c r="DQ14" s="94" t="s">
        <v>27</v>
      </c>
      <c r="DR14" s="87" t="s">
        <v>683</v>
      </c>
      <c r="DS14" s="69"/>
      <c r="DT14" s="104" t="str">
        <f ca="1">IF(AND(TIME(I2,K2,0)&gt;=TIME(19,0,0),TIME(I2,K2,0)&lt;TIME(21,0,0)),"Yes","No")</f>
        <v>No</v>
      </c>
      <c r="DU14" s="100" t="s">
        <v>733</v>
      </c>
      <c r="DV14" s="94" t="s">
        <v>6</v>
      </c>
      <c r="DW14" s="69"/>
      <c r="DX14" s="67"/>
      <c r="DY14" s="67"/>
      <c r="DZ14" s="67"/>
      <c r="EA14" s="67"/>
      <c r="EB14" s="67"/>
      <c r="EC14" s="67"/>
      <c r="ED14" s="67"/>
      <c r="EE14" s="67"/>
      <c r="EF14" s="67"/>
      <c r="EG14" s="67"/>
      <c r="EH14" s="67"/>
      <c r="EI14" s="67"/>
      <c r="EJ14" s="67"/>
      <c r="EK14" s="67"/>
      <c r="EL14" s="67"/>
      <c r="EM14" s="67"/>
      <c r="EN14" s="67"/>
      <c r="EO14" s="67"/>
      <c r="EP14" s="67"/>
      <c r="EQ14" s="67"/>
      <c r="ER14" s="67"/>
      <c r="ES14" s="67"/>
      <c r="ET14" s="69"/>
      <c r="EU14" s="67"/>
      <c r="EV14" s="67"/>
      <c r="EW14" s="67"/>
      <c r="EX14" s="133"/>
      <c r="EY14" s="133"/>
      <c r="EZ14" s="133"/>
      <c r="FA14" s="87">
        <f t="shared" ref="FA14:FS14" si="36">FA4</f>
        <v>-9</v>
      </c>
      <c r="FB14" s="87">
        <f t="shared" si="36"/>
        <v>-8</v>
      </c>
      <c r="FC14" s="87">
        <f t="shared" si="36"/>
        <v>-7</v>
      </c>
      <c r="FD14" s="87">
        <f t="shared" si="36"/>
        <v>-6</v>
      </c>
      <c r="FE14" s="87">
        <f t="shared" si="36"/>
        <v>-5</v>
      </c>
      <c r="FF14" s="87">
        <f t="shared" si="36"/>
        <v>-4</v>
      </c>
      <c r="FG14" s="87">
        <f t="shared" si="36"/>
        <v>-3</v>
      </c>
      <c r="FH14" s="87">
        <f t="shared" si="36"/>
        <v>-2</v>
      </c>
      <c r="FI14" s="87">
        <f t="shared" si="36"/>
        <v>-1</v>
      </c>
      <c r="FJ14" s="87">
        <f t="shared" si="36"/>
        <v>0</v>
      </c>
      <c r="FK14" s="87">
        <f t="shared" si="36"/>
        <v>1</v>
      </c>
      <c r="FL14" s="87">
        <f t="shared" si="36"/>
        <v>2</v>
      </c>
      <c r="FM14" s="87">
        <f t="shared" si="36"/>
        <v>3</v>
      </c>
      <c r="FN14" s="87">
        <f t="shared" si="36"/>
        <v>4</v>
      </c>
      <c r="FO14" s="87">
        <f t="shared" si="36"/>
        <v>5</v>
      </c>
      <c r="FP14" s="87">
        <f t="shared" si="36"/>
        <v>6</v>
      </c>
      <c r="FQ14" s="87">
        <f t="shared" si="36"/>
        <v>7</v>
      </c>
      <c r="FR14" s="87">
        <f t="shared" si="36"/>
        <v>8</v>
      </c>
      <c r="FS14" s="87">
        <f t="shared" si="36"/>
        <v>9</v>
      </c>
      <c r="FT14" s="67"/>
    </row>
    <row r="15" spans="1:241" ht="7.35" customHeight="1" x14ac:dyDescent="0.1">
      <c r="A15" s="88"/>
      <c r="B15" s="279"/>
      <c r="C15" s="280"/>
      <c r="D15" s="281" t="str">
        <f ca="1">IF(AB17="甲辰", "空","")</f>
        <v/>
      </c>
      <c r="E15" s="280" t="str">
        <f ca="1">VLOOKUP(G14, AH5:AS13,8, FALSE)</f>
        <v>虎</v>
      </c>
      <c r="F15" s="280" t="str">
        <f ca="1">VLOOKUP(G14, AH5:AS13,5, FALSE)</f>
        <v>蛇</v>
      </c>
      <c r="G15" s="280"/>
      <c r="H15" s="296" t="s">
        <v>729</v>
      </c>
      <c r="I15" s="297"/>
      <c r="J15" s="297"/>
      <c r="K15" s="297"/>
      <c r="L15" s="298"/>
      <c r="M15" s="298" t="str">
        <f ca="1">CONCATENATE(AB17,AC17)&amp;"旬"</f>
        <v>甲寅癸旬</v>
      </c>
      <c r="N15" s="279"/>
      <c r="O15" s="280"/>
      <c r="P15" s="281" t="str">
        <f ca="1">IF(AB17="甲戌", "空","")</f>
        <v/>
      </c>
      <c r="Q15" s="280" t="str">
        <f ca="1">VLOOKUP(S14, AH5:AS13,8, FALSE)</f>
        <v>符</v>
      </c>
      <c r="R15" s="280" t="str">
        <f ca="1">VLOOKUP(S14, AH5:AS13,5, FALSE)</f>
        <v>武</v>
      </c>
      <c r="S15" s="299"/>
      <c r="T15" s="263"/>
      <c r="W15" s="69"/>
      <c r="AA15" s="134" t="s">
        <v>735</v>
      </c>
      <c r="AB15" s="128">
        <f ca="1">IF( ISBLANK(Worksheet!AH14), IF(MOD((AC5+AC8+AC9+AC12),9)=0, 9, MOD((AC5+AC8+AC9+AC12),9)),  VLOOKUP(Worksheet!AH14, Program!CX24:CY32, 2, FALSE))</f>
        <v>9</v>
      </c>
      <c r="AC15" s="128" t="str">
        <f ca="1">VLOOKUP(AB15,AV5:AX13,3,FALSE)</f>
        <v>離</v>
      </c>
      <c r="AG15" s="67" t="s">
        <v>858</v>
      </c>
      <c r="AH15" s="67" t="str">
        <f ca="1">Data!B41</f>
        <v>七月廿四</v>
      </c>
      <c r="AQ15" s="135" t="s">
        <v>736</v>
      </c>
      <c r="AR15" s="72" t="str">
        <f ca="1">IF(AC14="阳遁", VLOOKUP(AC19, BQ5:BR13, 2, FALSE), VLOOKUP(AC19, CK5:CL13, 2, FALSE))</f>
        <v>癸</v>
      </c>
      <c r="AS15" s="72" t="str">
        <f ca="1">IF(AR15=R11, S11, "")</f>
        <v/>
      </c>
      <c r="AU15" s="69"/>
      <c r="AV15" s="394"/>
      <c r="AW15" s="67"/>
      <c r="AX15" s="67"/>
      <c r="AY15" s="67"/>
      <c r="AZ15" s="132">
        <f ca="1">IF(AZ6=AC17,2,IF(AZ7=AC17,3,IF(AZ8=AC17,4,IF(AZ9=AC17,5,IF(AZ10=AC17,6,IF(AZ11=AC17,7,AZ16))))))</f>
        <v>4</v>
      </c>
      <c r="BA15" s="67"/>
      <c r="BB15" s="394"/>
      <c r="BC15" s="67"/>
      <c r="BD15" s="67"/>
      <c r="BE15" s="129"/>
      <c r="BF15" s="129">
        <f ca="1">IF(BF6=1,2,IF(BF7=1,3,IF(BF8=1,4,IF(BF9=1,2,IF(BF10=1,6,IF(BF11=1,7,IF(BF12=1,8,IF(BF13=1,9,"Wrong"))))))))</f>
        <v>7</v>
      </c>
      <c r="BG15" s="129"/>
      <c r="BH15" s="415">
        <f ca="1">IF(BH6=1,2,IF(BH7=1,3,IF(BH8=1,4,IF(BH9=1,5,IF(BH10=1,6,IF(BH11=1,7,IF(BH12=1,8,IF(BH13=1,9,"Wrong"))))))))</f>
        <v>7</v>
      </c>
      <c r="BI15" s="129"/>
      <c r="BJ15" s="129"/>
      <c r="BK15" s="132" t="e">
        <f ca="1">IF(BK6=IF(Y11="甲",W12,Y11),2,IF(BK7=IF(Y11="甲",W12,Y11),3,IF(BK8=IF(Y11="甲",W12,Y11),4,IF(BK9=IF(Y11="甲",W12,Y11),5,IF(BK10=IF(Y11="甲",W12,Y11),6,IF(BK11=IF(Y11="甲",W12,Y11),7,BK16))))))</f>
        <v>#N/A</v>
      </c>
      <c r="BL15" s="129"/>
      <c r="BM15" s="417"/>
      <c r="BN15" s="129"/>
      <c r="BO15" s="129"/>
      <c r="BP15" s="129"/>
      <c r="BQ15" s="130"/>
      <c r="BR15" s="130"/>
      <c r="BS15" s="131" t="str">
        <f ca="1">IF(OR(BS6=VLOOKUP(Y11, CX4:CY12, 2, FALSE),BS6=AY6),2,IF(OR(BS7=VLOOKUP(Y11, CX4:CY12, 2, FALSE),BS7=AY6),3,IF(OR(BS8=VLOOKUP(Y11, CX4:CY12, 2, FALSE),BS8=AY6),4,BS16)))</f>
        <v>Wrong</v>
      </c>
      <c r="BT15" s="129"/>
      <c r="BY15" s="129"/>
      <c r="CB15" s="129">
        <f ca="1">IF(CB6=-1,-2,IF(CB7=-1,-3,IF(CB8=-1,-4,IF(CB9=-1,-5,IF(CB10=-1,-6,IF(CB11=-1,-7,IF(CB12=-1,-8,IF(CB13=-1,-9,"Wrong"))))))))</f>
        <v>-7</v>
      </c>
      <c r="CC15" s="129"/>
      <c r="CD15" s="129"/>
      <c r="CE15" s="132">
        <f ca="1">IF(CE6=IF(Y11="甲",W12,Y11),2,IF(CE7=IF(Y11="甲",W12,Y11),3,IF(CE8=IF(Y11="甲",W12,Y11),4,IF(CE9=IF(Y11="甲",W12,Y11),5,IF(CE10=IF(Y11="甲",W12,Y11),6,IF(CE11=IF(Y11="甲",W12,Y11),7,CE16))))))</f>
        <v>8</v>
      </c>
      <c r="CF15" s="129"/>
      <c r="CG15" s="130"/>
      <c r="CH15" s="129"/>
      <c r="CI15" s="129"/>
      <c r="CJ15" s="129"/>
      <c r="CK15" s="130"/>
      <c r="CL15" s="130"/>
      <c r="CM15" s="131">
        <f ca="1">IF(OR(CM6=VLOOKUP(Y11, CX13:CY21, 2, FALSE),CM6=AY6),2,IF(OR(CM7=VLOOKUP(Y11, CX13:CY21, 2, FALSE),CM7=AY6),3,IF(OR(CM8=VLOOKUP(Y11, CX13:CY21, 2, FALSE),CM8=AY6),4,CM16)))</f>
        <v>7</v>
      </c>
      <c r="CN15" s="130"/>
      <c r="CS15" s="129"/>
      <c r="CW15" s="87">
        <v>-3</v>
      </c>
      <c r="CX15" s="97" t="s">
        <v>31</v>
      </c>
      <c r="CY15" s="87">
        <v>-3</v>
      </c>
      <c r="CZ15" s="67"/>
      <c r="DA15" s="94">
        <v>12</v>
      </c>
      <c r="DB15" s="94" t="s">
        <v>737</v>
      </c>
      <c r="DC15" s="94" t="s">
        <v>16</v>
      </c>
      <c r="DD15" s="94" t="s">
        <v>9</v>
      </c>
      <c r="DE15" s="94" t="s">
        <v>666</v>
      </c>
      <c r="DF15" s="94">
        <v>12</v>
      </c>
      <c r="DG15" s="99" t="s">
        <v>738</v>
      </c>
      <c r="DH15" s="100">
        <v>1875</v>
      </c>
      <c r="DI15" s="101">
        <v>10</v>
      </c>
      <c r="DJ15" s="94" t="s">
        <v>9</v>
      </c>
      <c r="DK15" s="102">
        <v>0.91666666666666663</v>
      </c>
      <c r="DL15" s="94" t="s">
        <v>737</v>
      </c>
      <c r="DM15" s="69"/>
      <c r="DN15" s="103">
        <f ca="1">This_Yr!E6</f>
        <v>45432.874184390064</v>
      </c>
      <c r="DO15" s="94" t="s">
        <v>571</v>
      </c>
      <c r="DP15" s="146">
        <f t="shared" ca="1" si="11"/>
        <v>45448.506432755385</v>
      </c>
      <c r="DQ15" s="94" t="s">
        <v>27</v>
      </c>
      <c r="DR15" s="87" t="s">
        <v>683</v>
      </c>
      <c r="DS15" s="69"/>
      <c r="DT15" s="104" t="str">
        <f ca="1">IF(AND(TIME(I2,K2,0)&gt;=TIME(21,0,0),TIME(I2,K2,0)&lt;TIME(23,0,0)),"Yes","No")</f>
        <v>No</v>
      </c>
      <c r="DU15" s="100" t="s">
        <v>738</v>
      </c>
      <c r="DV15" s="94" t="s">
        <v>9</v>
      </c>
      <c r="DW15" s="69"/>
      <c r="DX15" s="67"/>
      <c r="DY15" s="67"/>
      <c r="DZ15" s="67"/>
      <c r="EA15" s="67"/>
      <c r="EB15" s="67"/>
      <c r="EC15" s="67"/>
      <c r="ED15" s="67"/>
      <c r="EE15" s="456" t="s">
        <v>808</v>
      </c>
      <c r="EF15" s="456"/>
      <c r="EG15" s="456"/>
      <c r="EH15" s="456"/>
      <c r="EI15" s="456"/>
      <c r="EJ15" s="456"/>
      <c r="EK15" s="456"/>
      <c r="EL15" s="456"/>
      <c r="EM15" s="456"/>
      <c r="EN15" s="456"/>
      <c r="EO15" s="456"/>
      <c r="EP15" s="456"/>
      <c r="EQ15" s="456"/>
      <c r="ER15" s="456"/>
      <c r="ES15" s="456"/>
      <c r="ET15" s="456"/>
      <c r="EU15" s="456"/>
      <c r="EV15" s="456"/>
      <c r="EW15" s="69"/>
      <c r="EX15" s="69"/>
      <c r="EY15" s="69"/>
      <c r="EZ15" s="67"/>
      <c r="FA15" s="67"/>
      <c r="FB15" s="67"/>
      <c r="FC15" s="67"/>
      <c r="FD15" s="67"/>
      <c r="FE15" s="67"/>
      <c r="FF15" s="67"/>
      <c r="FG15" s="67"/>
      <c r="FH15" s="67"/>
      <c r="FI15" s="67"/>
      <c r="FJ15" s="67"/>
      <c r="FK15" s="67"/>
      <c r="FL15" s="67"/>
      <c r="FM15" s="67"/>
      <c r="FN15" s="67"/>
      <c r="FO15" s="67"/>
      <c r="FP15" s="67"/>
      <c r="FQ15" s="67"/>
      <c r="FR15" s="67"/>
      <c r="FS15" s="67"/>
      <c r="FT15" s="67"/>
      <c r="FY15" s="69"/>
      <c r="FZ15" s="69"/>
      <c r="GA15" s="69"/>
      <c r="GB15" s="69"/>
      <c r="GC15" s="69"/>
      <c r="GD15" s="69"/>
      <c r="GE15" s="69"/>
      <c r="GF15" s="69"/>
      <c r="GG15" s="69"/>
      <c r="GH15" s="69"/>
      <c r="GI15" s="69"/>
      <c r="GJ15" s="69"/>
      <c r="GK15" s="69"/>
      <c r="GL15" s="69"/>
      <c r="GM15" s="69"/>
      <c r="GN15" s="69"/>
      <c r="GO15" s="69"/>
      <c r="GP15" s="69"/>
      <c r="GQ15" s="69"/>
      <c r="GR15" s="69"/>
      <c r="GS15" s="69"/>
      <c r="GT15" s="69"/>
      <c r="GV15" s="69"/>
      <c r="GW15" s="69"/>
      <c r="GX15" s="69"/>
      <c r="GY15" s="67"/>
      <c r="GZ15" s="67"/>
      <c r="HA15" s="67"/>
    </row>
    <row r="16" spans="1:241" ht="7.35" customHeight="1" x14ac:dyDescent="0.1">
      <c r="A16" s="88"/>
      <c r="B16" s="285"/>
      <c r="C16" s="286"/>
      <c r="D16" s="287" t="str">
        <f ca="1">VLOOKUP(G14, AH5:AS13,12, FALSE)</f>
        <v>丁</v>
      </c>
      <c r="E16" s="280" t="str">
        <f ca="1">VLOOKUP(G14, AH5:AS13,7, FALSE)</f>
        <v>心</v>
      </c>
      <c r="F16" s="280" t="str">
        <f ca="1">VLOOKUP(G14, AH5:AS13,6, FALSE)</f>
        <v>辛</v>
      </c>
      <c r="G16" s="280" t="str">
        <f ca="1">IF(F16=AK6, AK9, "")</f>
        <v/>
      </c>
      <c r="H16" s="300" t="str">
        <f ca="1">AC18</f>
        <v>辅</v>
      </c>
      <c r="I16" s="297"/>
      <c r="J16" s="301"/>
      <c r="K16" s="298"/>
      <c r="L16" s="298"/>
      <c r="M16" s="298" t="str">
        <f ca="1">CONCATENATE(Y11,Z11)&amp;"時"</f>
        <v>庚申時</v>
      </c>
      <c r="N16" s="285"/>
      <c r="O16" s="286"/>
      <c r="P16" s="287" t="str">
        <f ca="1">VLOOKUP(S14, AH5:AS13,12, FALSE)</f>
        <v>庚</v>
      </c>
      <c r="Q16" s="280" t="str">
        <f ca="1">VLOOKUP(S14, AH5:AS13,7, FALSE)</f>
        <v>辅</v>
      </c>
      <c r="R16" s="280" t="str">
        <f ca="1">VLOOKUP(S14, AH5:AS13,6, FALSE)</f>
        <v>癸</v>
      </c>
      <c r="S16" s="299" t="str">
        <f ca="1">IF(R16=AK6, AK9, "")</f>
        <v/>
      </c>
      <c r="T16" s="255"/>
      <c r="U16" s="59"/>
      <c r="W16" s="67" t="b">
        <f ca="1">W2&lt;DN8</f>
        <v>0</v>
      </c>
      <c r="AB16" s="128" t="str">
        <f ca="1">IF(AC14="阳遁", "阳", "阴")</f>
        <v>阴</v>
      </c>
      <c r="AC16" s="128" t="str">
        <f ca="1">VLOOKUP(AB15, CW24:CX32, 2, FALSE)</f>
        <v>九局</v>
      </c>
      <c r="AD16" s="136"/>
      <c r="AE16" s="137"/>
      <c r="AG16" s="67" t="s">
        <v>857</v>
      </c>
      <c r="AH16" s="73" t="str">
        <f ca="1">'Data (nextday)'!在查阴历</f>
        <v>七月廿五</v>
      </c>
      <c r="AU16" s="69"/>
      <c r="AV16" s="394"/>
      <c r="AW16" s="67"/>
      <c r="AX16" s="67"/>
      <c r="AY16" s="67"/>
      <c r="AZ16" s="132" t="str">
        <f ca="1">IF(AZ12=AC17,8,IF(AZ13=AC17,9,"Wrong"))</f>
        <v>Wrong</v>
      </c>
      <c r="BA16" s="67"/>
      <c r="BB16" s="390"/>
      <c r="BC16" s="391"/>
      <c r="BD16" s="391"/>
      <c r="BE16" s="441" t="s">
        <v>680</v>
      </c>
      <c r="BF16" s="441" t="s">
        <v>739</v>
      </c>
      <c r="BG16" s="441" t="s">
        <v>825</v>
      </c>
      <c r="BH16" s="446" t="s">
        <v>826</v>
      </c>
      <c r="BI16" s="441" t="s">
        <v>740</v>
      </c>
      <c r="BJ16" s="441" t="s">
        <v>827</v>
      </c>
      <c r="BK16" s="420" t="e">
        <f ca="1">IF(BK12=IF(Y11="甲",W12,Y11),8,IF(BK13=IF(Y11="甲",W12,Y11),9,"Wrong"))</f>
        <v>#N/A</v>
      </c>
      <c r="BL16" s="391"/>
      <c r="BM16" s="421"/>
      <c r="BN16" s="442" t="s">
        <v>741</v>
      </c>
      <c r="BO16" s="442" t="s">
        <v>828</v>
      </c>
      <c r="BP16" s="442" t="s">
        <v>742</v>
      </c>
      <c r="BS16" s="138" t="str">
        <f ca="1">IF(OR(BS9=VLOOKUP(Y11, CX4:CY12, 2, FALSE),BS9=AY6),5,IF(OR(BS10=VLOOKUP(Y11, CX4:CY12, 2, FALSE),BS10=AY6),6,IF(OR(BS11=VLOOKUP(Y11, CX4:CY12, 2, FALSE),BS11=AY6),7,BS17)))</f>
        <v>Wrong</v>
      </c>
      <c r="BT16" s="442" t="s">
        <v>828</v>
      </c>
      <c r="BU16" s="442" t="s">
        <v>743</v>
      </c>
      <c r="BV16" s="442" t="s">
        <v>744</v>
      </c>
      <c r="BX16" s="442" t="s">
        <v>690</v>
      </c>
      <c r="CB16" s="442" t="s">
        <v>826</v>
      </c>
      <c r="CC16" s="442" t="s">
        <v>740</v>
      </c>
      <c r="CD16" s="442" t="s">
        <v>827</v>
      </c>
      <c r="CE16" s="132">
        <f ca="1">IF(CE12=IF(Y11="甲",W12,Y11),8,IF(CE13=IF(Y11="甲",W12,Y11),9,"Wrong"))</f>
        <v>8</v>
      </c>
      <c r="CF16" s="67"/>
      <c r="CG16" s="71"/>
      <c r="CH16" s="442" t="s">
        <v>741</v>
      </c>
      <c r="CI16" s="442" t="s">
        <v>828</v>
      </c>
      <c r="CJ16" s="442" t="s">
        <v>742</v>
      </c>
      <c r="CM16" s="138">
        <f ca="1">IF(OR(CM9=VLOOKUP(Y11, CX13:CY21, 2, FALSE),CM9=AY6),5,IF(OR(CM10=VLOOKUP(Y11, CX13:CY21, 2, FALSE),CM10=AY6),6,IF(OR(CM11=VLOOKUP(Y11, CX13:CY21, 2, FALSE),CM11=AY6),7,CM17)))</f>
        <v>7</v>
      </c>
      <c r="CN16" s="460" t="s">
        <v>828</v>
      </c>
      <c r="CO16" s="460" t="s">
        <v>743</v>
      </c>
      <c r="CP16" s="460" t="s">
        <v>744</v>
      </c>
      <c r="CR16" s="442" t="s">
        <v>690</v>
      </c>
      <c r="CW16" s="87">
        <v>-4</v>
      </c>
      <c r="CX16" s="97" t="s">
        <v>4</v>
      </c>
      <c r="CY16" s="87">
        <v>-4</v>
      </c>
      <c r="CZ16" s="67"/>
      <c r="DA16" s="94">
        <v>13</v>
      </c>
      <c r="DB16" s="94" t="s">
        <v>745</v>
      </c>
      <c r="DC16" s="94" t="s">
        <v>19</v>
      </c>
      <c r="DD16" s="94" t="s">
        <v>12</v>
      </c>
      <c r="DE16" s="94" t="s">
        <v>666</v>
      </c>
      <c r="DF16" s="94">
        <v>13</v>
      </c>
      <c r="DG16" s="139"/>
      <c r="DH16" s="100">
        <v>1876</v>
      </c>
      <c r="DI16" s="101"/>
      <c r="DJ16" s="73"/>
      <c r="DK16" s="69"/>
      <c r="DL16" s="94" t="s">
        <v>745</v>
      </c>
      <c r="DM16" s="69"/>
      <c r="DN16" s="103">
        <f ca="1">This_Yr!E7</f>
        <v>45448.506432755385</v>
      </c>
      <c r="DO16" s="94" t="s">
        <v>573</v>
      </c>
      <c r="DP16" s="146">
        <f t="shared" ca="1" si="11"/>
        <v>45464.201866140589</v>
      </c>
      <c r="DQ16" s="94" t="s">
        <v>30</v>
      </c>
      <c r="DR16" s="87" t="s">
        <v>683</v>
      </c>
      <c r="DS16" s="69"/>
      <c r="DT16" s="104" t="str">
        <f ca="1">IF(AND(TIME(I2,K2,0)&gt;=TIME(23,0,0),TIME(I2,K2,0)&lt;TIME(23,59,59)),"Yes","No")</f>
        <v>No</v>
      </c>
      <c r="DU16" s="100" t="s">
        <v>746</v>
      </c>
      <c r="DV16" s="94" t="s">
        <v>747</v>
      </c>
      <c r="DW16" s="69"/>
      <c r="DX16" s="67"/>
      <c r="DY16" s="67"/>
      <c r="DZ16" s="67"/>
      <c r="EA16" s="86">
        <f ca="1">IF(EA18=1,1, EA17)</f>
        <v>4</v>
      </c>
      <c r="EB16" s="87" t="s">
        <v>685</v>
      </c>
      <c r="EC16" s="86">
        <f ca="1">IF(EC18=-1,-1, EC17)</f>
        <v>-4</v>
      </c>
      <c r="ED16" s="87" t="s">
        <v>812</v>
      </c>
      <c r="EE16" s="457" t="s">
        <v>813</v>
      </c>
      <c r="EF16" s="459"/>
      <c r="EG16" s="459"/>
      <c r="EH16" s="459"/>
      <c r="EI16" s="459"/>
      <c r="EJ16" s="459"/>
      <c r="EK16" s="459"/>
      <c r="EL16" s="459"/>
      <c r="EM16" s="458"/>
      <c r="EN16" s="457" t="s">
        <v>812</v>
      </c>
      <c r="EO16" s="459"/>
      <c r="EP16" s="459"/>
      <c r="EQ16" s="459"/>
      <c r="ER16" s="459"/>
      <c r="ES16" s="459"/>
      <c r="ET16" s="459"/>
      <c r="EU16" s="459"/>
      <c r="EV16" s="458"/>
      <c r="EW16" s="67"/>
      <c r="EX16" s="67"/>
      <c r="EY16" s="67" t="s">
        <v>678</v>
      </c>
      <c r="EZ16" s="67"/>
      <c r="FA16" s="78"/>
      <c r="FB16" s="78"/>
      <c r="FC16" s="78"/>
      <c r="FD16" s="69"/>
      <c r="FE16" s="69"/>
      <c r="FF16" s="69"/>
      <c r="FG16" s="69"/>
      <c r="FH16" s="69"/>
      <c r="FI16" s="69"/>
      <c r="FJ16" s="69"/>
      <c r="FK16" s="69"/>
      <c r="FL16" s="69"/>
      <c r="FM16" s="69"/>
      <c r="FN16" s="67"/>
      <c r="FO16" s="67"/>
      <c r="FP16" s="67"/>
      <c r="FQ16" s="67"/>
      <c r="FR16" s="67"/>
      <c r="FS16" s="67"/>
      <c r="FT16" s="67"/>
      <c r="FY16" s="69"/>
      <c r="FZ16" s="69"/>
      <c r="GA16" s="69"/>
      <c r="GB16" s="69"/>
      <c r="GC16" s="69"/>
      <c r="GD16" s="69"/>
      <c r="GE16" s="69"/>
      <c r="GF16" s="69"/>
      <c r="GG16" s="69"/>
      <c r="GH16" s="69"/>
      <c r="GI16" s="69"/>
      <c r="GJ16" s="69"/>
      <c r="GK16" s="69"/>
      <c r="GL16" s="69"/>
      <c r="GM16" s="69"/>
      <c r="GN16" s="69"/>
      <c r="GO16" s="69"/>
      <c r="GP16" s="69"/>
      <c r="GQ16" s="69"/>
      <c r="GR16" s="69"/>
      <c r="GS16" s="69"/>
      <c r="GT16" s="69"/>
      <c r="GV16" s="69"/>
      <c r="GW16" s="69"/>
      <c r="GX16" s="69"/>
      <c r="GY16" s="67"/>
      <c r="GZ16" s="67"/>
    </row>
    <row r="17" spans="1:210" ht="7.35" customHeight="1" x14ac:dyDescent="0.1">
      <c r="A17" s="88"/>
      <c r="B17" s="279"/>
      <c r="C17" s="286"/>
      <c r="D17" s="287" t="str">
        <f ca="1">IF(AND(AR17="是",D16=AR6),AR9,IF(D16=AK6,IF(AR17="是", "", AK9),""))</f>
        <v/>
      </c>
      <c r="E17" s="280" t="str">
        <f ca="1">VLOOKUP(G14, AH5:AS13,9, FALSE)</f>
        <v>开</v>
      </c>
      <c r="F17" s="280" t="str">
        <f ca="1">VLOOKUP(G14, AH5:AS13,4, FALSE)</f>
        <v>丁</v>
      </c>
      <c r="G17" s="280" t="str">
        <f ca="1">IF(F17=AK6, AK9, "")</f>
        <v/>
      </c>
      <c r="H17" s="296" t="s">
        <v>734</v>
      </c>
      <c r="I17" s="297"/>
      <c r="J17" s="297"/>
      <c r="K17" s="301"/>
      <c r="L17" s="301"/>
      <c r="M17" s="301"/>
      <c r="N17" s="279"/>
      <c r="O17" s="286"/>
      <c r="P17" s="287" t="str">
        <f ca="1">IF(AND(AR17="是",P16=AR6),AR9,IF(P16=AK6,IF(AR17="是", "", AK9),""))</f>
        <v/>
      </c>
      <c r="Q17" s="280" t="str">
        <f ca="1">VLOOKUP(S14, AH5:AS13,9, FALSE)</f>
        <v>杜</v>
      </c>
      <c r="R17" s="280" t="str">
        <f ca="1">VLOOKUP(S14, AH5:AS13,4, FALSE)</f>
        <v>庚</v>
      </c>
      <c r="S17" s="299" t="str">
        <f ca="1">IF(R17=AK6, AK9, "")</f>
        <v/>
      </c>
      <c r="T17" s="255"/>
      <c r="U17" s="59"/>
      <c r="Z17" s="134" t="s">
        <v>748</v>
      </c>
      <c r="AA17" s="128">
        <f ca="1">VLOOKUP(R5,DB4:DF63,5,FALSE)-AC11+1</f>
        <v>51</v>
      </c>
      <c r="AB17" s="128" t="str">
        <f ca="1">VLOOKUP(AA17,DA4:DB63,2,FALSE)</f>
        <v>甲寅</v>
      </c>
      <c r="AC17" s="128" t="str">
        <f ca="1">VLOOKUP(AB17,DB4:DE63,4, FALSE)</f>
        <v>癸</v>
      </c>
      <c r="AM17" s="140"/>
      <c r="AQ17" s="135" t="s">
        <v>690</v>
      </c>
      <c r="AR17" s="72" t="str">
        <f ca="1">IF(
OR( (Y11="甲"), ( Y11=IF(ISERROR(VLOOKUP(AC19, AP5:AT13, 5, FALSE)), 0, VLOOKUP(AC19, AP5:AT13, 5, FALSE))), (Y11=AS15)  ),
"是","否")</f>
        <v>否</v>
      </c>
      <c r="AU17" s="69"/>
      <c r="AV17" s="394"/>
      <c r="AW17" s="67"/>
      <c r="AX17" s="67"/>
      <c r="AY17" s="67"/>
      <c r="AZ17" s="67"/>
      <c r="BA17" s="67"/>
      <c r="BB17" s="394"/>
      <c r="BC17" s="67"/>
      <c r="BD17" s="67"/>
      <c r="BE17" s="442"/>
      <c r="BF17" s="442"/>
      <c r="BG17" s="442"/>
      <c r="BH17" s="447"/>
      <c r="BI17" s="442"/>
      <c r="BJ17" s="442"/>
      <c r="BK17" s="442" t="s">
        <v>815</v>
      </c>
      <c r="BL17" s="69"/>
      <c r="BM17" s="418"/>
      <c r="BN17" s="442"/>
      <c r="BO17" s="442"/>
      <c r="BP17" s="442"/>
      <c r="BS17" s="131" t="str">
        <f ca="1">IF(OR(BS12=VLOOKUP(Y11, CX4:CY12, 2, FALSE), BS12=AY6),8,IF(OR(BS13=VLOOKUP(Y11, CX4:CY12, 2, FALSE), BS13=AY6),9,"Wrong"))</f>
        <v>Wrong</v>
      </c>
      <c r="BT17" s="442"/>
      <c r="BU17" s="442"/>
      <c r="BV17" s="442"/>
      <c r="BX17" s="442"/>
      <c r="BZ17" s="69"/>
      <c r="CB17" s="442"/>
      <c r="CC17" s="442"/>
      <c r="CD17" s="442"/>
      <c r="CE17" s="442" t="s">
        <v>815</v>
      </c>
      <c r="CF17" s="69"/>
      <c r="CG17" s="71"/>
      <c r="CH17" s="442"/>
      <c r="CI17" s="442"/>
      <c r="CJ17" s="442"/>
      <c r="CM17" s="131" t="str">
        <f ca="1">IF(OR(CM12=VLOOKUP(Y11, CX13:CY21, 2, FALSE), CM12=AY6),8,IF(OR(CM13=VLOOKUP(Y11, CX13:CY21, 2, FALSE), CM13=AY6),9,"Wrong"))</f>
        <v>Wrong</v>
      </c>
      <c r="CN17" s="460"/>
      <c r="CO17" s="460"/>
      <c r="CP17" s="460"/>
      <c r="CR17" s="442"/>
      <c r="CT17" s="69"/>
      <c r="CW17" s="87">
        <v>-5</v>
      </c>
      <c r="CX17" s="97" t="s">
        <v>7</v>
      </c>
      <c r="CY17" s="87">
        <v>-5</v>
      </c>
      <c r="CZ17" s="67"/>
      <c r="DA17" s="94">
        <v>14</v>
      </c>
      <c r="DB17" s="94" t="s">
        <v>749</v>
      </c>
      <c r="DC17" s="94" t="s">
        <v>22</v>
      </c>
      <c r="DD17" s="94" t="s">
        <v>15</v>
      </c>
      <c r="DE17" s="94" t="s">
        <v>666</v>
      </c>
      <c r="DF17" s="94">
        <v>14</v>
      </c>
      <c r="DG17" s="139"/>
      <c r="DH17" s="100">
        <v>1877</v>
      </c>
      <c r="DI17" s="101"/>
      <c r="DJ17" s="73"/>
      <c r="DK17" s="69"/>
      <c r="DL17" s="94" t="s">
        <v>749</v>
      </c>
      <c r="DM17" s="69"/>
      <c r="DN17" s="103">
        <f ca="1">This_Yr!E8</f>
        <v>45464.201866140589</v>
      </c>
      <c r="DO17" s="94" t="s">
        <v>47</v>
      </c>
      <c r="DP17" s="146">
        <f t="shared" ca="1" si="11"/>
        <v>45479.93070566142</v>
      </c>
      <c r="DQ17" s="94" t="s">
        <v>30</v>
      </c>
      <c r="DR17" s="87" t="s">
        <v>684</v>
      </c>
      <c r="DS17" s="69"/>
      <c r="DW17" s="69"/>
      <c r="DX17" s="87" t="s">
        <v>818</v>
      </c>
      <c r="DY17" s="87" t="s">
        <v>637</v>
      </c>
      <c r="DZ17" s="105" t="s">
        <v>819</v>
      </c>
      <c r="EA17" s="86">
        <f ca="1">IF(EA19=1,2,IF(EA20=1,3,IF(EA21=1,4,IF(EA22=1,5,IF(EA23=1,6,IF(EA24=1,7,IF(EA25=1,8,IF(EA26=1,9,"Wrong"))))))))</f>
        <v>4</v>
      </c>
      <c r="EB17" s="87">
        <f ca="1">EA16</f>
        <v>4</v>
      </c>
      <c r="EC17" s="86">
        <f ca="1">IF(EC19=-1,-2,IF(EC20=-1,-3,IF(EC21=-1,-4,IF(EC22=-1,-5,IF(EC23=-1,-6,IF(EC24=-1,-7,IF(EC25=-1,-8,IF(EC26=-1,-9,"Wrong"))))))))</f>
        <v>-4</v>
      </c>
      <c r="ED17" s="87">
        <f ca="1">EC16</f>
        <v>-4</v>
      </c>
      <c r="EE17" s="87">
        <v>1</v>
      </c>
      <c r="EF17" s="87">
        <v>2</v>
      </c>
      <c r="EG17" s="87">
        <v>3</v>
      </c>
      <c r="EH17" s="87">
        <v>4</v>
      </c>
      <c r="EI17" s="87">
        <v>5</v>
      </c>
      <c r="EJ17" s="87">
        <v>6</v>
      </c>
      <c r="EK17" s="87">
        <v>7</v>
      </c>
      <c r="EL17" s="87">
        <v>8</v>
      </c>
      <c r="EM17" s="87">
        <v>9</v>
      </c>
      <c r="EN17" s="87">
        <v>-1</v>
      </c>
      <c r="EO17" s="87">
        <v>-2</v>
      </c>
      <c r="EP17" s="87">
        <v>-3</v>
      </c>
      <c r="EQ17" s="87">
        <v>-4</v>
      </c>
      <c r="ER17" s="87">
        <v>-5</v>
      </c>
      <c r="ES17" s="87">
        <v>-6</v>
      </c>
      <c r="ET17" s="87">
        <v>-7</v>
      </c>
      <c r="EU17" s="87">
        <v>-8</v>
      </c>
      <c r="EV17" s="87">
        <v>-9</v>
      </c>
      <c r="EW17" s="67"/>
      <c r="EX17" s="87">
        <v>1</v>
      </c>
      <c r="EY17" s="87" t="s">
        <v>647</v>
      </c>
      <c r="EZ17" s="67"/>
      <c r="FA17" s="97" t="s">
        <v>679</v>
      </c>
      <c r="FB17" s="97" t="s">
        <v>637</v>
      </c>
      <c r="FC17" s="97" t="s">
        <v>638</v>
      </c>
      <c r="FD17" s="87"/>
      <c r="FE17" s="87" t="s">
        <v>643</v>
      </c>
      <c r="FF17" s="87">
        <v>0</v>
      </c>
      <c r="FG17" s="87">
        <v>1</v>
      </c>
      <c r="FH17" s="87">
        <v>2</v>
      </c>
      <c r="FI17" s="87">
        <v>3</v>
      </c>
      <c r="FJ17" s="87">
        <v>4</v>
      </c>
      <c r="FK17" s="87">
        <v>5</v>
      </c>
      <c r="FL17" s="87">
        <v>6</v>
      </c>
      <c r="FM17" s="87">
        <v>7</v>
      </c>
      <c r="FN17" s="67"/>
      <c r="FO17" s="462" t="s">
        <v>686</v>
      </c>
      <c r="FP17" s="463"/>
      <c r="FQ17" s="67"/>
      <c r="FR17" s="60" t="s">
        <v>697</v>
      </c>
      <c r="FS17" s="60">
        <v>0</v>
      </c>
      <c r="FT17" s="60" t="s">
        <v>697</v>
      </c>
      <c r="FY17" s="69"/>
      <c r="FZ17" s="69"/>
      <c r="GA17" s="69"/>
      <c r="GB17" s="69"/>
      <c r="GC17" s="69"/>
      <c r="GD17" s="69"/>
      <c r="GE17" s="69"/>
      <c r="GF17" s="69"/>
      <c r="GG17" s="69"/>
      <c r="GH17" s="69"/>
      <c r="GI17" s="69"/>
      <c r="GJ17" s="69"/>
      <c r="GK17" s="69"/>
      <c r="GL17" s="69"/>
      <c r="GM17" s="69"/>
      <c r="GN17" s="69"/>
      <c r="GO17" s="69"/>
      <c r="GP17" s="69"/>
      <c r="GQ17" s="69"/>
      <c r="GR17" s="69"/>
      <c r="GS17" s="69"/>
      <c r="GT17" s="69"/>
      <c r="GV17" s="69"/>
      <c r="GW17" s="69"/>
      <c r="GX17" s="69"/>
      <c r="GY17" s="67"/>
      <c r="GZ17" s="67"/>
    </row>
    <row r="18" spans="1:210" ht="7.35" customHeight="1" x14ac:dyDescent="0.1">
      <c r="A18" s="88"/>
      <c r="B18" s="289"/>
      <c r="C18" s="280"/>
      <c r="D18" s="280"/>
      <c r="E18" s="281" t="str">
        <f ca="1">IF( OR(E17="开", E17="惊"), "迫", "")</f>
        <v>迫</v>
      </c>
      <c r="F18" s="281" t="str">
        <f ca="1">IF( OR(F16="戊", F17="戊", G16="戊", AND(F16=F17, F16="壬"), AND(G16=F17, G16="壬"), AND(F16=F17, F16="辛"), AND(G16=F17, G16="辛")), "刑", "")</f>
        <v/>
      </c>
      <c r="G18" s="280"/>
      <c r="H18" s="300" t="str">
        <f ca="1">AC19</f>
        <v>杜</v>
      </c>
      <c r="I18" s="297"/>
      <c r="J18" s="297"/>
      <c r="K18" s="298"/>
      <c r="L18" s="301"/>
      <c r="N18" s="289"/>
      <c r="O18" s="280"/>
      <c r="P18" s="280"/>
      <c r="Q18" s="281" t="str">
        <f ca="1">IF(Q17="景", "迫", "")</f>
        <v/>
      </c>
      <c r="R18" s="281" t="str">
        <f ca="1">IF( OR( AND(R16=R17, R16="壬"), AND(S16=R17, S16="壬"), AND(R16=R17, R16="辛"), AND(S16=R17, S16="辛")), "刑", "")</f>
        <v/>
      </c>
      <c r="S18" s="299"/>
      <c r="T18" s="255"/>
      <c r="U18" s="59"/>
      <c r="W18" s="69"/>
      <c r="Y18" s="67"/>
      <c r="Z18" s="67"/>
      <c r="AA18" s="67"/>
      <c r="AB18" s="134" t="s">
        <v>729</v>
      </c>
      <c r="AC18" s="128" t="str">
        <f ca="1">IF(VLOOKUP(AC17,AZ5:BA13, 2, FALSE)="禽", "芮", VLOOKUP(AC17,AZ5:BA13, 2, FALSE))</f>
        <v>辅</v>
      </c>
      <c r="AG18" s="73" t="s">
        <v>856</v>
      </c>
      <c r="AS18" s="71"/>
      <c r="AU18" s="69"/>
      <c r="AV18" s="394"/>
      <c r="AW18" s="67"/>
      <c r="AX18" s="67"/>
      <c r="AY18" s="67"/>
      <c r="AZ18" s="67"/>
      <c r="BA18" s="67"/>
      <c r="BB18" s="394"/>
      <c r="BC18" s="67"/>
      <c r="BD18" s="67"/>
      <c r="BE18" s="442"/>
      <c r="BF18" s="442"/>
      <c r="BG18" s="442"/>
      <c r="BH18" s="447"/>
      <c r="BI18" s="442"/>
      <c r="BJ18" s="442"/>
      <c r="BK18" s="442"/>
      <c r="BL18" s="69"/>
      <c r="BM18" s="418"/>
      <c r="BN18" s="442"/>
      <c r="BO18" s="442"/>
      <c r="BP18" s="442"/>
      <c r="BS18" s="442" t="s">
        <v>744</v>
      </c>
      <c r="BT18" s="442"/>
      <c r="BU18" s="442"/>
      <c r="BV18" s="442"/>
      <c r="BX18" s="442"/>
      <c r="CB18" s="442"/>
      <c r="CC18" s="442"/>
      <c r="CD18" s="442"/>
      <c r="CE18" s="442"/>
      <c r="CF18" s="69"/>
      <c r="CG18" s="71"/>
      <c r="CH18" s="442"/>
      <c r="CI18" s="442"/>
      <c r="CJ18" s="442"/>
      <c r="CM18" s="460" t="s">
        <v>744</v>
      </c>
      <c r="CN18" s="460"/>
      <c r="CO18" s="460"/>
      <c r="CP18" s="460"/>
      <c r="CR18" s="442"/>
      <c r="CW18" s="87">
        <v>-6</v>
      </c>
      <c r="CX18" s="97" t="s">
        <v>10</v>
      </c>
      <c r="CY18" s="87">
        <v>-6</v>
      </c>
      <c r="CZ18" s="67"/>
      <c r="DA18" s="94">
        <v>15</v>
      </c>
      <c r="DB18" s="94" t="s">
        <v>750</v>
      </c>
      <c r="DC18" s="94" t="s">
        <v>25</v>
      </c>
      <c r="DD18" s="94" t="s">
        <v>18</v>
      </c>
      <c r="DE18" s="94" t="s">
        <v>666</v>
      </c>
      <c r="DF18" s="94">
        <v>15</v>
      </c>
      <c r="DG18" s="139"/>
      <c r="DH18" s="100">
        <v>1878</v>
      </c>
      <c r="DI18" s="101"/>
      <c r="DJ18" s="73"/>
      <c r="DK18" s="69"/>
      <c r="DL18" s="94" t="s">
        <v>750</v>
      </c>
      <c r="DM18" s="69"/>
      <c r="DN18" s="103">
        <f ca="1">This_Yr!E9</f>
        <v>45479.93070566142</v>
      </c>
      <c r="DO18" s="94" t="s">
        <v>48</v>
      </c>
      <c r="DP18" s="146">
        <f t="shared" ca="1" si="11"/>
        <v>45495.656151390169</v>
      </c>
      <c r="DQ18" s="94" t="s">
        <v>33</v>
      </c>
      <c r="DR18" s="87" t="s">
        <v>684</v>
      </c>
      <c r="DS18" s="69"/>
      <c r="DW18" s="69"/>
      <c r="DX18" s="87">
        <v>1</v>
      </c>
      <c r="DY18" s="87" t="s">
        <v>649</v>
      </c>
      <c r="DZ18" s="105" t="s">
        <v>650</v>
      </c>
      <c r="EA18" s="86">
        <f ca="1">IF(AZ5=AC17, 1, 0)</f>
        <v>0</v>
      </c>
      <c r="EB18" s="87">
        <f ca="1">HLOOKUP(EB17, EE17:EM26,2,FALSE)</f>
        <v>6</v>
      </c>
      <c r="EC18" s="86">
        <f ca="1">IF(AZ5=AC17, -1, 0)</f>
        <v>0</v>
      </c>
      <c r="ED18" s="87">
        <f ca="1">HLOOKUP(ED17, EN17:EV26,2,FALSE)</f>
        <v>-4</v>
      </c>
      <c r="EE18" s="87">
        <v>1</v>
      </c>
      <c r="EF18" s="87">
        <v>4</v>
      </c>
      <c r="EG18" s="87">
        <v>7</v>
      </c>
      <c r="EH18" s="87">
        <v>6</v>
      </c>
      <c r="EI18" s="87">
        <v>4</v>
      </c>
      <c r="EJ18" s="87">
        <v>2</v>
      </c>
      <c r="EK18" s="87">
        <v>3</v>
      </c>
      <c r="EL18" s="87">
        <v>8</v>
      </c>
      <c r="EM18" s="87">
        <v>5</v>
      </c>
      <c r="EN18" s="87">
        <v>-1</v>
      </c>
      <c r="EO18" s="87">
        <v>-6</v>
      </c>
      <c r="EP18" s="87">
        <v>-3</v>
      </c>
      <c r="EQ18" s="87">
        <v>-4</v>
      </c>
      <c r="ER18" s="87">
        <v>-6</v>
      </c>
      <c r="ES18" s="87">
        <v>-8</v>
      </c>
      <c r="ET18" s="87">
        <v>-7</v>
      </c>
      <c r="EU18" s="87">
        <v>-2</v>
      </c>
      <c r="EV18" s="87">
        <v>-5</v>
      </c>
      <c r="EW18" s="67"/>
      <c r="EX18" s="87">
        <v>2</v>
      </c>
      <c r="EY18" s="87" t="s">
        <v>26</v>
      </c>
      <c r="EZ18" s="67"/>
      <c r="FA18" s="87">
        <v>1</v>
      </c>
      <c r="FB18" s="87" t="s">
        <v>649</v>
      </c>
      <c r="FC18" s="87" t="s">
        <v>650</v>
      </c>
      <c r="FD18" s="87">
        <v>1</v>
      </c>
      <c r="FE18" s="87" t="s">
        <v>646</v>
      </c>
      <c r="FF18" s="87">
        <v>1</v>
      </c>
      <c r="FG18" s="87">
        <v>8</v>
      </c>
      <c r="FH18" s="87">
        <v>3</v>
      </c>
      <c r="FI18" s="87">
        <v>4</v>
      </c>
      <c r="FJ18" s="87">
        <v>9</v>
      </c>
      <c r="FK18" s="87">
        <v>2</v>
      </c>
      <c r="FL18" s="87">
        <v>7</v>
      </c>
      <c r="FM18" s="87">
        <v>6</v>
      </c>
      <c r="FN18" s="67"/>
      <c r="FO18" s="464"/>
      <c r="FP18" s="465"/>
      <c r="FQ18" s="67"/>
      <c r="FR18" s="60" t="s">
        <v>704</v>
      </c>
      <c r="FS18" s="60">
        <v>1</v>
      </c>
      <c r="FT18" s="60" t="s">
        <v>704</v>
      </c>
      <c r="FV18" s="67" t="s">
        <v>848</v>
      </c>
      <c r="FW18" s="67">
        <v>1</v>
      </c>
      <c r="FX18" s="67" t="s">
        <v>100</v>
      </c>
      <c r="FY18" s="69"/>
      <c r="FZ18" s="69"/>
      <c r="GA18" s="69"/>
      <c r="GB18" s="69"/>
      <c r="GC18" s="69"/>
      <c r="GD18" s="69"/>
      <c r="GE18" s="69"/>
      <c r="GF18" s="69"/>
      <c r="GG18" s="69"/>
      <c r="GH18" s="69"/>
      <c r="GI18" s="69"/>
      <c r="GJ18" s="69"/>
      <c r="GK18" s="69"/>
      <c r="GL18" s="69"/>
      <c r="GM18" s="69"/>
      <c r="GN18" s="69"/>
      <c r="GO18" s="69"/>
      <c r="GP18" s="69"/>
      <c r="GQ18" s="69"/>
      <c r="GR18" s="69"/>
      <c r="GS18" s="69"/>
      <c r="GT18" s="69"/>
      <c r="GV18" s="69"/>
      <c r="GW18" s="69"/>
      <c r="GX18" s="69"/>
      <c r="GY18" s="67"/>
    </row>
    <row r="19" spans="1:210" ht="7.35" customHeight="1" x14ac:dyDescent="0.1">
      <c r="A19" s="88"/>
      <c r="B19" s="289"/>
      <c r="C19" s="280"/>
      <c r="D19" s="280"/>
      <c r="E19" s="281"/>
      <c r="F19" s="281"/>
      <c r="G19" s="280"/>
      <c r="H19" s="300"/>
      <c r="I19" s="297"/>
      <c r="J19" s="297"/>
      <c r="K19" s="298"/>
      <c r="L19" s="301"/>
      <c r="M19" s="298" t="str">
        <f ca="1">VLOOKUP(AG9, AH5:AS13,4, FALSE)</f>
        <v>壬</v>
      </c>
      <c r="N19" s="289"/>
      <c r="O19" s="280"/>
      <c r="P19" s="280"/>
      <c r="Q19" s="281"/>
      <c r="R19" s="281"/>
      <c r="S19" s="299"/>
      <c r="T19" s="255"/>
      <c r="U19" s="59"/>
      <c r="W19" s="69"/>
      <c r="X19" s="67"/>
      <c r="AB19" s="134" t="s">
        <v>734</v>
      </c>
      <c r="AC19" s="128" t="str">
        <f ca="1">IF(VLOOKUP(AC17,AZ5:BB13, 3, FALSE)= "-", "死", VLOOKUP(AC17,AZ5:BB13, 3, FALSE))</f>
        <v>杜</v>
      </c>
      <c r="AG19" s="73" t="str">
        <f ca="1">IF(I2=23, AH16, AH15)</f>
        <v>七月廿四</v>
      </c>
      <c r="AH19" s="72">
        <f ca="1">VLOOKUP(RIGHT(AG19,2), FR17:FS47, 2, FALSE)</f>
        <v>24</v>
      </c>
      <c r="AU19" s="69"/>
      <c r="AV19" s="394"/>
      <c r="AW19" s="67"/>
      <c r="AX19" s="67"/>
      <c r="AY19" s="67"/>
      <c r="AZ19" s="67"/>
      <c r="BA19" s="67"/>
      <c r="BB19" s="394"/>
      <c r="BC19" s="67"/>
      <c r="BD19" s="67"/>
      <c r="BE19" s="442"/>
      <c r="BF19" s="442"/>
      <c r="BG19" s="442"/>
      <c r="BH19" s="447"/>
      <c r="BI19" s="442"/>
      <c r="BJ19" s="442"/>
      <c r="BK19" s="442"/>
      <c r="BL19" s="69"/>
      <c r="BM19" s="418"/>
      <c r="BN19" s="442"/>
      <c r="BO19" s="442"/>
      <c r="BP19" s="442"/>
      <c r="BS19" s="442"/>
      <c r="BT19" s="442"/>
      <c r="BU19" s="442"/>
      <c r="BV19" s="442"/>
      <c r="BX19" s="442"/>
      <c r="CB19" s="442"/>
      <c r="CC19" s="442"/>
      <c r="CD19" s="442"/>
      <c r="CE19" s="442"/>
      <c r="CF19" s="69"/>
      <c r="CG19" s="71"/>
      <c r="CH19" s="442"/>
      <c r="CI19" s="442"/>
      <c r="CJ19" s="442"/>
      <c r="CM19" s="460"/>
      <c r="CN19" s="460"/>
      <c r="CO19" s="460"/>
      <c r="CP19" s="460"/>
      <c r="CR19" s="442"/>
      <c r="CW19" s="87">
        <v>-7</v>
      </c>
      <c r="CX19" s="97" t="s">
        <v>22</v>
      </c>
      <c r="CY19" s="87">
        <v>-7</v>
      </c>
      <c r="CZ19" s="67"/>
      <c r="DA19" s="94">
        <v>16</v>
      </c>
      <c r="DB19" s="94" t="s">
        <v>751</v>
      </c>
      <c r="DC19" s="94" t="s">
        <v>666</v>
      </c>
      <c r="DD19" s="94" t="s">
        <v>21</v>
      </c>
      <c r="DE19" s="94" t="s">
        <v>666</v>
      </c>
      <c r="DF19" s="94">
        <v>16</v>
      </c>
      <c r="DG19" s="139"/>
      <c r="DH19" s="100">
        <v>1879</v>
      </c>
      <c r="DI19" s="101"/>
      <c r="DJ19" s="73"/>
      <c r="DK19" s="69"/>
      <c r="DL19" s="94" t="s">
        <v>751</v>
      </c>
      <c r="DM19" s="69"/>
      <c r="DN19" s="103">
        <f ca="1">This_Yr!E10</f>
        <v>45495.656151390169</v>
      </c>
      <c r="DO19" s="94" t="s">
        <v>49</v>
      </c>
      <c r="DP19" s="146">
        <f t="shared" ca="1" si="11"/>
        <v>45511.340232505463</v>
      </c>
      <c r="DQ19" s="94" t="s">
        <v>33</v>
      </c>
      <c r="DR19" s="87" t="s">
        <v>684</v>
      </c>
      <c r="DS19" s="69"/>
      <c r="DT19" s="97" t="s">
        <v>831</v>
      </c>
      <c r="DU19" s="97" t="s">
        <v>838</v>
      </c>
      <c r="DW19" s="69"/>
      <c r="DX19" s="87">
        <v>2</v>
      </c>
      <c r="DY19" s="87" t="s">
        <v>653</v>
      </c>
      <c r="DZ19" s="105" t="s">
        <v>649</v>
      </c>
      <c r="EA19" s="86">
        <f ca="1">IF(AZ6=AC17, 1, 0)</f>
        <v>0</v>
      </c>
      <c r="EB19" s="87">
        <f ca="1">HLOOKUP(EB17, EE17:EM26,3,FALSE)</f>
        <v>3</v>
      </c>
      <c r="EC19" s="86">
        <f ca="1">IF(AZ6=AC17, -1, 0)</f>
        <v>0</v>
      </c>
      <c r="ED19" s="87">
        <f ca="1">HLOOKUP(ED17, EN17:EV26,3,FALSE)</f>
        <v>-7</v>
      </c>
      <c r="EE19" s="87">
        <v>6</v>
      </c>
      <c r="EF19" s="87">
        <v>1</v>
      </c>
      <c r="EG19" s="87">
        <v>4</v>
      </c>
      <c r="EH19" s="87">
        <v>3</v>
      </c>
      <c r="EI19" s="87">
        <v>1</v>
      </c>
      <c r="EJ19" s="87">
        <v>7</v>
      </c>
      <c r="EK19" s="87">
        <v>8</v>
      </c>
      <c r="EL19" s="87">
        <v>5</v>
      </c>
      <c r="EM19" s="87">
        <v>2</v>
      </c>
      <c r="EN19" s="87">
        <v>-4</v>
      </c>
      <c r="EO19" s="87">
        <v>-1</v>
      </c>
      <c r="EP19" s="87">
        <v>-6</v>
      </c>
      <c r="EQ19" s="87">
        <v>-7</v>
      </c>
      <c r="ER19" s="87">
        <v>-1</v>
      </c>
      <c r="ES19" s="87">
        <v>-3</v>
      </c>
      <c r="ET19" s="87">
        <v>-2</v>
      </c>
      <c r="EU19" s="87">
        <v>-5</v>
      </c>
      <c r="EV19" s="87">
        <v>-8</v>
      </c>
      <c r="EW19" s="67"/>
      <c r="EX19" s="87">
        <v>3</v>
      </c>
      <c r="EY19" s="87" t="s">
        <v>656</v>
      </c>
      <c r="EZ19" s="67"/>
      <c r="FA19" s="87">
        <v>2</v>
      </c>
      <c r="FB19" s="87" t="s">
        <v>653</v>
      </c>
      <c r="FC19" s="87" t="s">
        <v>649</v>
      </c>
      <c r="FD19" s="87">
        <v>2</v>
      </c>
      <c r="FE19" s="87" t="s">
        <v>668</v>
      </c>
      <c r="FF19" s="87">
        <v>2</v>
      </c>
      <c r="FG19" s="87">
        <v>7</v>
      </c>
      <c r="FH19" s="87">
        <v>6</v>
      </c>
      <c r="FI19" s="87">
        <v>1</v>
      </c>
      <c r="FJ19" s="87">
        <v>8</v>
      </c>
      <c r="FK19" s="87">
        <v>3</v>
      </c>
      <c r="FL19" s="87">
        <v>4</v>
      </c>
      <c r="FM19" s="87">
        <v>9</v>
      </c>
      <c r="FN19" s="67"/>
      <c r="FO19" s="87">
        <v>-9</v>
      </c>
      <c r="FP19" s="87">
        <v>9</v>
      </c>
      <c r="FQ19" s="67"/>
      <c r="FR19" s="60" t="s">
        <v>71</v>
      </c>
      <c r="FS19" s="60">
        <v>2</v>
      </c>
      <c r="FT19" s="60" t="s">
        <v>71</v>
      </c>
      <c r="FV19" s="67" t="s">
        <v>104</v>
      </c>
      <c r="FW19" s="67">
        <v>2</v>
      </c>
      <c r="FX19" s="67" t="s">
        <v>104</v>
      </c>
      <c r="FY19" s="69"/>
      <c r="FZ19" s="69"/>
      <c r="GA19" s="69"/>
      <c r="GB19" s="69"/>
      <c r="GC19" s="69"/>
      <c r="GD19" s="69"/>
      <c r="GE19" s="69"/>
      <c r="GF19" s="69"/>
      <c r="GG19" s="69"/>
      <c r="GH19" s="69"/>
      <c r="GI19" s="69"/>
      <c r="GJ19" s="69"/>
      <c r="GK19" s="69"/>
      <c r="GL19" s="69"/>
      <c r="GM19" s="69"/>
      <c r="GN19" s="69"/>
      <c r="GO19" s="69"/>
      <c r="GP19" s="69"/>
      <c r="GQ19" s="69"/>
      <c r="GR19" s="69"/>
      <c r="GS19" s="69"/>
      <c r="GT19" s="69"/>
      <c r="GV19" s="69"/>
      <c r="GW19" s="69"/>
      <c r="GX19" s="69"/>
      <c r="GY19" s="67"/>
    </row>
    <row r="20" spans="1:210" ht="7.35" customHeight="1" x14ac:dyDescent="0.1">
      <c r="A20" s="88"/>
      <c r="B20" s="270"/>
      <c r="C20" s="271"/>
      <c r="D20" s="271"/>
      <c r="E20" s="271"/>
      <c r="F20" s="271"/>
      <c r="G20" s="271">
        <f>AG12</f>
        <v>8</v>
      </c>
      <c r="H20" s="272"/>
      <c r="I20" s="273"/>
      <c r="J20" s="273"/>
      <c r="K20" s="273"/>
      <c r="L20" s="273"/>
      <c r="M20" s="273">
        <f>AG5</f>
        <v>1</v>
      </c>
      <c r="N20" s="270"/>
      <c r="O20" s="271"/>
      <c r="P20" s="271"/>
      <c r="Q20" s="271"/>
      <c r="R20" s="271"/>
      <c r="S20" s="274">
        <f>AG10</f>
        <v>6</v>
      </c>
      <c r="T20" s="255"/>
      <c r="U20" s="59"/>
      <c r="W20" s="69"/>
      <c r="X20" s="78"/>
      <c r="AB20" s="69"/>
      <c r="AC20" s="69"/>
      <c r="AG20" s="72"/>
      <c r="AH20" s="73"/>
      <c r="AU20" s="69"/>
      <c r="AV20" s="390"/>
      <c r="AW20" s="391"/>
      <c r="AX20" s="391"/>
      <c r="AY20" s="391"/>
      <c r="AZ20" s="391"/>
      <c r="BA20" s="391"/>
      <c r="BB20" s="394"/>
      <c r="BC20" s="67"/>
      <c r="BD20" s="67"/>
      <c r="BE20" s="442"/>
      <c r="BF20" s="442"/>
      <c r="BG20" s="442"/>
      <c r="BH20" s="447"/>
      <c r="BI20" s="442"/>
      <c r="BJ20" s="442"/>
      <c r="BK20" s="442"/>
      <c r="BL20" s="69"/>
      <c r="BM20" s="418"/>
      <c r="BN20" s="442"/>
      <c r="BO20" s="442"/>
      <c r="BP20" s="442"/>
      <c r="BS20" s="442"/>
      <c r="BT20" s="442"/>
      <c r="BU20" s="442"/>
      <c r="BV20" s="442"/>
      <c r="BX20" s="442"/>
      <c r="CB20" s="442"/>
      <c r="CC20" s="442"/>
      <c r="CD20" s="442"/>
      <c r="CE20" s="442"/>
      <c r="CF20" s="69"/>
      <c r="CG20" s="71"/>
      <c r="CH20" s="442"/>
      <c r="CI20" s="442"/>
      <c r="CJ20" s="442"/>
      <c r="CM20" s="460"/>
      <c r="CN20" s="460"/>
      <c r="CO20" s="460"/>
      <c r="CP20" s="460"/>
      <c r="CR20" s="442"/>
      <c r="CW20" s="87">
        <v>-8</v>
      </c>
      <c r="CX20" s="97" t="s">
        <v>19</v>
      </c>
      <c r="CY20" s="87">
        <v>-8</v>
      </c>
      <c r="CZ20" s="67"/>
      <c r="DA20" s="94">
        <v>17</v>
      </c>
      <c r="DB20" s="94" t="s">
        <v>752</v>
      </c>
      <c r="DC20" s="94" t="s">
        <v>31</v>
      </c>
      <c r="DD20" s="94" t="s">
        <v>24</v>
      </c>
      <c r="DE20" s="94" t="s">
        <v>666</v>
      </c>
      <c r="DF20" s="94">
        <v>17</v>
      </c>
      <c r="DG20" s="139"/>
      <c r="DH20" s="100">
        <v>1880</v>
      </c>
      <c r="DI20" s="101"/>
      <c r="DJ20" s="73"/>
      <c r="DK20" s="69"/>
      <c r="DL20" s="94" t="s">
        <v>752</v>
      </c>
      <c r="DM20" s="69"/>
      <c r="DN20" s="103">
        <f ca="1">This_Yr!E11</f>
        <v>45511.340232505463</v>
      </c>
      <c r="DO20" s="94" t="s">
        <v>50</v>
      </c>
      <c r="DP20" s="146">
        <f t="shared" ca="1" si="11"/>
        <v>45526.955251828302</v>
      </c>
      <c r="DQ20" s="94" t="s">
        <v>35</v>
      </c>
      <c r="DR20" s="87" t="s">
        <v>684</v>
      </c>
      <c r="DS20" s="69"/>
      <c r="DT20" s="97" t="s">
        <v>832</v>
      </c>
      <c r="DU20" s="97" t="s">
        <v>839</v>
      </c>
      <c r="DW20" s="69"/>
      <c r="DX20" s="87">
        <v>3</v>
      </c>
      <c r="DY20" s="87" t="s">
        <v>657</v>
      </c>
      <c r="DZ20" s="105" t="s">
        <v>658</v>
      </c>
      <c r="EA20" s="86">
        <f ca="1">IF(AZ7=AC17, 1, 0)</f>
        <v>0</v>
      </c>
      <c r="EB20" s="87">
        <f ca="1">HLOOKUP(EB17, EE17:EM26,4,FALSE)</f>
        <v>8</v>
      </c>
      <c r="EC20" s="86">
        <f ca="1">IF(AZ7=AC17, -1, 0)</f>
        <v>0</v>
      </c>
      <c r="ED20" s="87">
        <f ca="1">HLOOKUP(ED17, EN17:EV26,4,FALSE)</f>
        <v>-2</v>
      </c>
      <c r="EE20" s="87">
        <v>3</v>
      </c>
      <c r="EF20" s="87">
        <v>6</v>
      </c>
      <c r="EG20" s="87">
        <v>1</v>
      </c>
      <c r="EH20" s="87">
        <v>8</v>
      </c>
      <c r="EI20" s="87">
        <v>6</v>
      </c>
      <c r="EJ20" s="87">
        <v>4</v>
      </c>
      <c r="EK20" s="87">
        <v>5</v>
      </c>
      <c r="EL20" s="87">
        <v>2</v>
      </c>
      <c r="EM20" s="87">
        <v>7</v>
      </c>
      <c r="EN20" s="87">
        <v>-7</v>
      </c>
      <c r="EO20" s="87">
        <v>-4</v>
      </c>
      <c r="EP20" s="87">
        <v>-1</v>
      </c>
      <c r="EQ20" s="87">
        <v>-2</v>
      </c>
      <c r="ER20" s="87">
        <v>-4</v>
      </c>
      <c r="ES20" s="87">
        <v>-6</v>
      </c>
      <c r="ET20" s="87">
        <v>-5</v>
      </c>
      <c r="EU20" s="87">
        <v>-8</v>
      </c>
      <c r="EV20" s="87">
        <v>-3</v>
      </c>
      <c r="EW20" s="67"/>
      <c r="EX20" s="87">
        <v>4</v>
      </c>
      <c r="EY20" s="87" t="s">
        <v>661</v>
      </c>
      <c r="EZ20" s="67"/>
      <c r="FA20" s="87">
        <v>3</v>
      </c>
      <c r="FB20" s="87" t="s">
        <v>657</v>
      </c>
      <c r="FC20" s="87" t="s">
        <v>658</v>
      </c>
      <c r="FD20" s="87">
        <v>3</v>
      </c>
      <c r="FE20" s="87" t="s">
        <v>655</v>
      </c>
      <c r="FF20" s="87">
        <v>3</v>
      </c>
      <c r="FG20" s="87">
        <v>4</v>
      </c>
      <c r="FH20" s="87">
        <v>9</v>
      </c>
      <c r="FI20" s="87">
        <v>2</v>
      </c>
      <c r="FJ20" s="87">
        <v>7</v>
      </c>
      <c r="FK20" s="87">
        <v>6</v>
      </c>
      <c r="FL20" s="87">
        <v>1</v>
      </c>
      <c r="FM20" s="87">
        <v>8</v>
      </c>
      <c r="FN20" s="67"/>
      <c r="FO20" s="87">
        <v>-8</v>
      </c>
      <c r="FP20" s="87">
        <v>1</v>
      </c>
      <c r="FQ20" s="67"/>
      <c r="FR20" s="60" t="s">
        <v>72</v>
      </c>
      <c r="FS20" s="60">
        <v>3</v>
      </c>
      <c r="FT20" s="60" t="s">
        <v>72</v>
      </c>
      <c r="FV20" s="67" t="s">
        <v>105</v>
      </c>
      <c r="FW20" s="67">
        <v>3</v>
      </c>
      <c r="FX20" s="67" t="s">
        <v>105</v>
      </c>
      <c r="FY20" s="69"/>
      <c r="FZ20" s="69"/>
      <c r="GA20" s="69"/>
      <c r="GB20" s="69"/>
      <c r="GC20" s="69"/>
      <c r="GD20" s="69"/>
      <c r="GE20" s="69"/>
      <c r="GF20" s="69"/>
      <c r="GG20" s="69"/>
      <c r="GH20" s="69"/>
      <c r="GI20" s="69"/>
      <c r="GJ20" s="69"/>
      <c r="GK20" s="69"/>
      <c r="GL20" s="69"/>
      <c r="GM20" s="69"/>
      <c r="GN20" s="69"/>
      <c r="GO20" s="69"/>
      <c r="GP20" s="69"/>
      <c r="GQ20" s="69"/>
      <c r="GR20" s="69"/>
      <c r="GS20" s="69"/>
      <c r="GT20" s="69"/>
      <c r="GV20" s="69"/>
      <c r="GW20" s="69"/>
      <c r="GX20" s="69"/>
    </row>
    <row r="21" spans="1:210" ht="7.35" customHeight="1" x14ac:dyDescent="0.1">
      <c r="A21" s="88"/>
      <c r="B21" s="276"/>
      <c r="C21" s="277"/>
      <c r="D21" s="278" t="str">
        <f ca="1">IF( OR(AB17="甲辰", AB17="甲寅"), "空","")</f>
        <v>空</v>
      </c>
      <c r="E21" s="277" t="str">
        <f ca="1">VLOOKUP(G20, AH5:AS13,8, FALSE)</f>
        <v>武</v>
      </c>
      <c r="F21" s="277" t="str">
        <f ca="1">VLOOKUP(G20, AH5:AS13,5, FALSE)</f>
        <v>阴</v>
      </c>
      <c r="G21" s="277"/>
      <c r="H21" s="279"/>
      <c r="I21" s="280"/>
      <c r="J21" s="281" t="str">
        <f ca="1">IF(AB17="甲寅", "空","")</f>
        <v>空</v>
      </c>
      <c r="K21" s="280" t="str">
        <f ca="1">VLOOKUP(M20, AH5:AS13,8, FALSE)</f>
        <v>九</v>
      </c>
      <c r="L21" s="280" t="str">
        <f ca="1">VLOOKUP(M20, AH5:AS13,5, FALSE)</f>
        <v>合</v>
      </c>
      <c r="M21" s="280"/>
      <c r="N21" s="276"/>
      <c r="O21" s="277"/>
      <c r="P21" s="278" t="str">
        <f ca="1">IF(AB17="甲子", "空","")</f>
        <v/>
      </c>
      <c r="Q21" s="277" t="str">
        <f ca="1">VLOOKUP(S20, AH5:AS13,8, FALSE)</f>
        <v>天</v>
      </c>
      <c r="R21" s="277" t="str">
        <f ca="1">VLOOKUP(S20, AH5:AS13,5, FALSE)</f>
        <v>虎</v>
      </c>
      <c r="S21" s="282"/>
      <c r="T21" s="263"/>
      <c r="U21" s="141"/>
      <c r="W21" s="69"/>
      <c r="AB21" s="69"/>
      <c r="AC21" s="69"/>
      <c r="AU21" s="69"/>
      <c r="AV21" s="394"/>
      <c r="AW21" s="67"/>
      <c r="AX21" s="67"/>
      <c r="AY21" s="67"/>
      <c r="AZ21" s="67"/>
      <c r="BA21" s="67"/>
      <c r="BB21" s="394"/>
      <c r="BC21" s="67"/>
      <c r="BD21" s="67"/>
      <c r="BE21" s="442"/>
      <c r="BF21" s="442"/>
      <c r="BG21" s="442"/>
      <c r="BH21" s="447"/>
      <c r="BI21" s="442"/>
      <c r="BJ21" s="442"/>
      <c r="BK21" s="442"/>
      <c r="BL21" s="69"/>
      <c r="BM21" s="418"/>
      <c r="BN21" s="442"/>
      <c r="BO21" s="442"/>
      <c r="BP21" s="442"/>
      <c r="BS21" s="442"/>
      <c r="BT21" s="442"/>
      <c r="BU21" s="442"/>
      <c r="BV21" s="442"/>
      <c r="BX21" s="442"/>
      <c r="CB21" s="442"/>
      <c r="CC21" s="442"/>
      <c r="CD21" s="442"/>
      <c r="CE21" s="442"/>
      <c r="CF21" s="69"/>
      <c r="CG21" s="71"/>
      <c r="CH21" s="442"/>
      <c r="CI21" s="442"/>
      <c r="CJ21" s="442"/>
      <c r="CM21" s="460"/>
      <c r="CN21" s="460"/>
      <c r="CO21" s="460"/>
      <c r="CP21" s="460"/>
      <c r="CR21" s="442"/>
      <c r="CW21" s="87">
        <v>-9</v>
      </c>
      <c r="CX21" s="97" t="s">
        <v>16</v>
      </c>
      <c r="CY21" s="87">
        <v>-9</v>
      </c>
      <c r="CZ21" s="67"/>
      <c r="DA21" s="94">
        <v>18</v>
      </c>
      <c r="DB21" s="94" t="s">
        <v>753</v>
      </c>
      <c r="DC21" s="94" t="s">
        <v>4</v>
      </c>
      <c r="DD21" s="94" t="s">
        <v>27</v>
      </c>
      <c r="DE21" s="94" t="s">
        <v>666</v>
      </c>
      <c r="DF21" s="94">
        <v>18</v>
      </c>
      <c r="DG21" s="139"/>
      <c r="DH21" s="100">
        <v>1881</v>
      </c>
      <c r="DI21" s="101"/>
      <c r="DJ21" s="73"/>
      <c r="DK21" s="69"/>
      <c r="DL21" s="94" t="s">
        <v>753</v>
      </c>
      <c r="DM21" s="69"/>
      <c r="DN21" s="103">
        <f ca="1">This_Yr!E12</f>
        <v>45526.955251828302</v>
      </c>
      <c r="DO21" s="94" t="s">
        <v>579</v>
      </c>
      <c r="DP21" s="146">
        <f t="shared" ca="1" si="11"/>
        <v>45542.466490612831</v>
      </c>
      <c r="DQ21" s="94" t="s">
        <v>35</v>
      </c>
      <c r="DR21" s="87" t="s">
        <v>684</v>
      </c>
      <c r="DS21" s="69"/>
      <c r="DT21" s="97" t="s">
        <v>833</v>
      </c>
      <c r="DU21" s="97" t="s">
        <v>840</v>
      </c>
      <c r="DW21" s="69"/>
      <c r="DX21" s="87">
        <v>4</v>
      </c>
      <c r="DY21" s="87" t="s">
        <v>662</v>
      </c>
      <c r="DZ21" s="105" t="s">
        <v>653</v>
      </c>
      <c r="EA21" s="86">
        <f ca="1">IF(AZ8=AC17, 1, 0)</f>
        <v>1</v>
      </c>
      <c r="EB21" s="87">
        <f ca="1">HLOOKUP(EB17, EE17:EM26,5,FALSE)</f>
        <v>1</v>
      </c>
      <c r="EC21" s="86">
        <f ca="1">IF(AZ8=AC17, -1, 0)</f>
        <v>-1</v>
      </c>
      <c r="ED21" s="87">
        <f ca="1">HLOOKUP(ED17, EN17:EV26,5,FALSE)</f>
        <v>-1</v>
      </c>
      <c r="EE21" s="87">
        <v>4</v>
      </c>
      <c r="EF21" s="87">
        <v>7</v>
      </c>
      <c r="EG21" s="87">
        <v>2</v>
      </c>
      <c r="EH21" s="87">
        <v>1</v>
      </c>
      <c r="EI21" s="87">
        <v>7</v>
      </c>
      <c r="EJ21" s="87">
        <v>5</v>
      </c>
      <c r="EK21" s="87">
        <v>6</v>
      </c>
      <c r="EL21" s="87">
        <v>3</v>
      </c>
      <c r="EM21" s="87">
        <v>8</v>
      </c>
      <c r="EN21" s="87">
        <v>-6</v>
      </c>
      <c r="EO21" s="87">
        <v>-3</v>
      </c>
      <c r="EP21" s="87">
        <v>-8</v>
      </c>
      <c r="EQ21" s="87">
        <v>-1</v>
      </c>
      <c r="ER21" s="87">
        <v>-3</v>
      </c>
      <c r="ES21" s="87">
        <v>-5</v>
      </c>
      <c r="ET21" s="87">
        <v>-4</v>
      </c>
      <c r="EU21" s="87">
        <v>-7</v>
      </c>
      <c r="EV21" s="87">
        <v>-2</v>
      </c>
      <c r="EW21" s="67"/>
      <c r="EX21" s="87">
        <v>5</v>
      </c>
      <c r="EY21" s="87" t="s">
        <v>17</v>
      </c>
      <c r="EZ21" s="67"/>
      <c r="FA21" s="87">
        <v>4</v>
      </c>
      <c r="FB21" s="87" t="s">
        <v>662</v>
      </c>
      <c r="FC21" s="87" t="s">
        <v>653</v>
      </c>
      <c r="FD21" s="87">
        <v>4</v>
      </c>
      <c r="FE21" s="87" t="s">
        <v>660</v>
      </c>
      <c r="FF21" s="87">
        <v>4</v>
      </c>
      <c r="FG21" s="87">
        <v>9</v>
      </c>
      <c r="FH21" s="87">
        <v>2</v>
      </c>
      <c r="FI21" s="87">
        <v>7</v>
      </c>
      <c r="FJ21" s="87">
        <v>6</v>
      </c>
      <c r="FK21" s="87">
        <v>1</v>
      </c>
      <c r="FL21" s="87">
        <v>8</v>
      </c>
      <c r="FM21" s="87">
        <v>3</v>
      </c>
      <c r="FN21" s="67"/>
      <c r="FO21" s="87">
        <v>-7</v>
      </c>
      <c r="FP21" s="87">
        <v>2</v>
      </c>
      <c r="FQ21" s="67"/>
      <c r="FR21" s="60" t="s">
        <v>73</v>
      </c>
      <c r="FS21" s="60">
        <v>4</v>
      </c>
      <c r="FT21" s="60" t="s">
        <v>73</v>
      </c>
      <c r="FU21" s="67"/>
      <c r="FV21" s="67" t="s">
        <v>106</v>
      </c>
      <c r="FW21" s="67">
        <v>4</v>
      </c>
      <c r="FX21" s="67" t="s">
        <v>106</v>
      </c>
      <c r="FY21" s="69"/>
      <c r="FZ21" s="69"/>
      <c r="GA21" s="69"/>
      <c r="GB21" s="69"/>
      <c r="GC21" s="69"/>
      <c r="GD21" s="69"/>
      <c r="GE21" s="69"/>
      <c r="GF21" s="69"/>
      <c r="GG21" s="69"/>
      <c r="GH21" s="69"/>
      <c r="GI21" s="69"/>
      <c r="GJ21" s="69"/>
      <c r="GK21" s="69"/>
      <c r="GL21" s="69"/>
      <c r="GM21" s="69"/>
      <c r="GN21" s="69"/>
      <c r="GO21" s="69"/>
      <c r="GP21" s="69"/>
      <c r="GQ21" s="69"/>
      <c r="GR21" s="69"/>
      <c r="GS21" s="69"/>
      <c r="GT21" s="69"/>
      <c r="GV21" s="69"/>
      <c r="GW21" s="69"/>
      <c r="GX21" s="69"/>
    </row>
    <row r="22" spans="1:210" ht="7.35" customHeight="1" x14ac:dyDescent="0.1">
      <c r="A22" s="88"/>
      <c r="B22" s="276"/>
      <c r="C22" s="283"/>
      <c r="D22" s="284" t="str">
        <f ca="1">VLOOKUP(G20, AH5:AS13,12, FALSE)</f>
        <v>己</v>
      </c>
      <c r="E22" s="277" t="str">
        <f ca="1">VLOOKUP(G20, AH5:AS13,7, FALSE)</f>
        <v>柱</v>
      </c>
      <c r="F22" s="277" t="str">
        <f ca="1">VLOOKUP(G20, AH5:AS13,6, FALSE)</f>
        <v>庚</v>
      </c>
      <c r="G22" s="277" t="str">
        <f ca="1">IF(F22=AK6, AK9, "")</f>
        <v/>
      </c>
      <c r="H22" s="285"/>
      <c r="I22" s="286"/>
      <c r="J22" s="287" t="str">
        <f ca="1">VLOOKUP(M20, AH5:AS13,12, FALSE)</f>
        <v>乙</v>
      </c>
      <c r="K22" s="280" t="str">
        <f ca="1">VLOOKUP(M20, AH5:AS13,7, FALSE)</f>
        <v>芮</v>
      </c>
      <c r="L22" s="280" t="str">
        <f ca="1">VLOOKUP(M20, AH5:AS13,6, FALSE)</f>
        <v>丙</v>
      </c>
      <c r="M22" s="280" t="str">
        <f ca="1">IF(L22=AK6, AK9, "")</f>
        <v>壬</v>
      </c>
      <c r="N22" s="276"/>
      <c r="O22" s="283"/>
      <c r="P22" s="284" t="str">
        <f ca="1">VLOOKUP(S20, AH5:AS13,12, FALSE)</f>
        <v>辛</v>
      </c>
      <c r="Q22" s="277" t="str">
        <f ca="1">VLOOKUP(S20, AH5:AS13,7, FALSE)</f>
        <v>英</v>
      </c>
      <c r="R22" s="277" t="str">
        <f ca="1">VLOOKUP(S20, AH5:AS13,6, FALSE)</f>
        <v>戊</v>
      </c>
      <c r="S22" s="282" t="str">
        <f ca="1">IF(R22=AK6, AK9, "")</f>
        <v/>
      </c>
      <c r="T22" s="263"/>
      <c r="U22" s="67"/>
      <c r="W22" s="69"/>
      <c r="AB22" s="69"/>
      <c r="AC22" s="69"/>
      <c r="AU22" s="69"/>
      <c r="AV22" s="394"/>
      <c r="AW22" s="67"/>
      <c r="AX22" s="67"/>
      <c r="AY22" s="67"/>
      <c r="AZ22" s="67"/>
      <c r="BA22" s="67"/>
      <c r="BB22" s="394"/>
      <c r="BC22" s="67"/>
      <c r="BD22" s="67"/>
      <c r="BE22" s="442"/>
      <c r="BF22" s="442"/>
      <c r="BG22" s="442"/>
      <c r="BH22" s="447"/>
      <c r="BI22" s="442"/>
      <c r="BJ22" s="442"/>
      <c r="BK22" s="442"/>
      <c r="BL22" s="69"/>
      <c r="BM22" s="418"/>
      <c r="BN22" s="442"/>
      <c r="BO22" s="442"/>
      <c r="BP22" s="442"/>
      <c r="BS22" s="442"/>
      <c r="BT22" s="442"/>
      <c r="BU22" s="442"/>
      <c r="BV22" s="442"/>
      <c r="BX22" s="442"/>
      <c r="CB22" s="442"/>
      <c r="CC22" s="442"/>
      <c r="CD22" s="442"/>
      <c r="CE22" s="442"/>
      <c r="CF22" s="69"/>
      <c r="CG22" s="71"/>
      <c r="CH22" s="442"/>
      <c r="CI22" s="442"/>
      <c r="CJ22" s="442"/>
      <c r="CM22" s="460"/>
      <c r="CN22" s="460"/>
      <c r="CO22" s="460"/>
      <c r="CP22" s="460"/>
      <c r="CR22" s="442"/>
      <c r="CW22" s="97">
        <v>0</v>
      </c>
      <c r="CX22" s="97">
        <v>0</v>
      </c>
      <c r="CY22" s="97">
        <v>0</v>
      </c>
      <c r="CZ22" s="67"/>
      <c r="DA22" s="94">
        <v>19</v>
      </c>
      <c r="DB22" s="94" t="s">
        <v>754</v>
      </c>
      <c r="DC22" s="94" t="s">
        <v>7</v>
      </c>
      <c r="DD22" s="94" t="s">
        <v>30</v>
      </c>
      <c r="DE22" s="94" t="s">
        <v>666</v>
      </c>
      <c r="DF22" s="94">
        <v>19</v>
      </c>
      <c r="DG22" s="139"/>
      <c r="DH22" s="100">
        <v>1882</v>
      </c>
      <c r="DI22" s="101"/>
      <c r="DJ22" s="73"/>
      <c r="DK22" s="69"/>
      <c r="DL22" s="94" t="s">
        <v>754</v>
      </c>
      <c r="DM22" s="69"/>
      <c r="DN22" s="103">
        <f ca="1">This_Yr!E13</f>
        <v>45542.466490612831</v>
      </c>
      <c r="DO22" s="94" t="s">
        <v>52</v>
      </c>
      <c r="DP22" s="146">
        <f t="shared" ca="1" si="11"/>
        <v>45557.863673381507</v>
      </c>
      <c r="DQ22" s="94" t="s">
        <v>3</v>
      </c>
      <c r="DR22" s="87" t="s">
        <v>684</v>
      </c>
      <c r="DS22" s="69"/>
      <c r="DT22" s="97" t="s">
        <v>834</v>
      </c>
      <c r="DU22" s="97" t="s">
        <v>841</v>
      </c>
      <c r="DW22" s="69"/>
      <c r="DX22" s="87">
        <v>5</v>
      </c>
      <c r="DY22" s="87" t="s">
        <v>665</v>
      </c>
      <c r="DZ22" s="105" t="s">
        <v>665</v>
      </c>
      <c r="EA22" s="86">
        <f ca="1">IF(AZ9=AC17, 1, 0)</f>
        <v>0</v>
      </c>
      <c r="EB22" s="87" t="str">
        <f ca="1">HLOOKUP(EB17, EE17:EM26,6,FALSE)</f>
        <v>-</v>
      </c>
      <c r="EC22" s="86">
        <f ca="1">IF(AZ9=AC17, -1, 0)</f>
        <v>0</v>
      </c>
      <c r="ED22" s="87" t="str">
        <f ca="1">HLOOKUP(ED17, EN17:EV26,6,FALSE)</f>
        <v>-</v>
      </c>
      <c r="EE22" s="87" t="s">
        <v>821</v>
      </c>
      <c r="EF22" s="87" t="s">
        <v>821</v>
      </c>
      <c r="EG22" s="87" t="s">
        <v>821</v>
      </c>
      <c r="EH22" s="87" t="s">
        <v>821</v>
      </c>
      <c r="EI22" s="87" t="s">
        <v>821</v>
      </c>
      <c r="EJ22" s="87" t="s">
        <v>821</v>
      </c>
      <c r="EK22" s="87" t="s">
        <v>821</v>
      </c>
      <c r="EL22" s="87" t="s">
        <v>821</v>
      </c>
      <c r="EM22" s="87" t="s">
        <v>821</v>
      </c>
      <c r="EN22" s="87" t="s">
        <v>821</v>
      </c>
      <c r="EO22" s="87" t="s">
        <v>821</v>
      </c>
      <c r="EP22" s="87" t="s">
        <v>821</v>
      </c>
      <c r="EQ22" s="87" t="s">
        <v>821</v>
      </c>
      <c r="ER22" s="87" t="s">
        <v>821</v>
      </c>
      <c r="ES22" s="87" t="s">
        <v>821</v>
      </c>
      <c r="ET22" s="87" t="s">
        <v>821</v>
      </c>
      <c r="EU22" s="87" t="s">
        <v>821</v>
      </c>
      <c r="EV22" s="87" t="s">
        <v>821</v>
      </c>
      <c r="EW22" s="67"/>
      <c r="EX22" s="87">
        <v>6</v>
      </c>
      <c r="EY22" s="87" t="s">
        <v>669</v>
      </c>
      <c r="EZ22" s="67"/>
      <c r="FA22" s="87">
        <v>5</v>
      </c>
      <c r="FB22" s="87" t="s">
        <v>665</v>
      </c>
      <c r="FC22" s="87" t="s">
        <v>665</v>
      </c>
      <c r="FD22" s="87">
        <v>5</v>
      </c>
      <c r="FE22" s="87" t="s">
        <v>821</v>
      </c>
      <c r="FF22" s="87">
        <v>5</v>
      </c>
      <c r="FG22" s="87">
        <v>5</v>
      </c>
      <c r="FH22" s="87">
        <v>5</v>
      </c>
      <c r="FI22" s="87">
        <v>5</v>
      </c>
      <c r="FJ22" s="87">
        <v>5</v>
      </c>
      <c r="FK22" s="87">
        <v>5</v>
      </c>
      <c r="FL22" s="87">
        <v>5</v>
      </c>
      <c r="FM22" s="87">
        <v>5</v>
      </c>
      <c r="FN22" s="67"/>
      <c r="FO22" s="87">
        <v>-6</v>
      </c>
      <c r="FP22" s="87">
        <v>3</v>
      </c>
      <c r="FQ22" s="67"/>
      <c r="FR22" s="60" t="s">
        <v>74</v>
      </c>
      <c r="FS22" s="60">
        <v>5</v>
      </c>
      <c r="FT22" s="60" t="s">
        <v>74</v>
      </c>
      <c r="FU22" s="67"/>
      <c r="FV22" s="67" t="s">
        <v>107</v>
      </c>
      <c r="FW22" s="67">
        <v>5</v>
      </c>
      <c r="FX22" s="67" t="s">
        <v>107</v>
      </c>
      <c r="FY22" s="69"/>
      <c r="FZ22" s="69"/>
      <c r="GA22" s="69"/>
      <c r="GB22" s="69"/>
      <c r="GC22" s="69"/>
      <c r="GD22" s="69"/>
      <c r="GE22" s="69"/>
      <c r="GF22" s="69"/>
      <c r="GG22" s="69"/>
      <c r="GH22" s="69"/>
      <c r="GI22" s="69"/>
      <c r="GJ22" s="69"/>
      <c r="GK22" s="69"/>
      <c r="GL22" s="69"/>
      <c r="GM22" s="69"/>
      <c r="GN22" s="69"/>
      <c r="GO22" s="69"/>
      <c r="GP22" s="69"/>
      <c r="GQ22" s="69"/>
      <c r="GR22" s="69"/>
      <c r="GS22" s="69"/>
      <c r="GT22" s="69"/>
      <c r="GV22" s="69"/>
      <c r="GW22" s="69"/>
      <c r="GX22" s="69"/>
    </row>
    <row r="23" spans="1:210" ht="7.35" customHeight="1" x14ac:dyDescent="0.1">
      <c r="A23" s="88"/>
      <c r="B23" s="276"/>
      <c r="C23" s="283"/>
      <c r="D23" s="284" t="str">
        <f ca="1">IF(AND(AR17="是",D22=AR6),AR9,IF(D22=AK6, IF(AR17="是", "", AK9),""))</f>
        <v/>
      </c>
      <c r="E23" s="277" t="str">
        <f ca="1">VLOOKUP(G20, AH5:AS13,9, FALSE)</f>
        <v>惊</v>
      </c>
      <c r="F23" s="277" t="str">
        <f ca="1">VLOOKUP(G20, AH5:AS13,4, FALSE)</f>
        <v>己</v>
      </c>
      <c r="G23" s="277" t="str">
        <f ca="1">IF(F23=AK6, AK9, "")</f>
        <v/>
      </c>
      <c r="H23" s="279"/>
      <c r="I23" s="286"/>
      <c r="J23" s="287" t="str">
        <f ca="1">IF(AND(AR17="是",J22=AR6),AR9,IF(J22=AK6,IF(AR17="是", "", AK9),""))</f>
        <v/>
      </c>
      <c r="K23" s="280" t="str">
        <f ca="1">VLOOKUP(M20, AH5:AS13,9, FALSE)</f>
        <v>死</v>
      </c>
      <c r="L23" s="280" t="str">
        <f ca="1">VLOOKUP(M20, AH5:AS13,4, FALSE)</f>
        <v>乙</v>
      </c>
      <c r="M23" s="280" t="str">
        <f ca="1">IF(L23=AK6, AK9, "")</f>
        <v/>
      </c>
      <c r="N23" s="276"/>
      <c r="O23" s="283"/>
      <c r="P23" s="284" t="str">
        <f ca="1">IF(AND(AR17="是",P22=AR6),AR9,IF(P22=AK6,IF(AR17="是", "", AK9),""))</f>
        <v/>
      </c>
      <c r="Q23" s="277" t="str">
        <f ca="1">VLOOKUP(S20, AH5:AS13,9, FALSE)</f>
        <v>景</v>
      </c>
      <c r="R23" s="277" t="str">
        <f ca="1">VLOOKUP(S20, AH5:AS13,4, FALSE)</f>
        <v>辛</v>
      </c>
      <c r="S23" s="282" t="str">
        <f ca="1">IF(R23=AK6, AK9, "")</f>
        <v/>
      </c>
      <c r="T23" s="263"/>
      <c r="U23" s="67"/>
      <c r="W23" s="69"/>
      <c r="AB23" s="69"/>
      <c r="AC23" s="69"/>
      <c r="AU23" s="69"/>
      <c r="AV23" s="394"/>
      <c r="AW23" s="67"/>
      <c r="AX23" s="67"/>
      <c r="AY23" s="67"/>
      <c r="AZ23" s="67"/>
      <c r="BA23" s="67"/>
      <c r="BB23" s="394"/>
      <c r="BC23" s="67"/>
      <c r="BD23" s="67"/>
      <c r="BE23" s="67"/>
      <c r="BF23" s="67"/>
      <c r="BG23" s="67"/>
      <c r="BH23" s="394"/>
      <c r="BI23" s="67"/>
      <c r="BJ23" s="67"/>
      <c r="BK23" s="442"/>
      <c r="BL23" s="69"/>
      <c r="BM23" s="418"/>
      <c r="BN23" s="67"/>
      <c r="BO23" s="67"/>
      <c r="BP23" s="67"/>
      <c r="BS23" s="442"/>
      <c r="CB23" s="67"/>
      <c r="CC23" s="67"/>
      <c r="CD23" s="67"/>
      <c r="CE23" s="442"/>
      <c r="CF23" s="69"/>
      <c r="CG23" s="71"/>
      <c r="CM23" s="460"/>
      <c r="CW23" s="71"/>
      <c r="CX23" s="71"/>
      <c r="CY23" s="71"/>
      <c r="CZ23" s="67"/>
      <c r="DA23" s="94">
        <v>20</v>
      </c>
      <c r="DB23" s="94" t="s">
        <v>755</v>
      </c>
      <c r="DC23" s="94" t="s">
        <v>10</v>
      </c>
      <c r="DD23" s="94" t="s">
        <v>33</v>
      </c>
      <c r="DE23" s="94" t="s">
        <v>666</v>
      </c>
      <c r="DF23" s="94">
        <v>20</v>
      </c>
      <c r="DG23" s="139"/>
      <c r="DH23" s="100">
        <v>1883</v>
      </c>
      <c r="DI23" s="101"/>
      <c r="DJ23" s="73"/>
      <c r="DK23" s="69"/>
      <c r="DL23" s="94" t="s">
        <v>755</v>
      </c>
      <c r="DM23" s="69"/>
      <c r="DN23" s="103">
        <f ca="1">This_Yr!E14</f>
        <v>45557.863673381507</v>
      </c>
      <c r="DO23" s="94" t="s">
        <v>53</v>
      </c>
      <c r="DP23" s="146">
        <f t="shared" ca="1" si="11"/>
        <v>45573.124760338105</v>
      </c>
      <c r="DQ23" s="94" t="s">
        <v>3</v>
      </c>
      <c r="DR23" s="87" t="s">
        <v>684</v>
      </c>
      <c r="DS23" s="69"/>
      <c r="DT23" s="97" t="s">
        <v>835</v>
      </c>
      <c r="DU23" s="97" t="s">
        <v>842</v>
      </c>
      <c r="DW23" s="69"/>
      <c r="DX23" s="87">
        <v>6</v>
      </c>
      <c r="DY23" s="87" t="s">
        <v>670</v>
      </c>
      <c r="DZ23" s="105" t="s">
        <v>671</v>
      </c>
      <c r="EA23" s="86">
        <f ca="1">IF(AZ10=AC17, 1, 0)</f>
        <v>0</v>
      </c>
      <c r="EB23" s="87">
        <f ca="1">HLOOKUP(EB17, EE17:EM26,7,FALSE)</f>
        <v>5</v>
      </c>
      <c r="EC23" s="86">
        <f ca="1">IF(AZ10=AC17, -1, 0)</f>
        <v>0</v>
      </c>
      <c r="ED23" s="87">
        <f ca="1">HLOOKUP(ED17, EN17:EV26,7,FALSE)</f>
        <v>-5</v>
      </c>
      <c r="EE23" s="87">
        <v>8</v>
      </c>
      <c r="EF23" s="87">
        <v>3</v>
      </c>
      <c r="EG23" s="87">
        <v>6</v>
      </c>
      <c r="EH23" s="87">
        <v>5</v>
      </c>
      <c r="EI23" s="87">
        <v>3</v>
      </c>
      <c r="EJ23" s="87">
        <v>1</v>
      </c>
      <c r="EK23" s="87">
        <v>2</v>
      </c>
      <c r="EL23" s="87">
        <v>7</v>
      </c>
      <c r="EM23" s="87">
        <v>4</v>
      </c>
      <c r="EN23" s="87">
        <v>-2</v>
      </c>
      <c r="EO23" s="87">
        <v>-7</v>
      </c>
      <c r="EP23" s="87">
        <v>-4</v>
      </c>
      <c r="EQ23" s="87">
        <v>-5</v>
      </c>
      <c r="ER23" s="87">
        <v>-7</v>
      </c>
      <c r="ES23" s="87">
        <v>-1</v>
      </c>
      <c r="ET23" s="87">
        <v>-8</v>
      </c>
      <c r="EU23" s="87">
        <v>-3</v>
      </c>
      <c r="EV23" s="87">
        <v>-6</v>
      </c>
      <c r="EW23" s="67"/>
      <c r="EX23" s="87">
        <v>7</v>
      </c>
      <c r="EY23" s="87" t="s">
        <v>674</v>
      </c>
      <c r="EZ23" s="67"/>
      <c r="FA23" s="87">
        <v>6</v>
      </c>
      <c r="FB23" s="87" t="s">
        <v>670</v>
      </c>
      <c r="FC23" s="87" t="s">
        <v>671</v>
      </c>
      <c r="FD23" s="87">
        <v>5</v>
      </c>
      <c r="FE23" s="87" t="s">
        <v>676</v>
      </c>
      <c r="FF23" s="87">
        <v>6</v>
      </c>
      <c r="FG23" s="87">
        <v>1</v>
      </c>
      <c r="FH23" s="87">
        <v>8</v>
      </c>
      <c r="FI23" s="87">
        <v>3</v>
      </c>
      <c r="FJ23" s="87">
        <v>4</v>
      </c>
      <c r="FK23" s="87">
        <v>9</v>
      </c>
      <c r="FL23" s="87">
        <v>2</v>
      </c>
      <c r="FM23" s="87">
        <v>7</v>
      </c>
      <c r="FN23" s="67"/>
      <c r="FO23" s="87">
        <v>-5</v>
      </c>
      <c r="FP23" s="87">
        <v>4</v>
      </c>
      <c r="FQ23" s="67"/>
      <c r="FR23" s="60" t="s">
        <v>75</v>
      </c>
      <c r="FS23" s="60">
        <v>6</v>
      </c>
      <c r="FT23" s="60" t="s">
        <v>75</v>
      </c>
      <c r="FU23" s="67"/>
      <c r="FV23" s="67" t="s">
        <v>108</v>
      </c>
      <c r="FW23" s="67">
        <v>6</v>
      </c>
      <c r="FX23" s="67" t="s">
        <v>108</v>
      </c>
      <c r="FY23" s="69"/>
      <c r="FZ23" s="69"/>
      <c r="GA23" s="69"/>
      <c r="GB23" s="69"/>
      <c r="GC23" s="69"/>
      <c r="GD23" s="69"/>
      <c r="GE23" s="69"/>
      <c r="GF23" s="69"/>
      <c r="GG23" s="69"/>
      <c r="GH23" s="69"/>
      <c r="GI23" s="69"/>
      <c r="GJ23" s="69"/>
      <c r="GK23" s="69"/>
      <c r="GL23" s="69"/>
      <c r="GM23" s="69"/>
      <c r="GN23" s="69"/>
      <c r="GO23" s="69"/>
      <c r="GP23" s="69"/>
      <c r="GQ23" s="69"/>
      <c r="GR23" s="69"/>
      <c r="GS23" s="69"/>
      <c r="GT23" s="69"/>
      <c r="GV23" s="69"/>
      <c r="GW23" s="69"/>
      <c r="GX23" s="69"/>
    </row>
    <row r="24" spans="1:210" ht="7.35" customHeight="1" x14ac:dyDescent="0.1">
      <c r="A24" s="88"/>
      <c r="B24" s="288"/>
      <c r="C24" s="277"/>
      <c r="D24" s="278" t="str">
        <f ca="1">IF(OR(Z11="申", Z11="子", Z11="辰"), "馬","")</f>
        <v>馬</v>
      </c>
      <c r="E24" s="278" t="str">
        <f ca="1">IF( OR(E23="伤", E23="杜"), "迫", "")</f>
        <v/>
      </c>
      <c r="F24" s="278" t="str">
        <f ca="1">IF( OR(F22="庚", F23="庚", G22="庚", AND(F22=F23, F22="壬"), AND(G22=F23, G22="壬"), AND(F22=F23, F22="辛"), AND(G22=F23, G22="辛")), "刑", "")</f>
        <v>刑</v>
      </c>
      <c r="G24" s="278" t="str">
        <f ca="1">IF( OR(F22="丁", F23="丁", G22="丁", F22="己", F23="己", G22="己", F22="庚", F23="庚", G22="庚",), "墓", "")</f>
        <v>墓</v>
      </c>
      <c r="H24" s="289"/>
      <c r="I24" s="280"/>
      <c r="J24" s="280"/>
      <c r="K24" s="281" t="str">
        <f ca="1">IF( OR(K23="死", K23="生"), "迫", "")</f>
        <v>迫</v>
      </c>
      <c r="L24" s="281" t="str">
        <f ca="1">IF( OR( AND(L22=L23, L22="壬"), AND(M22=L23, M22="壬"), AND(L22=L23, L22="辛"), AND(M22=L23, M22="辛")), "刑", "")</f>
        <v/>
      </c>
      <c r="M24" s="280"/>
      <c r="N24" s="288"/>
      <c r="O24" s="277"/>
      <c r="P24" s="278" t="str">
        <f ca="1">IF(OR(Z11="巳", Z11="酉", Z11="丑"), "馬","")</f>
        <v/>
      </c>
      <c r="Q24" s="278" t="str">
        <f ca="1">IF(Q23="景", "迫", "")</f>
        <v>迫</v>
      </c>
      <c r="R24" s="278" t="str">
        <f ca="1">IF( OR( AND(R22=R23, R22="壬"), AND(S22=R23, S22="壬"), AND(R22=R23, R22="辛"), AND(S22=R23, S22="辛")), "刑", "")</f>
        <v/>
      </c>
      <c r="S24" s="290" t="str">
        <f ca="1">IF( OR(R22="乙", R23="乙", S22="乙", R22="丙", R23="丙", S22="丙", R22="戊", R23="戊", S22="戊",), "墓", "")</f>
        <v>墓</v>
      </c>
      <c r="T24" s="263"/>
      <c r="U24" s="67"/>
      <c r="W24" s="69"/>
      <c r="AB24" s="69"/>
      <c r="AC24" s="69"/>
      <c r="AU24" s="69"/>
      <c r="AV24" s="394"/>
      <c r="AW24" s="67"/>
      <c r="AX24" s="67"/>
      <c r="AY24" s="67"/>
      <c r="AZ24" s="67"/>
      <c r="BA24" s="67"/>
      <c r="BB24" s="394"/>
      <c r="BC24" s="67"/>
      <c r="BD24" s="67"/>
      <c r="BE24" s="67"/>
      <c r="BF24" s="67"/>
      <c r="BG24" s="67"/>
      <c r="BH24" s="394"/>
      <c r="BI24" s="67"/>
      <c r="BJ24" s="67"/>
      <c r="BK24" s="67"/>
      <c r="BL24" s="67"/>
      <c r="BM24" s="418"/>
      <c r="BN24" s="67"/>
      <c r="BO24" s="67"/>
      <c r="BP24" s="67"/>
      <c r="BS24" s="442"/>
      <c r="CB24" s="67"/>
      <c r="CC24" s="67"/>
      <c r="CD24" s="67"/>
      <c r="CE24" s="67"/>
      <c r="CF24" s="67"/>
      <c r="CG24" s="71"/>
      <c r="CM24" s="460"/>
      <c r="CW24" s="87">
        <v>1</v>
      </c>
      <c r="CX24" s="87" t="s">
        <v>701</v>
      </c>
      <c r="CY24" s="87">
        <v>1</v>
      </c>
      <c r="CZ24" s="67"/>
      <c r="DA24" s="94">
        <v>21</v>
      </c>
      <c r="DB24" s="94" t="s">
        <v>756</v>
      </c>
      <c r="DC24" s="94" t="s">
        <v>13</v>
      </c>
      <c r="DD24" s="94" t="s">
        <v>35</v>
      </c>
      <c r="DE24" s="94" t="s">
        <v>31</v>
      </c>
      <c r="DF24" s="94">
        <v>21</v>
      </c>
      <c r="DG24" s="139"/>
      <c r="DH24" s="100">
        <v>1884</v>
      </c>
      <c r="DI24" s="101"/>
      <c r="DJ24" s="73"/>
      <c r="DK24" s="69"/>
      <c r="DL24" s="94" t="s">
        <v>756</v>
      </c>
      <c r="DM24" s="69"/>
      <c r="DN24" s="103">
        <f ca="1">This_Yr!E15</f>
        <v>45573.124760338105</v>
      </c>
      <c r="DO24" s="94" t="s">
        <v>54</v>
      </c>
      <c r="DP24" s="146">
        <f t="shared" ca="1" si="11"/>
        <v>45588.259837157559</v>
      </c>
      <c r="DQ24" s="94" t="s">
        <v>6</v>
      </c>
      <c r="DR24" s="87" t="s">
        <v>684</v>
      </c>
      <c r="DS24" s="69"/>
      <c r="DT24" s="97" t="s">
        <v>836</v>
      </c>
      <c r="DU24" s="97" t="s">
        <v>843</v>
      </c>
      <c r="DW24" s="69"/>
      <c r="DX24" s="87">
        <v>7</v>
      </c>
      <c r="DY24" s="87" t="s">
        <v>650</v>
      </c>
      <c r="DZ24" s="105" t="s">
        <v>662</v>
      </c>
      <c r="EA24" s="86">
        <f ca="1">IF(AZ11=AC17, 1, 0)</f>
        <v>0</v>
      </c>
      <c r="EB24" s="87">
        <f ca="1">HLOOKUP(EB17, EE17:EM26,8,FALSE)</f>
        <v>4</v>
      </c>
      <c r="EC24" s="86">
        <f ca="1">IF(AZ11=AC17, -1, 0)</f>
        <v>0</v>
      </c>
      <c r="ED24" s="87">
        <f ca="1">HLOOKUP(ED17, EN17:EV26,8,FALSE)</f>
        <v>-6</v>
      </c>
      <c r="EE24" s="87">
        <v>7</v>
      </c>
      <c r="EF24" s="87">
        <v>2</v>
      </c>
      <c r="EG24" s="87">
        <v>5</v>
      </c>
      <c r="EH24" s="87">
        <v>4</v>
      </c>
      <c r="EI24" s="87">
        <v>2</v>
      </c>
      <c r="EJ24" s="87">
        <v>8</v>
      </c>
      <c r="EK24" s="87">
        <v>1</v>
      </c>
      <c r="EL24" s="87">
        <v>6</v>
      </c>
      <c r="EM24" s="87">
        <v>3</v>
      </c>
      <c r="EN24" s="87">
        <v>-3</v>
      </c>
      <c r="EO24" s="87">
        <v>-8</v>
      </c>
      <c r="EP24" s="87">
        <v>-5</v>
      </c>
      <c r="EQ24" s="87">
        <v>-6</v>
      </c>
      <c r="ER24" s="87">
        <v>-8</v>
      </c>
      <c r="ES24" s="87">
        <v>-2</v>
      </c>
      <c r="ET24" s="87">
        <v>-1</v>
      </c>
      <c r="EU24" s="87">
        <v>-4</v>
      </c>
      <c r="EV24" s="87">
        <v>-7</v>
      </c>
      <c r="EW24" s="67"/>
      <c r="EX24" s="87">
        <v>8</v>
      </c>
      <c r="EY24" s="87" t="s">
        <v>677</v>
      </c>
      <c r="EZ24" s="67"/>
      <c r="FA24" s="87">
        <v>7</v>
      </c>
      <c r="FB24" s="87" t="s">
        <v>650</v>
      </c>
      <c r="FC24" s="87" t="s">
        <v>662</v>
      </c>
      <c r="FD24" s="87">
        <v>6</v>
      </c>
      <c r="FE24" s="87" t="s">
        <v>673</v>
      </c>
      <c r="FF24" s="87">
        <v>7</v>
      </c>
      <c r="FG24" s="87">
        <v>6</v>
      </c>
      <c r="FH24" s="87">
        <v>1</v>
      </c>
      <c r="FI24" s="87">
        <v>8</v>
      </c>
      <c r="FJ24" s="87">
        <v>3</v>
      </c>
      <c r="FK24" s="87">
        <v>4</v>
      </c>
      <c r="FL24" s="87">
        <v>9</v>
      </c>
      <c r="FM24" s="87">
        <v>2</v>
      </c>
      <c r="FO24" s="87">
        <v>-4</v>
      </c>
      <c r="FP24" s="87">
        <v>5</v>
      </c>
      <c r="FR24" s="60" t="s">
        <v>76</v>
      </c>
      <c r="FS24" s="60">
        <v>7</v>
      </c>
      <c r="FT24" s="60" t="s">
        <v>76</v>
      </c>
      <c r="FU24" s="67"/>
      <c r="FV24" s="67" t="s">
        <v>109</v>
      </c>
      <c r="FW24" s="67">
        <v>7</v>
      </c>
      <c r="FX24" s="67" t="s">
        <v>109</v>
      </c>
      <c r="FY24" s="69"/>
      <c r="FZ24" s="69"/>
      <c r="GA24" s="69"/>
      <c r="GB24" s="69"/>
      <c r="GC24" s="69"/>
      <c r="GD24" s="69"/>
      <c r="GE24" s="69"/>
      <c r="GF24" s="69"/>
      <c r="GG24" s="69"/>
      <c r="GH24" s="69"/>
      <c r="GI24" s="69"/>
      <c r="GJ24" s="69"/>
      <c r="GK24" s="69"/>
      <c r="GL24" s="69"/>
      <c r="GM24" s="69"/>
      <c r="GN24" s="69"/>
      <c r="GO24" s="69"/>
      <c r="GP24" s="69"/>
      <c r="GQ24" s="69"/>
      <c r="GR24" s="69"/>
      <c r="GS24" s="69"/>
      <c r="GT24" s="69"/>
      <c r="GV24" s="69"/>
      <c r="GW24" s="69"/>
      <c r="GX24" s="69"/>
      <c r="HB24" s="71"/>
    </row>
    <row r="25" spans="1:210" ht="7.35" customHeight="1" x14ac:dyDescent="0.1">
      <c r="A25" s="88"/>
      <c r="B25" s="302"/>
      <c r="C25" s="303"/>
      <c r="D25" s="304"/>
      <c r="E25" s="304"/>
      <c r="F25" s="304"/>
      <c r="G25" s="304"/>
      <c r="H25" s="305"/>
      <c r="I25" s="306"/>
      <c r="J25" s="306"/>
      <c r="K25" s="307"/>
      <c r="L25" s="307"/>
      <c r="M25" s="306"/>
      <c r="N25" s="302"/>
      <c r="O25" s="303"/>
      <c r="P25" s="304"/>
      <c r="Q25" s="304"/>
      <c r="R25" s="304"/>
      <c r="S25" s="308"/>
      <c r="T25" s="263"/>
      <c r="U25" s="67"/>
      <c r="W25" s="69"/>
      <c r="AB25" s="69"/>
      <c r="AC25" s="69"/>
      <c r="AU25" s="69"/>
      <c r="AV25" s="396"/>
      <c r="AW25" s="385"/>
      <c r="AX25" s="385"/>
      <c r="AY25" s="385"/>
      <c r="AZ25" s="385"/>
      <c r="BA25" s="385"/>
      <c r="BB25" s="396"/>
      <c r="BC25" s="385"/>
      <c r="BD25" s="385"/>
      <c r="BE25" s="385"/>
      <c r="BF25" s="385"/>
      <c r="BG25" s="385"/>
      <c r="BH25" s="396"/>
      <c r="BI25" s="385"/>
      <c r="BJ25" s="385"/>
      <c r="BK25" s="385"/>
      <c r="BL25" s="385"/>
      <c r="BM25" s="419"/>
      <c r="BN25" s="67"/>
      <c r="BO25" s="67"/>
      <c r="BP25" s="67"/>
      <c r="BV25" s="142" t="s">
        <v>757</v>
      </c>
      <c r="BW25" s="71" t="e">
        <f ca="1">BK14=5</f>
        <v>#N/A</v>
      </c>
      <c r="CB25" s="67"/>
      <c r="CC25" s="67"/>
      <c r="CD25" s="67"/>
      <c r="CE25" s="67"/>
      <c r="CF25" s="67"/>
      <c r="CG25" s="71"/>
      <c r="CP25" s="142" t="s">
        <v>757</v>
      </c>
      <c r="CQ25" s="71" t="b">
        <f ca="1">CE14=5</f>
        <v>0</v>
      </c>
      <c r="CW25" s="87">
        <v>2</v>
      </c>
      <c r="CX25" s="87" t="s">
        <v>706</v>
      </c>
      <c r="CY25" s="87">
        <v>2</v>
      </c>
      <c r="CZ25" s="67"/>
      <c r="DA25" s="94">
        <v>22</v>
      </c>
      <c r="DB25" s="94" t="s">
        <v>758</v>
      </c>
      <c r="DC25" s="94" t="s">
        <v>16</v>
      </c>
      <c r="DD25" s="94" t="s">
        <v>3</v>
      </c>
      <c r="DE25" s="94" t="s">
        <v>31</v>
      </c>
      <c r="DF25" s="94">
        <v>22</v>
      </c>
      <c r="DG25" s="139"/>
      <c r="DH25" s="100">
        <v>1885</v>
      </c>
      <c r="DI25" s="101"/>
      <c r="DJ25" s="73"/>
      <c r="DK25" s="69"/>
      <c r="DL25" s="94" t="s">
        <v>758</v>
      </c>
      <c r="DM25" s="69"/>
      <c r="DN25" s="103">
        <f ca="1">This_Yr!E16</f>
        <v>45588.259837157559</v>
      </c>
      <c r="DO25" s="94" t="s">
        <v>55</v>
      </c>
      <c r="DP25" s="146">
        <f t="shared" ca="1" si="11"/>
        <v>45603.263399427757</v>
      </c>
      <c r="DQ25" s="94" t="s">
        <v>6</v>
      </c>
      <c r="DR25" s="87" t="s">
        <v>684</v>
      </c>
      <c r="DS25" s="69"/>
      <c r="DT25" s="97" t="s">
        <v>837</v>
      </c>
      <c r="DU25" s="97" t="s">
        <v>844</v>
      </c>
      <c r="DW25" s="69"/>
      <c r="DX25" s="87">
        <v>8</v>
      </c>
      <c r="DY25" s="87" t="s">
        <v>658</v>
      </c>
      <c r="DZ25" s="105" t="s">
        <v>670</v>
      </c>
      <c r="EA25" s="86">
        <f ca="1">IF(AZ12=AC17, 1, 0)</f>
        <v>0</v>
      </c>
      <c r="EB25" s="87">
        <f ca="1">HLOOKUP(EB17, EE17:EM26,9,FALSE)</f>
        <v>7</v>
      </c>
      <c r="EC25" s="86">
        <f ca="1">IF(AZ12=AC17, -1, 0)</f>
        <v>0</v>
      </c>
      <c r="ED25" s="87">
        <f ca="1">HLOOKUP(ED17, EN17:EV26,9,FALSE)</f>
        <v>-3</v>
      </c>
      <c r="EE25" s="87">
        <v>2</v>
      </c>
      <c r="EF25" s="87">
        <v>5</v>
      </c>
      <c r="EG25" s="87">
        <v>8</v>
      </c>
      <c r="EH25" s="87">
        <v>7</v>
      </c>
      <c r="EI25" s="87">
        <v>5</v>
      </c>
      <c r="EJ25" s="87">
        <v>3</v>
      </c>
      <c r="EK25" s="87">
        <v>4</v>
      </c>
      <c r="EL25" s="87">
        <v>1</v>
      </c>
      <c r="EM25" s="87">
        <v>6</v>
      </c>
      <c r="EN25" s="87">
        <v>-8</v>
      </c>
      <c r="EO25" s="87">
        <v>-5</v>
      </c>
      <c r="EP25" s="87">
        <v>-2</v>
      </c>
      <c r="EQ25" s="87">
        <v>-3</v>
      </c>
      <c r="ER25" s="87">
        <v>-5</v>
      </c>
      <c r="ES25" s="87">
        <v>-7</v>
      </c>
      <c r="ET25" s="87">
        <v>-6</v>
      </c>
      <c r="EU25" s="87">
        <v>-1</v>
      </c>
      <c r="EV25" s="87">
        <v>-4</v>
      </c>
      <c r="EW25" s="67"/>
      <c r="EX25" s="87" t="s">
        <v>821</v>
      </c>
      <c r="EY25" s="87" t="s">
        <v>821</v>
      </c>
      <c r="EZ25" s="67"/>
      <c r="FA25" s="87">
        <v>8</v>
      </c>
      <c r="FB25" s="87" t="s">
        <v>658</v>
      </c>
      <c r="FC25" s="87" t="s">
        <v>670</v>
      </c>
      <c r="FD25" s="87">
        <v>7</v>
      </c>
      <c r="FE25" s="87" t="s">
        <v>634</v>
      </c>
      <c r="FF25" s="87">
        <v>8</v>
      </c>
      <c r="FG25" s="87">
        <v>3</v>
      </c>
      <c r="FH25" s="87">
        <v>4</v>
      </c>
      <c r="FI25" s="87">
        <v>9</v>
      </c>
      <c r="FJ25" s="87">
        <v>2</v>
      </c>
      <c r="FK25" s="87">
        <v>7</v>
      </c>
      <c r="FL25" s="87">
        <v>6</v>
      </c>
      <c r="FM25" s="87">
        <v>1</v>
      </c>
      <c r="FO25" s="87">
        <v>-3</v>
      </c>
      <c r="FP25" s="87">
        <v>6</v>
      </c>
      <c r="FR25" s="60" t="s">
        <v>77</v>
      </c>
      <c r="FS25" s="60">
        <v>8</v>
      </c>
      <c r="FT25" s="60" t="s">
        <v>77</v>
      </c>
      <c r="FU25" s="67"/>
      <c r="FV25" s="67" t="s">
        <v>110</v>
      </c>
      <c r="FW25" s="67">
        <v>8</v>
      </c>
      <c r="FX25" s="67" t="s">
        <v>110</v>
      </c>
      <c r="FY25" s="69"/>
      <c r="FZ25" s="69"/>
      <c r="GA25" s="69"/>
      <c r="GB25" s="69"/>
      <c r="GC25" s="69"/>
      <c r="GD25" s="69"/>
      <c r="GE25" s="69"/>
      <c r="GF25" s="69"/>
      <c r="GG25" s="69"/>
      <c r="GH25" s="69"/>
      <c r="GI25" s="69"/>
      <c r="GJ25" s="69"/>
      <c r="GK25" s="69"/>
      <c r="GL25" s="69"/>
      <c r="GM25" s="69"/>
      <c r="GN25" s="69"/>
      <c r="GO25" s="69"/>
      <c r="GP25" s="69"/>
      <c r="GQ25" s="69"/>
      <c r="GR25" s="69"/>
      <c r="GS25" s="69"/>
      <c r="GT25" s="69"/>
      <c r="GV25" s="69"/>
      <c r="GW25" s="69"/>
      <c r="GX25" s="69"/>
      <c r="HB25" s="71"/>
    </row>
    <row r="26" spans="1:210" x14ac:dyDescent="0.1">
      <c r="A26" s="88"/>
      <c r="B26" s="151"/>
      <c r="U26" s="67"/>
      <c r="W26" s="69"/>
      <c r="AB26" s="69"/>
      <c r="AC26" s="69"/>
      <c r="AU26" s="69"/>
      <c r="AV26" s="67"/>
      <c r="AW26" s="67"/>
      <c r="AX26" s="67"/>
      <c r="AY26" s="67"/>
      <c r="AZ26" s="67"/>
      <c r="BA26" s="67"/>
      <c r="BB26" s="67"/>
      <c r="BC26" s="67"/>
      <c r="BD26" s="67"/>
      <c r="BE26" s="67"/>
      <c r="BF26" s="67"/>
      <c r="BG26" s="67"/>
      <c r="BH26" s="67"/>
      <c r="BI26" s="67"/>
      <c r="BJ26" s="67"/>
      <c r="BK26" s="67"/>
      <c r="BL26" s="67"/>
      <c r="BM26" s="71"/>
      <c r="BN26" s="67"/>
      <c r="BO26" s="67"/>
      <c r="BP26" s="67"/>
      <c r="BV26" s="142" t="s">
        <v>759</v>
      </c>
      <c r="BW26" s="143">
        <f ca="1">BS14</f>
        <v>1</v>
      </c>
      <c r="CB26" s="67"/>
      <c r="CC26" s="67"/>
      <c r="CD26" s="67"/>
      <c r="CE26" s="67"/>
      <c r="CF26" s="67"/>
      <c r="CG26" s="71"/>
      <c r="CP26" s="142" t="s">
        <v>759</v>
      </c>
      <c r="CQ26" s="143">
        <f ca="1">CM14</f>
        <v>7</v>
      </c>
      <c r="CW26" s="87">
        <v>3</v>
      </c>
      <c r="CX26" s="87" t="s">
        <v>709</v>
      </c>
      <c r="CY26" s="87">
        <v>3</v>
      </c>
      <c r="CZ26" s="67"/>
      <c r="DA26" s="94">
        <v>23</v>
      </c>
      <c r="DB26" s="94" t="s">
        <v>760</v>
      </c>
      <c r="DC26" s="94" t="s">
        <v>19</v>
      </c>
      <c r="DD26" s="94" t="s">
        <v>6</v>
      </c>
      <c r="DE26" s="94" t="s">
        <v>31</v>
      </c>
      <c r="DF26" s="94">
        <v>23</v>
      </c>
      <c r="DG26" s="139"/>
      <c r="DH26" s="100">
        <v>1886</v>
      </c>
      <c r="DI26" s="101"/>
      <c r="DJ26" s="73"/>
      <c r="DK26" s="69"/>
      <c r="DL26" s="94" t="s">
        <v>760</v>
      </c>
      <c r="DM26" s="69"/>
      <c r="DN26" s="103">
        <f ca="1">This_Yr!E17</f>
        <v>45603.263399427757</v>
      </c>
      <c r="DO26" s="94" t="s">
        <v>56</v>
      </c>
      <c r="DP26" s="146">
        <f t="shared" ca="1" si="11"/>
        <v>45618.16366945859</v>
      </c>
      <c r="DQ26" s="94" t="s">
        <v>9</v>
      </c>
      <c r="DR26" s="87" t="s">
        <v>684</v>
      </c>
      <c r="DS26" s="69"/>
      <c r="DT26" s="97" t="s">
        <v>838</v>
      </c>
      <c r="DU26" s="97" t="s">
        <v>838</v>
      </c>
      <c r="DW26" s="69"/>
      <c r="DX26" s="87">
        <v>9</v>
      </c>
      <c r="DY26" s="87" t="s">
        <v>671</v>
      </c>
      <c r="DZ26" s="105" t="s">
        <v>657</v>
      </c>
      <c r="EA26" s="86">
        <f ca="1">IF(AZ13=AC17, 1, 0)</f>
        <v>0</v>
      </c>
      <c r="EB26" s="87">
        <f ca="1">HLOOKUP(EB17, EE17:EM26,10,FALSE)</f>
        <v>2</v>
      </c>
      <c r="EC26" s="86">
        <f ca="1">IF(AZ13=AC17, -1, 0)</f>
        <v>0</v>
      </c>
      <c r="ED26" s="87">
        <f ca="1">HLOOKUP(ED17, EN17:EV26,10,FALSE)</f>
        <v>-8</v>
      </c>
      <c r="EE26" s="87">
        <v>5</v>
      </c>
      <c r="EF26" s="87">
        <v>8</v>
      </c>
      <c r="EG26" s="87">
        <v>3</v>
      </c>
      <c r="EH26" s="87">
        <v>2</v>
      </c>
      <c r="EI26" s="87">
        <v>8</v>
      </c>
      <c r="EJ26" s="87">
        <v>6</v>
      </c>
      <c r="EK26" s="87">
        <v>7</v>
      </c>
      <c r="EL26" s="87">
        <v>4</v>
      </c>
      <c r="EM26" s="87">
        <v>1</v>
      </c>
      <c r="EN26" s="87">
        <v>-5</v>
      </c>
      <c r="EO26" s="87">
        <v>-2</v>
      </c>
      <c r="EP26" s="87">
        <v>-7</v>
      </c>
      <c r="EQ26" s="87">
        <v>-8</v>
      </c>
      <c r="ER26" s="87">
        <v>-2</v>
      </c>
      <c r="ES26" s="87">
        <v>-4</v>
      </c>
      <c r="ET26" s="87">
        <v>-3</v>
      </c>
      <c r="EU26" s="87">
        <v>-6</v>
      </c>
      <c r="EV26" s="87">
        <v>-1</v>
      </c>
      <c r="EW26" s="67"/>
      <c r="EX26" s="87">
        <v>-1</v>
      </c>
      <c r="EY26" s="87" t="s">
        <v>647</v>
      </c>
      <c r="EZ26" s="67"/>
      <c r="FA26" s="87">
        <v>9</v>
      </c>
      <c r="FB26" s="87" t="s">
        <v>671</v>
      </c>
      <c r="FC26" s="87" t="s">
        <v>657</v>
      </c>
      <c r="FD26" s="87">
        <v>8</v>
      </c>
      <c r="FE26" s="87" t="s">
        <v>664</v>
      </c>
      <c r="FF26" s="87">
        <v>9</v>
      </c>
      <c r="FG26" s="87">
        <v>2</v>
      </c>
      <c r="FH26" s="87">
        <v>7</v>
      </c>
      <c r="FI26" s="87">
        <v>6</v>
      </c>
      <c r="FJ26" s="87">
        <v>1</v>
      </c>
      <c r="FK26" s="87">
        <v>8</v>
      </c>
      <c r="FL26" s="87">
        <v>3</v>
      </c>
      <c r="FM26" s="87">
        <v>4</v>
      </c>
      <c r="FO26" s="87">
        <v>-2</v>
      </c>
      <c r="FP26" s="87">
        <v>7</v>
      </c>
      <c r="FR26" s="60" t="s">
        <v>78</v>
      </c>
      <c r="FS26" s="60">
        <v>9</v>
      </c>
      <c r="FT26" s="60" t="s">
        <v>78</v>
      </c>
      <c r="FU26" s="67"/>
      <c r="FV26" s="67" t="s">
        <v>111</v>
      </c>
      <c r="FW26" s="67">
        <v>9</v>
      </c>
      <c r="FX26" s="67" t="s">
        <v>111</v>
      </c>
      <c r="FY26" s="69"/>
      <c r="FZ26" s="69"/>
      <c r="GA26" s="69"/>
      <c r="GB26" s="69"/>
      <c r="GC26" s="69"/>
      <c r="GD26" s="69"/>
      <c r="GE26" s="69"/>
      <c r="GF26" s="69"/>
      <c r="GG26" s="69"/>
      <c r="GH26" s="69"/>
      <c r="GI26" s="69"/>
      <c r="GJ26" s="69"/>
      <c r="GK26" s="69"/>
      <c r="GL26" s="69"/>
      <c r="GM26" s="69"/>
      <c r="GN26" s="69"/>
      <c r="GO26" s="69"/>
      <c r="GP26" s="69"/>
      <c r="GQ26" s="69"/>
      <c r="GR26" s="69"/>
      <c r="GS26" s="69"/>
      <c r="GT26" s="69"/>
      <c r="GV26" s="69"/>
      <c r="GW26" s="69"/>
      <c r="GX26" s="69"/>
    </row>
    <row r="27" spans="1:210" ht="10.5" customHeight="1" x14ac:dyDescent="0.1">
      <c r="A27" s="88"/>
      <c r="B27" s="380"/>
      <c r="D27" s="81"/>
      <c r="U27" s="67"/>
      <c r="AC27" s="69"/>
      <c r="AU27" s="69"/>
      <c r="AV27" s="67"/>
      <c r="AW27" s="67"/>
      <c r="AX27" s="67"/>
      <c r="AY27" s="67"/>
      <c r="AZ27" s="67"/>
      <c r="BA27" s="67"/>
      <c r="BB27" s="67"/>
      <c r="BC27" s="67"/>
      <c r="BD27" s="67"/>
      <c r="BE27" s="67"/>
      <c r="BF27" s="67"/>
      <c r="BG27" s="67"/>
      <c r="BH27" s="67"/>
      <c r="BI27" s="67"/>
      <c r="BJ27" s="67"/>
      <c r="BK27" s="67"/>
      <c r="BL27" s="67"/>
      <c r="BM27" s="71"/>
      <c r="BN27" s="67"/>
      <c r="BO27" s="67"/>
      <c r="BP27" s="67"/>
      <c r="BV27" s="142" t="s">
        <v>761</v>
      </c>
      <c r="BW27" s="129" t="e">
        <f ca="1">IF(BJ5=AY6,1, BW28)</f>
        <v>#N/A</v>
      </c>
      <c r="CB27" s="67"/>
      <c r="CC27" s="67"/>
      <c r="CD27" s="67"/>
      <c r="CE27" s="67"/>
      <c r="CF27" s="67"/>
      <c r="CG27" s="71"/>
      <c r="CP27" s="142" t="s">
        <v>761</v>
      </c>
      <c r="CQ27" s="129">
        <f ca="1">IF(CD5=AY6,1, CQ28)</f>
        <v>1</v>
      </c>
      <c r="CW27" s="87">
        <v>4</v>
      </c>
      <c r="CX27" s="87" t="s">
        <v>712</v>
      </c>
      <c r="CY27" s="87">
        <v>4</v>
      </c>
      <c r="CZ27" s="67"/>
      <c r="DA27" s="94">
        <v>24</v>
      </c>
      <c r="DB27" s="94" t="s">
        <v>762</v>
      </c>
      <c r="DC27" s="94" t="s">
        <v>22</v>
      </c>
      <c r="DD27" s="94" t="s">
        <v>9</v>
      </c>
      <c r="DE27" s="94" t="s">
        <v>31</v>
      </c>
      <c r="DF27" s="94">
        <v>24</v>
      </c>
      <c r="DG27" s="139"/>
      <c r="DH27" s="100">
        <v>1887</v>
      </c>
      <c r="DI27" s="101"/>
      <c r="DJ27" s="73"/>
      <c r="DK27" s="69"/>
      <c r="DL27" s="94" t="s">
        <v>762</v>
      </c>
      <c r="DM27" s="69"/>
      <c r="DN27" s="103">
        <f ca="1">This_Yr!E18</f>
        <v>45618.16366945859</v>
      </c>
      <c r="DO27" s="94" t="s">
        <v>57</v>
      </c>
      <c r="DP27" s="146">
        <f t="shared" ca="1" si="11"/>
        <v>45632.969744416419</v>
      </c>
      <c r="DQ27" s="94" t="s">
        <v>9</v>
      </c>
      <c r="DR27" s="87" t="s">
        <v>684</v>
      </c>
      <c r="DS27" s="69"/>
      <c r="DT27" s="97" t="s">
        <v>839</v>
      </c>
      <c r="DU27" s="97" t="s">
        <v>839</v>
      </c>
      <c r="DW27" s="69"/>
      <c r="DX27" s="67"/>
      <c r="DY27" s="67"/>
      <c r="DZ27" s="67"/>
      <c r="EA27" s="67"/>
      <c r="EB27" s="67"/>
      <c r="EC27" s="67"/>
      <c r="ED27" s="67"/>
      <c r="EE27" s="67"/>
      <c r="EF27" s="67"/>
      <c r="EG27" s="67"/>
      <c r="EH27" s="67"/>
      <c r="EI27" s="67"/>
      <c r="EJ27" s="67"/>
      <c r="EK27" s="67"/>
      <c r="EL27" s="67"/>
      <c r="EM27" s="67"/>
      <c r="EN27" s="67"/>
      <c r="EO27" s="67"/>
      <c r="EP27" s="67"/>
      <c r="EQ27" s="67"/>
      <c r="ER27" s="67"/>
      <c r="ES27" s="67"/>
      <c r="ET27" s="69"/>
      <c r="EU27" s="67"/>
      <c r="EV27" s="67"/>
      <c r="EW27" s="67"/>
      <c r="EX27" s="87">
        <v>-2</v>
      </c>
      <c r="EY27" s="87" t="s">
        <v>26</v>
      </c>
      <c r="EZ27" s="67"/>
      <c r="FA27" s="69"/>
      <c r="FB27" s="69"/>
      <c r="FC27" s="69"/>
      <c r="FD27" s="67"/>
      <c r="FE27" s="67"/>
      <c r="FF27" s="87">
        <v>0</v>
      </c>
      <c r="FG27" s="87">
        <v>1</v>
      </c>
      <c r="FH27" s="87">
        <v>2</v>
      </c>
      <c r="FI27" s="87">
        <v>3</v>
      </c>
      <c r="FJ27" s="87">
        <v>4</v>
      </c>
      <c r="FK27" s="87">
        <v>5</v>
      </c>
      <c r="FL27" s="87">
        <v>6</v>
      </c>
      <c r="FM27" s="87">
        <v>7</v>
      </c>
      <c r="FO27" s="87">
        <v>-1</v>
      </c>
      <c r="FP27" s="87">
        <v>8</v>
      </c>
      <c r="FR27" s="60" t="s">
        <v>79</v>
      </c>
      <c r="FS27" s="60">
        <v>10</v>
      </c>
      <c r="FT27" s="60" t="s">
        <v>79</v>
      </c>
      <c r="FU27" s="67"/>
      <c r="FV27" s="67" t="s">
        <v>112</v>
      </c>
      <c r="FW27" s="67">
        <v>10</v>
      </c>
      <c r="FX27" s="67" t="s">
        <v>112</v>
      </c>
      <c r="FY27" s="69"/>
      <c r="FZ27" s="69"/>
      <c r="GA27" s="69"/>
      <c r="GB27" s="69"/>
      <c r="GC27" s="69"/>
      <c r="GD27" s="69"/>
      <c r="GE27" s="69"/>
      <c r="GF27" s="69"/>
      <c r="GG27" s="69"/>
      <c r="GH27" s="69"/>
      <c r="GI27" s="69"/>
      <c r="GJ27" s="69"/>
      <c r="GK27" s="69"/>
      <c r="GL27" s="69"/>
      <c r="GM27" s="69"/>
      <c r="GN27" s="69"/>
      <c r="GO27" s="69"/>
      <c r="GP27" s="69"/>
      <c r="GQ27" s="69"/>
      <c r="GR27" s="69"/>
      <c r="GS27" s="69"/>
      <c r="GT27" s="69"/>
      <c r="GV27" s="69"/>
      <c r="GW27" s="69"/>
      <c r="GX27" s="69"/>
    </row>
    <row r="28" spans="1:210" ht="10.5" customHeight="1" x14ac:dyDescent="0.1">
      <c r="A28" s="88"/>
      <c r="B28" s="150"/>
      <c r="U28" s="67"/>
      <c r="AC28" s="69"/>
      <c r="AU28" s="69"/>
      <c r="AV28" s="67"/>
      <c r="AW28" s="67"/>
      <c r="AX28" s="67"/>
      <c r="BB28" s="67"/>
      <c r="BC28" s="67"/>
      <c r="BD28" s="67"/>
      <c r="BE28" s="67"/>
      <c r="BF28" s="67"/>
      <c r="BG28" s="67"/>
      <c r="BH28" s="67"/>
      <c r="BI28" s="67"/>
      <c r="BJ28" s="67"/>
      <c r="BK28" s="67"/>
      <c r="BL28" s="67"/>
      <c r="BM28" s="71"/>
      <c r="BN28" s="67"/>
      <c r="BO28" s="67"/>
      <c r="BP28" s="67"/>
      <c r="BW28" s="132" t="e">
        <f ca="1">IF(BJ6=AY6,2,IF(BJ7=AY6,3,IF(BJ8=AY6,4,IF(BJ9=AY6,5,IF(BJ10=AY6,6,IF(BJ11=AY6,7,BW29))))))</f>
        <v>#N/A</v>
      </c>
      <c r="CB28" s="67"/>
      <c r="CC28" s="67"/>
      <c r="CD28" s="67"/>
      <c r="CE28" s="67"/>
      <c r="CF28" s="67"/>
      <c r="CG28" s="71"/>
      <c r="CQ28" s="132" t="str">
        <f ca="1">IF(CD6=AY6,2,IF(CD7=AY6,3,IF(CD8=AY6,4,IF(CD9=AY6,5,IF(CD10=AY6,6,IF(CD11=AY6,7,CQ29))))))</f>
        <v>Wrong</v>
      </c>
      <c r="CW28" s="87">
        <v>5</v>
      </c>
      <c r="CX28" s="87" t="s">
        <v>716</v>
      </c>
      <c r="CY28" s="87">
        <v>5</v>
      </c>
      <c r="CZ28" s="67"/>
      <c r="DA28" s="94">
        <v>25</v>
      </c>
      <c r="DB28" s="94" t="s">
        <v>763</v>
      </c>
      <c r="DC28" s="94" t="s">
        <v>25</v>
      </c>
      <c r="DD28" s="94" t="s">
        <v>12</v>
      </c>
      <c r="DE28" s="94" t="s">
        <v>31</v>
      </c>
      <c r="DF28" s="94">
        <v>25</v>
      </c>
      <c r="DG28" s="139"/>
      <c r="DH28" s="100">
        <v>1888</v>
      </c>
      <c r="DI28" s="101"/>
      <c r="DJ28" s="73"/>
      <c r="DK28" s="69"/>
      <c r="DL28" s="94" t="s">
        <v>763</v>
      </c>
      <c r="DM28" s="69"/>
      <c r="DN28" s="103">
        <f ca="1">This_Yr!E19</f>
        <v>45632.969744416419</v>
      </c>
      <c r="DO28" s="94" t="str">
        <f ca="1">"大雪"&amp;Program!AA4</f>
        <v>大雪2024</v>
      </c>
      <c r="DP28" s="146">
        <f t="shared" ca="1" si="11"/>
        <v>45647.722314842977</v>
      </c>
      <c r="DQ28" s="94" t="s">
        <v>12</v>
      </c>
      <c r="DR28" s="87" t="s">
        <v>684</v>
      </c>
      <c r="DS28" s="69"/>
      <c r="DT28" s="97" t="s">
        <v>840</v>
      </c>
      <c r="DU28" s="97" t="s">
        <v>840</v>
      </c>
      <c r="DW28" s="69"/>
      <c r="DX28" s="67"/>
      <c r="DY28" s="67"/>
      <c r="DZ28" s="67"/>
      <c r="EA28" s="67"/>
      <c r="EB28" s="67"/>
      <c r="EC28" s="67"/>
      <c r="ED28" s="67"/>
      <c r="EE28" s="67"/>
      <c r="EF28" s="67"/>
      <c r="EG28" s="67"/>
      <c r="EH28" s="67"/>
      <c r="EI28" s="67"/>
      <c r="EJ28" s="67"/>
      <c r="EK28" s="67"/>
      <c r="EL28" s="67"/>
      <c r="EM28" s="67"/>
      <c r="EN28" s="67"/>
      <c r="EO28" s="67"/>
      <c r="EP28" s="67"/>
      <c r="EQ28" s="67"/>
      <c r="ER28" s="67"/>
      <c r="ES28" s="67"/>
      <c r="ET28" s="69"/>
      <c r="EU28" s="67"/>
      <c r="EV28" s="67"/>
      <c r="EW28" s="67"/>
      <c r="EX28" s="87">
        <v>-3</v>
      </c>
      <c r="EY28" s="87" t="s">
        <v>656</v>
      </c>
      <c r="EZ28" s="67"/>
      <c r="FO28" s="87">
        <v>0</v>
      </c>
      <c r="FP28" s="87">
        <v>9</v>
      </c>
      <c r="FR28" s="60" t="s">
        <v>80</v>
      </c>
      <c r="FS28" s="60">
        <v>11</v>
      </c>
      <c r="FT28" s="60" t="s">
        <v>80</v>
      </c>
      <c r="FU28" s="67"/>
      <c r="FV28" s="67" t="s">
        <v>849</v>
      </c>
      <c r="FW28" s="67">
        <v>11</v>
      </c>
      <c r="FX28" s="67" t="s">
        <v>849</v>
      </c>
      <c r="FY28" s="69"/>
      <c r="FZ28" s="69"/>
      <c r="GA28" s="69"/>
      <c r="GB28" s="69"/>
      <c r="GC28" s="69"/>
      <c r="GD28" s="69"/>
      <c r="GE28" s="69"/>
      <c r="GF28" s="69"/>
      <c r="GG28" s="69"/>
      <c r="GH28" s="69"/>
      <c r="GI28" s="69"/>
      <c r="GJ28" s="69"/>
      <c r="GK28" s="69"/>
      <c r="GL28" s="69"/>
      <c r="GM28" s="69"/>
      <c r="GN28" s="69"/>
      <c r="GO28" s="69"/>
      <c r="GP28" s="69"/>
      <c r="GQ28" s="69"/>
      <c r="GR28" s="69"/>
      <c r="GS28" s="69"/>
      <c r="GT28" s="69"/>
      <c r="GV28" s="69"/>
      <c r="GW28" s="69"/>
      <c r="GX28" s="69"/>
    </row>
    <row r="29" spans="1:210" ht="10.5" customHeight="1" x14ac:dyDescent="0.1">
      <c r="A29" s="88"/>
      <c r="B29" s="151"/>
      <c r="U29" s="67"/>
      <c r="AC29" s="69"/>
      <c r="AU29" s="69"/>
      <c r="AV29" s="67"/>
      <c r="AW29" s="67"/>
      <c r="AX29" s="67"/>
      <c r="BB29" s="67"/>
      <c r="BC29" s="67"/>
      <c r="BD29" s="67"/>
      <c r="BE29" s="67"/>
      <c r="BF29" s="67"/>
      <c r="BG29" s="67"/>
      <c r="BH29" s="67"/>
      <c r="BI29" s="390"/>
      <c r="BJ29" s="391"/>
      <c r="BK29" s="391"/>
      <c r="BL29" s="391"/>
      <c r="BM29" s="422"/>
      <c r="BN29" s="391"/>
      <c r="BO29" s="390"/>
      <c r="BP29" s="391"/>
      <c r="BQ29" s="422"/>
      <c r="BR29" s="422"/>
      <c r="BS29" s="422"/>
      <c r="BT29" s="422"/>
      <c r="BU29" s="424"/>
      <c r="BV29" s="422"/>
      <c r="BW29" s="420" t="e">
        <f ca="1">IF(BJ12=AY6,8,IF(BJ13=AY6,9,"Wrong"))</f>
        <v>#N/A</v>
      </c>
      <c r="BX29" s="422"/>
      <c r="BY29" s="422"/>
      <c r="BZ29" s="421"/>
      <c r="CB29" s="67"/>
      <c r="CC29" s="67"/>
      <c r="CD29" s="67"/>
      <c r="CE29" s="67"/>
      <c r="CF29" s="67"/>
      <c r="CG29" s="71"/>
      <c r="CQ29" s="132" t="str">
        <f ca="1">IF(CD12=AY6,8,IF(CD13=AY6,9,"Wrong"))</f>
        <v>Wrong</v>
      </c>
      <c r="CW29" s="87">
        <v>6</v>
      </c>
      <c r="CX29" s="87" t="s">
        <v>719</v>
      </c>
      <c r="CY29" s="87">
        <v>6</v>
      </c>
      <c r="CZ29" s="67"/>
      <c r="DA29" s="94">
        <v>26</v>
      </c>
      <c r="DB29" s="94" t="s">
        <v>764</v>
      </c>
      <c r="DC29" s="94" t="s">
        <v>666</v>
      </c>
      <c r="DD29" s="94" t="s">
        <v>15</v>
      </c>
      <c r="DE29" s="94" t="s">
        <v>31</v>
      </c>
      <c r="DF29" s="94">
        <v>26</v>
      </c>
      <c r="DG29" s="139"/>
      <c r="DH29" s="100">
        <v>1889</v>
      </c>
      <c r="DI29" s="101"/>
      <c r="DJ29" s="73"/>
      <c r="DK29" s="69"/>
      <c r="DL29" s="94" t="s">
        <v>764</v>
      </c>
      <c r="DM29" s="69"/>
      <c r="DN29" s="103">
        <f ca="1">This_Yr!E20</f>
        <v>45647.722314842977</v>
      </c>
      <c r="DO29" s="94" t="str">
        <f ca="1">"冬至"&amp;Program!AA4</f>
        <v>冬至2024</v>
      </c>
      <c r="DP29" s="146">
        <f t="shared" ca="1" si="11"/>
        <v>45662.439384223893</v>
      </c>
      <c r="DQ29" s="94" t="s">
        <v>12</v>
      </c>
      <c r="DR29" s="87" t="s">
        <v>683</v>
      </c>
      <c r="DS29" s="69"/>
      <c r="DT29" s="97" t="s">
        <v>841</v>
      </c>
      <c r="DU29" s="97" t="s">
        <v>841</v>
      </c>
      <c r="DW29" s="69"/>
      <c r="DX29" s="67"/>
      <c r="DY29" s="67"/>
      <c r="DZ29" s="67"/>
      <c r="EA29" s="67"/>
      <c r="EB29" s="67"/>
      <c r="EC29" s="67"/>
      <c r="ED29" s="67"/>
      <c r="EE29" s="67"/>
      <c r="EF29" s="67"/>
      <c r="EG29" s="67"/>
      <c r="EH29" s="67"/>
      <c r="EI29" s="67"/>
      <c r="EJ29" s="67"/>
      <c r="EK29" s="67"/>
      <c r="EL29" s="67"/>
      <c r="EM29" s="67"/>
      <c r="EN29" s="67"/>
      <c r="EO29" s="67"/>
      <c r="EP29" s="67"/>
      <c r="EQ29" s="67"/>
      <c r="ER29" s="67"/>
      <c r="ES29" s="67"/>
      <c r="ET29" s="69"/>
      <c r="EU29" s="67"/>
      <c r="EV29" s="67"/>
      <c r="EW29" s="67"/>
      <c r="EX29" s="87">
        <v>-4</v>
      </c>
      <c r="EY29" s="87" t="s">
        <v>661</v>
      </c>
      <c r="EZ29" s="67"/>
      <c r="FA29" s="67"/>
      <c r="FB29" s="67"/>
      <c r="FO29" s="87">
        <v>1</v>
      </c>
      <c r="FP29" s="87">
        <v>1</v>
      </c>
      <c r="FR29" s="60" t="s">
        <v>81</v>
      </c>
      <c r="FS29" s="60">
        <v>12</v>
      </c>
      <c r="FT29" s="60" t="s">
        <v>81</v>
      </c>
      <c r="FU29" s="67"/>
      <c r="FV29" s="67" t="s">
        <v>850</v>
      </c>
      <c r="FW29" s="67">
        <v>12</v>
      </c>
      <c r="FX29" s="67" t="s">
        <v>850</v>
      </c>
      <c r="FY29" s="69"/>
      <c r="FZ29" s="69"/>
      <c r="GA29" s="69"/>
      <c r="GB29" s="69"/>
      <c r="GC29" s="69"/>
      <c r="GD29" s="69"/>
      <c r="GE29" s="69"/>
      <c r="GF29" s="69"/>
      <c r="GG29" s="69"/>
      <c r="GH29" s="69"/>
      <c r="GI29" s="69"/>
      <c r="GJ29" s="69"/>
      <c r="GK29" s="69"/>
      <c r="GL29" s="69"/>
      <c r="GM29" s="69"/>
      <c r="GN29" s="69"/>
      <c r="GO29" s="69"/>
      <c r="GP29" s="69"/>
      <c r="GQ29" s="69"/>
      <c r="GR29" s="69"/>
      <c r="GS29" s="69"/>
      <c r="GT29" s="69"/>
      <c r="GV29" s="69"/>
      <c r="GW29" s="69"/>
      <c r="GX29" s="69"/>
    </row>
    <row r="30" spans="1:210" ht="10.5" customHeight="1" x14ac:dyDescent="0.1">
      <c r="A30" s="88"/>
      <c r="B30" s="81"/>
      <c r="U30" s="67"/>
      <c r="AC30" s="69"/>
      <c r="AU30" s="69"/>
      <c r="AV30" s="67"/>
      <c r="AW30" s="67"/>
      <c r="BB30" s="67"/>
      <c r="BC30" s="67"/>
      <c r="BD30" s="67"/>
      <c r="BE30" s="67"/>
      <c r="BF30" s="67"/>
      <c r="BG30" s="67"/>
      <c r="BH30" s="67"/>
      <c r="BI30" s="394"/>
      <c r="BJ30" s="67"/>
      <c r="BK30" s="67"/>
      <c r="BL30" s="67"/>
      <c r="BM30" s="71"/>
      <c r="BN30" s="67"/>
      <c r="BO30" s="390"/>
      <c r="BP30" s="391"/>
      <c r="BQ30" s="422"/>
      <c r="BR30" s="422"/>
      <c r="BS30" s="438" t="s">
        <v>765</v>
      </c>
      <c r="BT30" s="438" t="s">
        <v>766</v>
      </c>
      <c r="BU30" s="448" t="s">
        <v>767</v>
      </c>
      <c r="BV30" s="438" t="s">
        <v>768</v>
      </c>
      <c r="BW30" s="438" t="s">
        <v>769</v>
      </c>
      <c r="BX30" s="422"/>
      <c r="BY30" s="438" t="e">
        <f ca="1">"轉" &amp; BV36 &amp; "格的結果"</f>
        <v>#N/A</v>
      </c>
      <c r="BZ30" s="439" t="s">
        <v>769</v>
      </c>
      <c r="CC30" s="67"/>
      <c r="CD30" s="67"/>
      <c r="CE30" s="67"/>
      <c r="CF30" s="67"/>
      <c r="CG30" s="71"/>
      <c r="CM30" s="437" t="s">
        <v>765</v>
      </c>
      <c r="CN30" s="437" t="s">
        <v>766</v>
      </c>
      <c r="CO30" s="437" t="s">
        <v>767</v>
      </c>
      <c r="CP30" s="437" t="s">
        <v>768</v>
      </c>
      <c r="CQ30" s="437" t="s">
        <v>769</v>
      </c>
      <c r="CS30" s="437" t="str">
        <f ca="1">"轉" &amp; CP36 &amp; "格的結果"</f>
        <v>轉6格的結果</v>
      </c>
      <c r="CT30" s="437" t="s">
        <v>769</v>
      </c>
      <c r="CW30" s="87">
        <v>7</v>
      </c>
      <c r="CX30" s="87" t="s">
        <v>723</v>
      </c>
      <c r="CY30" s="87">
        <v>7</v>
      </c>
      <c r="CZ30" s="67"/>
      <c r="DA30" s="94">
        <v>27</v>
      </c>
      <c r="DB30" s="94" t="s">
        <v>770</v>
      </c>
      <c r="DC30" s="94" t="s">
        <v>31</v>
      </c>
      <c r="DD30" s="94" t="s">
        <v>18</v>
      </c>
      <c r="DE30" s="94" t="s">
        <v>31</v>
      </c>
      <c r="DF30" s="94">
        <v>27</v>
      </c>
      <c r="DG30" s="139"/>
      <c r="DH30" s="100">
        <v>1890</v>
      </c>
      <c r="DI30" s="101"/>
      <c r="DJ30" s="73"/>
      <c r="DK30" s="69"/>
      <c r="DL30" s="94" t="s">
        <v>770</v>
      </c>
      <c r="DM30" s="69"/>
      <c r="DN30" s="103">
        <f ca="1">This_Yr!E21</f>
        <v>45662.439384223893</v>
      </c>
      <c r="DO30" s="94" t="s">
        <v>36</v>
      </c>
      <c r="DP30" s="146">
        <f t="shared" ca="1" si="11"/>
        <v>45677.166816800367</v>
      </c>
      <c r="DQ30" s="94" t="s">
        <v>15</v>
      </c>
      <c r="DR30" s="87" t="s">
        <v>683</v>
      </c>
      <c r="DS30" s="69"/>
      <c r="DT30" s="97" t="s">
        <v>842</v>
      </c>
      <c r="DU30" s="97" t="s">
        <v>842</v>
      </c>
      <c r="DW30" s="69"/>
      <c r="DX30" s="67"/>
      <c r="DY30" s="67"/>
      <c r="DZ30" s="67"/>
      <c r="EA30" s="67"/>
      <c r="EB30" s="67"/>
      <c r="EC30" s="67"/>
      <c r="ED30" s="67"/>
      <c r="EE30" s="67"/>
      <c r="EF30" s="67"/>
      <c r="EG30" s="67"/>
      <c r="EH30" s="67"/>
      <c r="EI30" s="67"/>
      <c r="EJ30" s="67"/>
      <c r="EK30" s="67"/>
      <c r="EL30" s="67"/>
      <c r="EM30" s="67"/>
      <c r="EN30" s="67"/>
      <c r="EO30" s="67"/>
      <c r="EP30" s="67"/>
      <c r="EQ30" s="67"/>
      <c r="ER30" s="67"/>
      <c r="ES30" s="67"/>
      <c r="ET30" s="69"/>
      <c r="EU30" s="67"/>
      <c r="EV30" s="67"/>
      <c r="EW30" s="67"/>
      <c r="EX30" s="87">
        <v>-5</v>
      </c>
      <c r="EY30" s="87" t="s">
        <v>17</v>
      </c>
      <c r="EZ30" s="67"/>
      <c r="FA30" s="67"/>
      <c r="FB30" s="67"/>
      <c r="FO30" s="87">
        <v>2</v>
      </c>
      <c r="FP30" s="87">
        <v>2</v>
      </c>
      <c r="FR30" s="60" t="s">
        <v>82</v>
      </c>
      <c r="FS30" s="60">
        <v>13</v>
      </c>
      <c r="FT30" s="60" t="s">
        <v>82</v>
      </c>
      <c r="FV30" s="67" t="s">
        <v>100</v>
      </c>
      <c r="FW30" s="67">
        <v>1</v>
      </c>
      <c r="FX30" s="67" t="s">
        <v>100</v>
      </c>
      <c r="FY30" s="69"/>
      <c r="FZ30" s="69"/>
      <c r="GA30" s="69"/>
      <c r="GB30" s="69"/>
      <c r="GC30" s="69"/>
      <c r="GD30" s="69"/>
      <c r="GE30" s="69"/>
      <c r="GF30" s="69"/>
      <c r="GG30" s="69"/>
      <c r="GH30" s="69"/>
      <c r="GI30" s="69"/>
      <c r="GJ30" s="69"/>
      <c r="GK30" s="69"/>
      <c r="GL30" s="69"/>
      <c r="GM30" s="69"/>
      <c r="GN30" s="69"/>
      <c r="GO30" s="69"/>
      <c r="GP30" s="69"/>
      <c r="GQ30" s="69"/>
      <c r="GR30" s="69"/>
      <c r="GS30" s="69"/>
      <c r="GT30" s="69"/>
      <c r="GV30" s="69"/>
      <c r="GW30" s="69"/>
      <c r="GX30" s="69"/>
    </row>
    <row r="31" spans="1:210" ht="10.5" customHeight="1" x14ac:dyDescent="0.1">
      <c r="B31" s="150"/>
      <c r="U31" s="67"/>
      <c r="AC31" s="69"/>
      <c r="AU31" s="69"/>
      <c r="AV31" s="67"/>
      <c r="AW31" s="67"/>
      <c r="BB31" s="67"/>
      <c r="BC31" s="67"/>
      <c r="BD31" s="67"/>
      <c r="BE31" s="67"/>
      <c r="BF31" s="67"/>
      <c r="BG31" s="67"/>
      <c r="BH31" s="67"/>
      <c r="BI31" s="394"/>
      <c r="BJ31" s="67"/>
      <c r="BK31" s="67"/>
      <c r="BL31" s="67"/>
      <c r="BM31" s="71"/>
      <c r="BN31" s="67"/>
      <c r="BO31" s="394"/>
      <c r="BP31" s="67"/>
      <c r="BS31" s="437"/>
      <c r="BT31" s="437"/>
      <c r="BU31" s="449"/>
      <c r="BV31" s="437"/>
      <c r="BW31" s="437"/>
      <c r="BY31" s="437"/>
      <c r="BZ31" s="440"/>
      <c r="CE31" s="67"/>
      <c r="CF31" s="71"/>
      <c r="CM31" s="437"/>
      <c r="CN31" s="437"/>
      <c r="CO31" s="437"/>
      <c r="CP31" s="437"/>
      <c r="CQ31" s="437"/>
      <c r="CS31" s="437"/>
      <c r="CT31" s="437"/>
      <c r="CW31" s="87">
        <v>8</v>
      </c>
      <c r="CX31" s="87" t="s">
        <v>726</v>
      </c>
      <c r="CY31" s="87">
        <v>8</v>
      </c>
      <c r="CZ31" s="67"/>
      <c r="DA31" s="94">
        <v>28</v>
      </c>
      <c r="DB31" s="94" t="s">
        <v>771</v>
      </c>
      <c r="DC31" s="94" t="s">
        <v>4</v>
      </c>
      <c r="DD31" s="94" t="s">
        <v>21</v>
      </c>
      <c r="DE31" s="94" t="s">
        <v>31</v>
      </c>
      <c r="DF31" s="94">
        <v>28</v>
      </c>
      <c r="DG31" s="139"/>
      <c r="DH31" s="100">
        <v>1891</v>
      </c>
      <c r="DI31" s="101"/>
      <c r="DJ31" s="73"/>
      <c r="DK31" s="69"/>
      <c r="DL31" s="94" t="s">
        <v>771</v>
      </c>
      <c r="DM31" s="69"/>
      <c r="DN31" s="103">
        <f ca="1">This_Yr!E22</f>
        <v>45677.166816800367</v>
      </c>
      <c r="DO31" s="94" t="s">
        <v>37</v>
      </c>
      <c r="DP31" s="146">
        <f t="shared" ca="1" si="11"/>
        <v>45691.924131135456</v>
      </c>
      <c r="DQ31" s="94" t="s">
        <v>15</v>
      </c>
      <c r="DR31" s="87" t="s">
        <v>683</v>
      </c>
      <c r="DS31" s="69"/>
      <c r="DT31" s="97" t="s">
        <v>843</v>
      </c>
      <c r="DU31" s="97" t="s">
        <v>843</v>
      </c>
      <c r="DW31" s="69"/>
      <c r="DX31" s="67"/>
      <c r="DY31" s="67"/>
      <c r="DZ31" s="67"/>
      <c r="EA31" s="67"/>
      <c r="EB31" s="67"/>
      <c r="EC31" s="67"/>
      <c r="ED31" s="67"/>
      <c r="EE31" s="67"/>
      <c r="EF31" s="67"/>
      <c r="EG31" s="67"/>
      <c r="EH31" s="67"/>
      <c r="EI31" s="67"/>
      <c r="EJ31" s="67"/>
      <c r="EK31" s="67"/>
      <c r="EL31" s="67"/>
      <c r="EM31" s="67"/>
      <c r="EN31" s="67"/>
      <c r="EO31" s="67"/>
      <c r="EP31" s="67"/>
      <c r="EQ31" s="67"/>
      <c r="ER31" s="67"/>
      <c r="ES31" s="67"/>
      <c r="ET31" s="69"/>
      <c r="EU31" s="67"/>
      <c r="EV31" s="67"/>
      <c r="EW31" s="67"/>
      <c r="EX31" s="87">
        <v>-6</v>
      </c>
      <c r="EY31" s="87" t="s">
        <v>669</v>
      </c>
      <c r="EZ31" s="67"/>
      <c r="FA31" s="67"/>
      <c r="FB31" s="67"/>
      <c r="FO31" s="87">
        <v>3</v>
      </c>
      <c r="FP31" s="87">
        <v>3</v>
      </c>
      <c r="FR31" s="60" t="s">
        <v>83</v>
      </c>
      <c r="FS31" s="60">
        <v>14</v>
      </c>
      <c r="FT31" s="60" t="s">
        <v>83</v>
      </c>
      <c r="FY31" s="69"/>
      <c r="FZ31" s="69"/>
      <c r="GA31" s="69"/>
      <c r="GB31" s="69"/>
      <c r="GC31" s="69"/>
      <c r="GD31" s="69"/>
      <c r="GE31" s="69"/>
      <c r="GF31" s="69"/>
      <c r="GG31" s="69"/>
      <c r="GH31" s="69"/>
      <c r="GI31" s="69"/>
      <c r="GJ31" s="69"/>
      <c r="GK31" s="69"/>
      <c r="GL31" s="69"/>
      <c r="GM31" s="69"/>
      <c r="GN31" s="69"/>
      <c r="GO31" s="69"/>
      <c r="GP31" s="69"/>
      <c r="GQ31" s="69"/>
      <c r="GR31" s="69"/>
      <c r="GS31" s="69"/>
      <c r="GT31" s="69"/>
      <c r="GV31" s="69"/>
      <c r="GW31" s="69"/>
      <c r="GX31" s="69"/>
    </row>
    <row r="32" spans="1:210" ht="10.5" customHeight="1" x14ac:dyDescent="0.1">
      <c r="B32" s="151"/>
      <c r="U32" s="67"/>
      <c r="AU32" s="69"/>
      <c r="AV32" s="67"/>
      <c r="AW32" s="67"/>
      <c r="BB32" s="67"/>
      <c r="BC32" s="67"/>
      <c r="BD32" s="67"/>
      <c r="BE32" s="67"/>
      <c r="BF32" s="67"/>
      <c r="BG32" s="67"/>
      <c r="BH32" s="67"/>
      <c r="BI32" s="394"/>
      <c r="BJ32" s="67"/>
      <c r="BK32" s="67"/>
      <c r="BL32" s="67"/>
      <c r="BM32" s="71"/>
      <c r="BN32" s="67"/>
      <c r="BO32" s="394"/>
      <c r="BP32" s="67"/>
      <c r="BS32" s="437"/>
      <c r="BT32" s="437"/>
      <c r="BU32" s="449"/>
      <c r="BV32" s="437"/>
      <c r="BW32" s="437"/>
      <c r="BY32" s="437"/>
      <c r="BZ32" s="440"/>
      <c r="CM32" s="437"/>
      <c r="CN32" s="437"/>
      <c r="CO32" s="437"/>
      <c r="CP32" s="437"/>
      <c r="CQ32" s="437"/>
      <c r="CS32" s="437"/>
      <c r="CT32" s="437"/>
      <c r="CW32" s="87">
        <v>9</v>
      </c>
      <c r="CX32" s="87" t="s">
        <v>730</v>
      </c>
      <c r="CY32" s="87">
        <v>9</v>
      </c>
      <c r="CZ32" s="67"/>
      <c r="DA32" s="94">
        <v>29</v>
      </c>
      <c r="DB32" s="94" t="s">
        <v>772</v>
      </c>
      <c r="DC32" s="94" t="s">
        <v>7</v>
      </c>
      <c r="DD32" s="94" t="s">
        <v>24</v>
      </c>
      <c r="DE32" s="94" t="s">
        <v>31</v>
      </c>
      <c r="DF32" s="94">
        <v>29</v>
      </c>
      <c r="DG32" s="139"/>
      <c r="DH32" s="100">
        <v>1892</v>
      </c>
      <c r="DI32" s="101"/>
      <c r="DJ32" s="73"/>
      <c r="DK32" s="69"/>
      <c r="DL32" s="94" t="s">
        <v>772</v>
      </c>
      <c r="DM32" s="69"/>
      <c r="DN32" s="103">
        <f ca="1">This_Yr!E23</f>
        <v>45691.924131135456</v>
      </c>
      <c r="DO32" s="94" t="s">
        <v>38</v>
      </c>
      <c r="DP32" s="146">
        <f t="shared" ca="1" si="11"/>
        <v>45706.754741082899</v>
      </c>
      <c r="DQ32" s="94" t="s">
        <v>18</v>
      </c>
      <c r="DR32" s="87" t="s">
        <v>683</v>
      </c>
      <c r="DS32" s="69"/>
      <c r="DT32" s="97" t="s">
        <v>844</v>
      </c>
      <c r="DU32" s="97" t="s">
        <v>844</v>
      </c>
      <c r="DW32" s="69"/>
      <c r="DX32" s="67"/>
      <c r="DY32" s="67"/>
      <c r="DZ32" s="67"/>
      <c r="EA32" s="67"/>
      <c r="EB32" s="67"/>
      <c r="EC32" s="67"/>
      <c r="ED32" s="67"/>
      <c r="EE32" s="67"/>
      <c r="EF32" s="67"/>
      <c r="EG32" s="67"/>
      <c r="EH32" s="67"/>
      <c r="EI32" s="67"/>
      <c r="EJ32" s="67"/>
      <c r="EK32" s="67"/>
      <c r="EL32" s="67"/>
      <c r="EM32" s="67"/>
      <c r="EN32" s="67"/>
      <c r="EO32" s="67"/>
      <c r="EP32" s="67"/>
      <c r="EQ32" s="67"/>
      <c r="ER32" s="67"/>
      <c r="ES32" s="67"/>
      <c r="ET32" s="69"/>
      <c r="EU32" s="67"/>
      <c r="EV32" s="67"/>
      <c r="EW32" s="67"/>
      <c r="EX32" s="87">
        <v>-7</v>
      </c>
      <c r="EY32" s="87" t="s">
        <v>674</v>
      </c>
      <c r="EZ32" s="67"/>
      <c r="FA32" s="67"/>
      <c r="FB32" s="67"/>
      <c r="FO32" s="87">
        <v>4</v>
      </c>
      <c r="FP32" s="87">
        <v>4</v>
      </c>
      <c r="FR32" s="60" t="s">
        <v>84</v>
      </c>
      <c r="FS32" s="60">
        <v>15</v>
      </c>
      <c r="FT32" s="60" t="s">
        <v>84</v>
      </c>
      <c r="FY32" s="69"/>
      <c r="FZ32" s="69"/>
      <c r="GA32" s="69"/>
      <c r="GB32" s="69"/>
      <c r="GC32" s="69"/>
      <c r="GD32" s="69"/>
      <c r="GE32" s="69"/>
      <c r="GF32" s="69"/>
      <c r="GG32" s="69"/>
      <c r="GH32" s="69"/>
      <c r="GI32" s="69"/>
      <c r="GJ32" s="69"/>
      <c r="GK32" s="69"/>
      <c r="GL32" s="69"/>
      <c r="GM32" s="69"/>
      <c r="GN32" s="69"/>
      <c r="GO32" s="69"/>
      <c r="GP32" s="69"/>
      <c r="GQ32" s="69"/>
      <c r="GR32" s="69"/>
      <c r="GS32" s="69"/>
      <c r="GT32" s="69"/>
      <c r="GV32" s="69"/>
      <c r="GW32" s="69"/>
      <c r="GX32" s="69"/>
    </row>
    <row r="33" spans="2:176" ht="10.5" customHeight="1" x14ac:dyDescent="0.1">
      <c r="B33" s="81"/>
      <c r="U33" s="67"/>
      <c r="AU33" s="69"/>
      <c r="AV33" s="67"/>
      <c r="AW33" s="67"/>
      <c r="AX33" s="67"/>
      <c r="BB33" s="67"/>
      <c r="BC33" s="67"/>
      <c r="BD33" s="67"/>
      <c r="BE33" s="67"/>
      <c r="BF33" s="67"/>
      <c r="BG33" s="67"/>
      <c r="BH33" s="67"/>
      <c r="BI33" s="394"/>
      <c r="BJ33" s="67"/>
      <c r="BK33" s="67"/>
      <c r="BL33" s="67"/>
      <c r="BM33" s="71"/>
      <c r="BN33" s="67"/>
      <c r="BO33" s="394"/>
      <c r="BP33" s="67"/>
      <c r="BS33" s="437"/>
      <c r="BT33" s="437"/>
      <c r="BU33" s="449"/>
      <c r="BV33" s="437"/>
      <c r="BW33" s="437"/>
      <c r="BY33" s="437"/>
      <c r="BZ33" s="440"/>
      <c r="CM33" s="437"/>
      <c r="CN33" s="437"/>
      <c r="CO33" s="437"/>
      <c r="CP33" s="437"/>
      <c r="CQ33" s="437"/>
      <c r="CS33" s="437"/>
      <c r="CT33" s="437"/>
      <c r="CW33" s="71"/>
      <c r="CX33" s="71"/>
      <c r="CY33" s="71"/>
      <c r="CZ33" s="67"/>
      <c r="DA33" s="94">
        <v>30</v>
      </c>
      <c r="DB33" s="94" t="s">
        <v>773</v>
      </c>
      <c r="DC33" s="94" t="s">
        <v>10</v>
      </c>
      <c r="DD33" s="94" t="s">
        <v>27</v>
      </c>
      <c r="DE33" s="94" t="s">
        <v>31</v>
      </c>
      <c r="DF33" s="94">
        <v>30</v>
      </c>
      <c r="DG33" s="139"/>
      <c r="DH33" s="100">
        <v>1893</v>
      </c>
      <c r="DI33" s="101"/>
      <c r="DJ33" s="73"/>
      <c r="DK33" s="69"/>
      <c r="DL33" s="94" t="s">
        <v>773</v>
      </c>
      <c r="DM33" s="69"/>
      <c r="DN33" s="103">
        <f ca="1">This_Yr!E24</f>
        <v>45706.754741082899</v>
      </c>
      <c r="DO33" s="94" t="s">
        <v>39</v>
      </c>
      <c r="DP33" s="146">
        <f t="shared" ca="1" si="11"/>
        <v>45721.671848032624</v>
      </c>
      <c r="DQ33" s="94" t="s">
        <v>18</v>
      </c>
      <c r="DR33" s="87" t="s">
        <v>683</v>
      </c>
      <c r="DS33" s="69"/>
      <c r="DW33" s="69"/>
      <c r="EB33" s="67"/>
      <c r="EC33" s="67"/>
      <c r="ED33" s="67"/>
      <c r="EE33" s="67"/>
      <c r="EF33" s="67"/>
      <c r="EG33" s="67"/>
      <c r="EH33" s="67"/>
      <c r="EI33" s="67"/>
      <c r="EJ33" s="67"/>
      <c r="EK33" s="67"/>
      <c r="EL33" s="67"/>
      <c r="EM33" s="67"/>
      <c r="EN33" s="67"/>
      <c r="EO33" s="67"/>
      <c r="EP33" s="67"/>
      <c r="EQ33" s="67"/>
      <c r="ER33" s="67"/>
      <c r="ES33" s="67"/>
      <c r="ET33" s="69"/>
      <c r="EU33" s="67"/>
      <c r="EV33" s="67"/>
      <c r="EW33" s="67"/>
      <c r="EX33" s="87">
        <v>-8</v>
      </c>
      <c r="EY33" s="87" t="s">
        <v>677</v>
      </c>
      <c r="EZ33" s="67"/>
      <c r="FA33" s="67"/>
      <c r="FB33" s="67"/>
      <c r="FO33" s="87">
        <v>5</v>
      </c>
      <c r="FP33" s="87">
        <v>5</v>
      </c>
      <c r="FR33" s="60" t="s">
        <v>85</v>
      </c>
      <c r="FS33" s="60">
        <v>16</v>
      </c>
      <c r="FT33" s="60" t="s">
        <v>85</v>
      </c>
    </row>
    <row r="34" spans="2:176" ht="10.5" customHeight="1" x14ac:dyDescent="0.1">
      <c r="B34" s="150"/>
      <c r="U34" s="67"/>
      <c r="AU34" s="69"/>
      <c r="AV34" s="67"/>
      <c r="AW34" s="67"/>
      <c r="AX34" s="67"/>
      <c r="BB34" s="67"/>
      <c r="BC34" s="67"/>
      <c r="BD34" s="67"/>
      <c r="BE34" s="67"/>
      <c r="BF34" s="67"/>
      <c r="BG34" s="67"/>
      <c r="BH34" s="67"/>
      <c r="BI34" s="394"/>
      <c r="BJ34" s="67"/>
      <c r="BK34" s="67"/>
      <c r="BL34" s="67"/>
      <c r="BM34" s="71"/>
      <c r="BN34" s="67"/>
      <c r="BO34" s="394"/>
      <c r="BP34" s="67"/>
      <c r="BS34" s="437"/>
      <c r="BT34" s="437"/>
      <c r="BU34" s="449"/>
      <c r="BV34" s="437"/>
      <c r="BW34" s="437"/>
      <c r="BY34" s="437"/>
      <c r="BZ34" s="440"/>
      <c r="CM34" s="437"/>
      <c r="CN34" s="437"/>
      <c r="CO34" s="437"/>
      <c r="CP34" s="437"/>
      <c r="CQ34" s="437"/>
      <c r="CS34" s="437"/>
      <c r="CT34" s="437"/>
      <c r="CW34" s="71"/>
      <c r="CX34" s="71"/>
      <c r="CY34" s="71"/>
      <c r="CZ34" s="67"/>
      <c r="DA34" s="94">
        <v>31</v>
      </c>
      <c r="DB34" s="94" t="s">
        <v>774</v>
      </c>
      <c r="DC34" s="94" t="s">
        <v>13</v>
      </c>
      <c r="DD34" s="94" t="s">
        <v>30</v>
      </c>
      <c r="DE34" s="94" t="s">
        <v>829</v>
      </c>
      <c r="DF34" s="94">
        <v>31</v>
      </c>
      <c r="DG34" s="139"/>
      <c r="DH34" s="100">
        <v>1894</v>
      </c>
      <c r="DI34" s="101"/>
      <c r="DJ34" s="73"/>
      <c r="DK34" s="69"/>
      <c r="DL34" s="94" t="s">
        <v>774</v>
      </c>
      <c r="DM34" s="69"/>
      <c r="DN34" s="103">
        <f ca="1">This_Yr!E25</f>
        <v>45721.671848032624</v>
      </c>
      <c r="DO34" s="94" t="s">
        <v>722</v>
      </c>
      <c r="DP34" s="146" t="s">
        <v>821</v>
      </c>
      <c r="DQ34" s="94" t="s">
        <v>21</v>
      </c>
      <c r="DR34" s="87" t="s">
        <v>683</v>
      </c>
      <c r="DS34" s="69"/>
      <c r="DW34" s="69"/>
      <c r="EE34" s="67"/>
      <c r="ET34" s="69"/>
      <c r="EV34" s="67"/>
      <c r="EW34" s="67"/>
      <c r="EY34" s="67"/>
      <c r="FO34" s="87">
        <v>6</v>
      </c>
      <c r="FP34" s="87">
        <v>6</v>
      </c>
      <c r="FR34" s="60" t="s">
        <v>86</v>
      </c>
      <c r="FS34" s="60">
        <v>17</v>
      </c>
      <c r="FT34" s="60" t="s">
        <v>86</v>
      </c>
    </row>
    <row r="35" spans="2:176" ht="10.5" customHeight="1" x14ac:dyDescent="0.1">
      <c r="B35" s="151"/>
      <c r="U35" s="67"/>
      <c r="AU35" s="69"/>
      <c r="AV35" s="67"/>
      <c r="AW35" s="67"/>
      <c r="AX35" s="67"/>
      <c r="BB35" s="67"/>
      <c r="BC35" s="67"/>
      <c r="BD35" s="67"/>
      <c r="BE35" s="67"/>
      <c r="BF35" s="67"/>
      <c r="BG35" s="67"/>
      <c r="BH35" s="67"/>
      <c r="BI35" s="390"/>
      <c r="BJ35" s="391"/>
      <c r="BK35" s="391"/>
      <c r="BL35" s="391"/>
      <c r="BM35" s="422"/>
      <c r="BN35" s="391"/>
      <c r="BO35" s="394"/>
      <c r="BP35" s="67"/>
      <c r="BS35" s="437"/>
      <c r="BT35" s="437"/>
      <c r="BU35" s="449"/>
      <c r="BV35" s="437"/>
      <c r="BW35" s="437"/>
      <c r="BY35" s="437"/>
      <c r="BZ35" s="440"/>
      <c r="CM35" s="437"/>
      <c r="CN35" s="437"/>
      <c r="CO35" s="437"/>
      <c r="CP35" s="437"/>
      <c r="CQ35" s="437"/>
      <c r="CS35" s="437"/>
      <c r="CT35" s="437"/>
      <c r="CW35" s="71"/>
      <c r="CX35" s="71"/>
      <c r="CY35" s="71"/>
      <c r="CZ35" s="67"/>
      <c r="DA35" s="94">
        <v>32</v>
      </c>
      <c r="DB35" s="94" t="s">
        <v>775</v>
      </c>
      <c r="DC35" s="94" t="s">
        <v>16</v>
      </c>
      <c r="DD35" s="94" t="s">
        <v>33</v>
      </c>
      <c r="DE35" s="94" t="s">
        <v>829</v>
      </c>
      <c r="DF35" s="94">
        <v>32</v>
      </c>
      <c r="DG35" s="139"/>
      <c r="DH35" s="100">
        <v>1895</v>
      </c>
      <c r="DI35" s="101"/>
      <c r="DJ35" s="73"/>
      <c r="DK35" s="69"/>
      <c r="DL35" s="94" t="s">
        <v>775</v>
      </c>
      <c r="DM35" s="69"/>
      <c r="DN35" s="72"/>
      <c r="DO35" s="72"/>
      <c r="DP35" s="72"/>
      <c r="DQ35" s="67"/>
      <c r="DR35" s="69"/>
      <c r="DS35" s="69"/>
      <c r="DW35" s="69"/>
      <c r="EE35" s="67"/>
      <c r="ET35" s="69"/>
      <c r="FO35" s="87">
        <v>7</v>
      </c>
      <c r="FP35" s="87">
        <v>7</v>
      </c>
      <c r="FR35" s="60" t="s">
        <v>87</v>
      </c>
      <c r="FS35" s="60">
        <v>18</v>
      </c>
      <c r="FT35" s="60" t="s">
        <v>87</v>
      </c>
    </row>
    <row r="36" spans="2:176" ht="10.5" customHeight="1" x14ac:dyDescent="0.1">
      <c r="B36" s="81"/>
      <c r="U36" s="67"/>
      <c r="AU36" s="69"/>
      <c r="AV36" s="67"/>
      <c r="AW36" s="67"/>
      <c r="AX36" s="67"/>
      <c r="BB36" s="67"/>
      <c r="BC36" s="67"/>
      <c r="BD36" s="67"/>
      <c r="BE36" s="67"/>
      <c r="BF36" s="67"/>
      <c r="BG36" s="67"/>
      <c r="BH36" s="67"/>
      <c r="BI36" s="394"/>
      <c r="BJ36" s="67"/>
      <c r="BK36" s="67"/>
      <c r="BL36" s="67"/>
      <c r="BM36" s="71"/>
      <c r="BN36" s="67"/>
      <c r="BO36" s="394"/>
      <c r="BP36" s="67"/>
      <c r="BS36" s="71" t="e">
        <f ca="1">VLOOKUP(BW27, FF18:FM27, 1, FALSE)</f>
        <v>#N/A</v>
      </c>
      <c r="BT36" s="71" t="e">
        <f ca="1">BS36=BW26</f>
        <v>#N/A</v>
      </c>
      <c r="BU36" s="394">
        <v>0</v>
      </c>
      <c r="BV36" s="71" t="e">
        <f ca="1">VLOOKUP(TRUE, BT36:BU43,2,FALSE)</f>
        <v>#N/A</v>
      </c>
      <c r="BW36" s="71">
        <v>1</v>
      </c>
      <c r="BX36" s="71" t="e">
        <f t="shared" ref="BX36:BX44" ca="1" si="37">BK5</f>
        <v>#N/A</v>
      </c>
      <c r="BY36" s="71" t="e">
        <f ca="1">VLOOKUP(BW36, FF18:FM26, BV36+1, FALSE)</f>
        <v>#N/A</v>
      </c>
      <c r="BZ36" s="418">
        <v>1</v>
      </c>
      <c r="CA36" s="60"/>
      <c r="CC36" s="71"/>
      <c r="CM36" s="71">
        <f ca="1">VLOOKUP(CQ27, FF18:FM27, 1, FALSE)</f>
        <v>1</v>
      </c>
      <c r="CN36" s="71" t="b">
        <f ca="1">CM36=CQ26</f>
        <v>0</v>
      </c>
      <c r="CO36" s="67">
        <v>0</v>
      </c>
      <c r="CP36" s="71">
        <f ca="1">VLOOKUP(TRUE, CN36:CO43,2,FALSE)</f>
        <v>6</v>
      </c>
      <c r="CQ36" s="71">
        <v>1</v>
      </c>
      <c r="CR36" s="71" t="str">
        <f t="shared" ref="CR36:CR44" ca="1" si="38">CE5</f>
        <v>丙</v>
      </c>
      <c r="CS36" s="71">
        <f ca="1">VLOOKUP(CQ36, FF18:FM26, CP36+1, FALSE)</f>
        <v>7</v>
      </c>
      <c r="CT36" s="71">
        <v>1</v>
      </c>
      <c r="CW36" s="71"/>
      <c r="CX36" s="71"/>
      <c r="CY36" s="71"/>
      <c r="CZ36" s="67"/>
      <c r="DA36" s="94">
        <v>33</v>
      </c>
      <c r="DB36" s="94" t="s">
        <v>776</v>
      </c>
      <c r="DC36" s="94" t="s">
        <v>19</v>
      </c>
      <c r="DD36" s="94" t="s">
        <v>35</v>
      </c>
      <c r="DE36" s="94" t="s">
        <v>829</v>
      </c>
      <c r="DF36" s="94">
        <v>33</v>
      </c>
      <c r="DG36" s="139"/>
      <c r="DH36" s="100">
        <v>1896</v>
      </c>
      <c r="DI36" s="101"/>
      <c r="DJ36" s="73"/>
      <c r="DK36" s="69"/>
      <c r="DL36" s="94" t="s">
        <v>776</v>
      </c>
      <c r="DM36" s="69"/>
      <c r="DN36" s="149"/>
      <c r="DO36" s="95"/>
      <c r="DP36" s="152"/>
      <c r="DQ36" s="67"/>
      <c r="DR36" s="69"/>
      <c r="DS36" s="69"/>
      <c r="DW36" s="69"/>
      <c r="EE36" s="67"/>
      <c r="ET36" s="69"/>
      <c r="FO36" s="87">
        <v>8</v>
      </c>
      <c r="FP36" s="87">
        <v>8</v>
      </c>
      <c r="FR36" s="60" t="s">
        <v>88</v>
      </c>
      <c r="FS36" s="60">
        <v>19</v>
      </c>
      <c r="FT36" s="60" t="s">
        <v>88</v>
      </c>
    </row>
    <row r="37" spans="2:176" ht="10.5" customHeight="1" x14ac:dyDescent="0.1">
      <c r="B37" s="150"/>
      <c r="U37" s="67"/>
      <c r="AU37" s="69"/>
      <c r="AV37" s="67"/>
      <c r="AW37" s="67"/>
      <c r="AX37" s="67"/>
      <c r="BB37" s="67"/>
      <c r="BC37" s="67"/>
      <c r="BD37" s="67"/>
      <c r="BE37" s="67"/>
      <c r="BF37" s="67"/>
      <c r="BG37" s="67"/>
      <c r="BH37" s="67"/>
      <c r="BI37" s="394"/>
      <c r="BJ37" s="67"/>
      <c r="BK37" s="67"/>
      <c r="BL37" s="67"/>
      <c r="BM37" s="71"/>
      <c r="BN37" s="67"/>
      <c r="BO37" s="394"/>
      <c r="BP37" s="67"/>
      <c r="BS37" s="71" t="e">
        <f ca="1">VLOOKUP(BW27, FF18:FM27, 2, FALSE)</f>
        <v>#N/A</v>
      </c>
      <c r="BT37" s="71" t="e">
        <f ca="1">BS37=BW26</f>
        <v>#N/A</v>
      </c>
      <c r="BU37" s="423">
        <v>1</v>
      </c>
      <c r="BW37" s="71">
        <v>2</v>
      </c>
      <c r="BX37" s="71" t="e">
        <f t="shared" ca="1" si="37"/>
        <v>#N/A</v>
      </c>
      <c r="BY37" s="71" t="e">
        <f ca="1">VLOOKUP(BW37, FF18:FM26, BV36+1, FALSE)</f>
        <v>#N/A</v>
      </c>
      <c r="BZ37" s="418">
        <v>2</v>
      </c>
      <c r="CA37" s="60"/>
      <c r="CC37" s="71"/>
      <c r="CM37" s="71">
        <f ca="1">VLOOKUP(CQ27, FF18:FM27, 2, FALSE)</f>
        <v>8</v>
      </c>
      <c r="CN37" s="71" t="b">
        <f ca="1">CM37=CQ26</f>
        <v>0</v>
      </c>
      <c r="CO37" s="71">
        <v>1</v>
      </c>
      <c r="CQ37" s="71">
        <v>2</v>
      </c>
      <c r="CR37" s="71" t="str">
        <f t="shared" ca="1" si="38"/>
        <v>丁</v>
      </c>
      <c r="CS37" s="71">
        <f ca="1">VLOOKUP(CQ37, FF18:FM26, CP36+1, FALSE)</f>
        <v>4</v>
      </c>
      <c r="CT37" s="71">
        <v>2</v>
      </c>
      <c r="CW37" s="71"/>
      <c r="CX37" s="71"/>
      <c r="CY37" s="71"/>
      <c r="CZ37" s="67"/>
      <c r="DA37" s="94">
        <v>34</v>
      </c>
      <c r="DB37" s="94" t="s">
        <v>777</v>
      </c>
      <c r="DC37" s="94" t="s">
        <v>22</v>
      </c>
      <c r="DD37" s="94" t="s">
        <v>3</v>
      </c>
      <c r="DE37" s="94" t="s">
        <v>829</v>
      </c>
      <c r="DF37" s="94">
        <v>34</v>
      </c>
      <c r="DG37" s="139"/>
      <c r="DH37" s="100">
        <v>1897</v>
      </c>
      <c r="DI37" s="101"/>
      <c r="DJ37" s="73"/>
      <c r="DK37" s="69"/>
      <c r="DL37" s="94" t="s">
        <v>777</v>
      </c>
      <c r="DM37" s="69"/>
      <c r="DN37" s="149"/>
      <c r="DO37" s="95"/>
      <c r="DP37" s="152"/>
      <c r="DQ37" s="67"/>
      <c r="DR37" s="69"/>
      <c r="DS37" s="69"/>
      <c r="DW37" s="69"/>
      <c r="EE37" s="67"/>
      <c r="ET37" s="69"/>
      <c r="FR37" s="60" t="s">
        <v>89</v>
      </c>
      <c r="FS37" s="60">
        <v>20</v>
      </c>
      <c r="FT37" s="60" t="s">
        <v>89</v>
      </c>
    </row>
    <row r="38" spans="2:176" ht="10.5" customHeight="1" x14ac:dyDescent="0.1">
      <c r="B38" s="151"/>
      <c r="U38" s="67"/>
      <c r="AU38" s="69"/>
      <c r="AV38" s="67"/>
      <c r="BA38" s="67"/>
      <c r="BB38" s="67"/>
      <c r="BC38" s="67"/>
      <c r="BD38" s="67"/>
      <c r="BE38" s="67"/>
      <c r="BF38" s="67"/>
      <c r="BG38" s="67"/>
      <c r="BH38" s="67"/>
      <c r="BI38" s="394"/>
      <c r="BJ38" s="67"/>
      <c r="BK38" s="67"/>
      <c r="BL38" s="67"/>
      <c r="BM38" s="71"/>
      <c r="BN38" s="67"/>
      <c r="BO38" s="394"/>
      <c r="BP38" s="67"/>
      <c r="BS38" s="71" t="e">
        <f ca="1">VLOOKUP(BW27, FF18:FM27, 3, FALSE)</f>
        <v>#N/A</v>
      </c>
      <c r="BT38" s="71" t="e">
        <f ca="1">BS38=BW26</f>
        <v>#N/A</v>
      </c>
      <c r="BU38" s="423">
        <v>2</v>
      </c>
      <c r="BW38" s="71">
        <v>3</v>
      </c>
      <c r="BX38" s="71" t="e">
        <f t="shared" ca="1" si="37"/>
        <v>#N/A</v>
      </c>
      <c r="BY38" s="71" t="e">
        <f ca="1">VLOOKUP(BW38, FF18:FM26, BV36+1, FALSE)</f>
        <v>#N/A</v>
      </c>
      <c r="BZ38" s="418">
        <v>3</v>
      </c>
      <c r="CA38" s="60"/>
      <c r="CC38" s="71"/>
      <c r="CM38" s="71">
        <f ca="1">VLOOKUP(CQ27, FF18:FM27, 3, FALSE)</f>
        <v>3</v>
      </c>
      <c r="CN38" s="71" t="b">
        <f ca="1">CM38=CQ26</f>
        <v>0</v>
      </c>
      <c r="CO38" s="71">
        <v>2</v>
      </c>
      <c r="CQ38" s="71">
        <v>3</v>
      </c>
      <c r="CR38" s="71" t="str">
        <f t="shared" ca="1" si="38"/>
        <v>辛</v>
      </c>
      <c r="CS38" s="71">
        <f ca="1">VLOOKUP(CQ38, FF18:FM26, CP36+1, FALSE)</f>
        <v>1</v>
      </c>
      <c r="CT38" s="71">
        <v>3</v>
      </c>
      <c r="CW38" s="71"/>
      <c r="CX38" s="71"/>
      <c r="CY38" s="71"/>
      <c r="CZ38" s="67"/>
      <c r="DA38" s="94">
        <v>35</v>
      </c>
      <c r="DB38" s="94" t="s">
        <v>778</v>
      </c>
      <c r="DC38" s="94" t="s">
        <v>25</v>
      </c>
      <c r="DD38" s="94" t="s">
        <v>6</v>
      </c>
      <c r="DE38" s="94" t="s">
        <v>829</v>
      </c>
      <c r="DF38" s="94">
        <v>35</v>
      </c>
      <c r="DG38" s="139"/>
      <c r="DH38" s="100">
        <v>1898</v>
      </c>
      <c r="DI38" s="101"/>
      <c r="DJ38" s="73"/>
      <c r="DK38" s="69"/>
      <c r="DL38" s="94" t="s">
        <v>778</v>
      </c>
      <c r="DM38" s="69"/>
      <c r="DN38" s="149"/>
      <c r="DO38" s="95"/>
      <c r="DP38" s="152"/>
      <c r="DQ38" s="67"/>
      <c r="DR38" s="69"/>
      <c r="DS38" s="69"/>
      <c r="DW38" s="69"/>
      <c r="FR38" s="60" t="s">
        <v>90</v>
      </c>
      <c r="FS38" s="60">
        <v>21</v>
      </c>
      <c r="FT38" s="60" t="s">
        <v>90</v>
      </c>
    </row>
    <row r="39" spans="2:176" ht="10.5" customHeight="1" x14ac:dyDescent="0.1">
      <c r="B39" s="81"/>
      <c r="M39" s="150"/>
      <c r="U39" s="67"/>
      <c r="AU39" s="69"/>
      <c r="AV39" s="67"/>
      <c r="BA39" s="67"/>
      <c r="BB39" s="67"/>
      <c r="BC39" s="67"/>
      <c r="BD39" s="67"/>
      <c r="BE39" s="67"/>
      <c r="BF39" s="67"/>
      <c r="BG39" s="67"/>
      <c r="BH39" s="67"/>
      <c r="BI39" s="394"/>
      <c r="BJ39" s="67"/>
      <c r="BK39" s="67"/>
      <c r="BL39" s="67"/>
      <c r="BM39" s="71"/>
      <c r="BN39" s="67"/>
      <c r="BO39" s="394"/>
      <c r="BP39" s="67"/>
      <c r="BS39" s="71" t="e">
        <f ca="1">VLOOKUP(BW27, FF18:FM27, 4, FALSE)</f>
        <v>#N/A</v>
      </c>
      <c r="BT39" s="71" t="e">
        <f ca="1">BS39=BW26</f>
        <v>#N/A</v>
      </c>
      <c r="BU39" s="423">
        <v>3</v>
      </c>
      <c r="BW39" s="71">
        <v>4</v>
      </c>
      <c r="BX39" s="71" t="e">
        <f t="shared" ca="1" si="37"/>
        <v>#N/A</v>
      </c>
      <c r="BY39" s="71" t="e">
        <f ca="1">VLOOKUP(BW39, FF18:FM26, BV36+1, FALSE)</f>
        <v>#N/A</v>
      </c>
      <c r="BZ39" s="418">
        <v>4</v>
      </c>
      <c r="CA39" s="60"/>
      <c r="CC39" s="71"/>
      <c r="CM39" s="71">
        <f ca="1">VLOOKUP(CQ27, FF18:FM27, 4, FALSE)</f>
        <v>4</v>
      </c>
      <c r="CN39" s="71" t="b">
        <f ca="1">CM39=CQ26</f>
        <v>0</v>
      </c>
      <c r="CO39" s="71">
        <v>3</v>
      </c>
      <c r="CQ39" s="71">
        <v>4</v>
      </c>
      <c r="CR39" s="71" t="str">
        <f t="shared" ca="1" si="38"/>
        <v>乙</v>
      </c>
      <c r="CS39" s="71">
        <f ca="1">VLOOKUP(CQ39, FF18:FM26, CP36+1, FALSE)</f>
        <v>8</v>
      </c>
      <c r="CT39" s="71">
        <v>4</v>
      </c>
      <c r="CW39" s="71"/>
      <c r="CX39" s="71"/>
      <c r="CY39" s="71"/>
      <c r="CZ39" s="67"/>
      <c r="DA39" s="94">
        <v>36</v>
      </c>
      <c r="DB39" s="94" t="s">
        <v>779</v>
      </c>
      <c r="DC39" s="94" t="s">
        <v>666</v>
      </c>
      <c r="DD39" s="94" t="s">
        <v>9</v>
      </c>
      <c r="DE39" s="94" t="s">
        <v>829</v>
      </c>
      <c r="DF39" s="94">
        <v>36</v>
      </c>
      <c r="DG39" s="139"/>
      <c r="DH39" s="100">
        <v>1899</v>
      </c>
      <c r="DI39" s="101"/>
      <c r="DJ39" s="73"/>
      <c r="DK39" s="69"/>
      <c r="DL39" s="94" t="s">
        <v>779</v>
      </c>
      <c r="DM39" s="69"/>
      <c r="DN39" s="149"/>
      <c r="DO39" s="95"/>
      <c r="DP39" s="152"/>
      <c r="DQ39" s="67"/>
      <c r="DS39" s="69"/>
      <c r="DW39" s="69"/>
      <c r="FR39" s="60" t="s">
        <v>91</v>
      </c>
      <c r="FS39" s="60">
        <v>22</v>
      </c>
      <c r="FT39" s="60" t="s">
        <v>91</v>
      </c>
    </row>
    <row r="40" spans="2:176" ht="10.5" customHeight="1" x14ac:dyDescent="0.1">
      <c r="B40" s="150"/>
      <c r="U40" s="67"/>
      <c r="AU40" s="69"/>
      <c r="AV40" s="67"/>
      <c r="BA40" s="67"/>
      <c r="BB40" s="67"/>
      <c r="BC40" s="67"/>
      <c r="BD40" s="67"/>
      <c r="BE40" s="67"/>
      <c r="BF40" s="67"/>
      <c r="BG40" s="67"/>
      <c r="BH40" s="67"/>
      <c r="BI40" s="394"/>
      <c r="BJ40" s="67"/>
      <c r="BK40" s="67"/>
      <c r="BL40" s="67"/>
      <c r="BM40" s="71"/>
      <c r="BN40" s="67"/>
      <c r="BO40" s="394"/>
      <c r="BP40" s="67"/>
      <c r="BS40" s="71" t="e">
        <f ca="1">VLOOKUP(BW27, FF18:FM27, 5, FALSE)</f>
        <v>#N/A</v>
      </c>
      <c r="BT40" s="71" t="e">
        <f ca="1">BS40=BW26</f>
        <v>#N/A</v>
      </c>
      <c r="BU40" s="423">
        <v>4</v>
      </c>
      <c r="BW40" s="71">
        <v>5</v>
      </c>
      <c r="BX40" s="71" t="str">
        <f t="shared" ca="1" si="37"/>
        <v>壬</v>
      </c>
      <c r="BY40" s="71" t="e">
        <f ca="1">VLOOKUP(BW40, FF18:FM26, BV36+1, FALSE)</f>
        <v>#N/A</v>
      </c>
      <c r="BZ40" s="418">
        <v>5</v>
      </c>
      <c r="CA40" s="60"/>
      <c r="CC40" s="71"/>
      <c r="CM40" s="71">
        <f ca="1">VLOOKUP(CQ27, FF18:FM27, 5, FALSE)</f>
        <v>9</v>
      </c>
      <c r="CN40" s="71" t="b">
        <f ca="1">CM40=CQ26</f>
        <v>0</v>
      </c>
      <c r="CO40" s="71">
        <v>4</v>
      </c>
      <c r="CQ40" s="71">
        <v>5</v>
      </c>
      <c r="CR40" s="71" t="str">
        <f t="shared" ca="1" si="38"/>
        <v>壬</v>
      </c>
      <c r="CS40" s="71">
        <f ca="1">VLOOKUP(CQ40, FF18:FM26, CP36+1, FALSE)</f>
        <v>5</v>
      </c>
      <c r="CT40" s="71">
        <v>5</v>
      </c>
      <c r="CW40" s="71"/>
      <c r="CX40" s="71"/>
      <c r="CY40" s="71"/>
      <c r="CZ40" s="67"/>
      <c r="DA40" s="94">
        <v>37</v>
      </c>
      <c r="DB40" s="94" t="s">
        <v>780</v>
      </c>
      <c r="DC40" s="94" t="s">
        <v>31</v>
      </c>
      <c r="DD40" s="94" t="s">
        <v>12</v>
      </c>
      <c r="DE40" s="94" t="s">
        <v>829</v>
      </c>
      <c r="DF40" s="94">
        <v>37</v>
      </c>
      <c r="DG40" s="139"/>
      <c r="DH40" s="100">
        <v>1900</v>
      </c>
      <c r="DI40" s="101"/>
      <c r="DJ40" s="73"/>
      <c r="DK40" s="69"/>
      <c r="DL40" s="94" t="s">
        <v>780</v>
      </c>
      <c r="DM40" s="69"/>
      <c r="DN40" s="149"/>
      <c r="DO40" s="95"/>
      <c r="DP40" s="152"/>
      <c r="DQ40" s="67"/>
      <c r="DS40" s="69"/>
      <c r="DW40" s="69"/>
      <c r="FR40" s="60" t="s">
        <v>92</v>
      </c>
      <c r="FS40" s="60">
        <v>23</v>
      </c>
      <c r="FT40" s="60" t="s">
        <v>92</v>
      </c>
    </row>
    <row r="41" spans="2:176" ht="10.5" customHeight="1" x14ac:dyDescent="0.1">
      <c r="B41" s="151"/>
      <c r="U41" s="67"/>
      <c r="AU41" s="69"/>
      <c r="AV41" s="67"/>
      <c r="BA41" s="67"/>
      <c r="BB41" s="67"/>
      <c r="BC41" s="67"/>
      <c r="BD41" s="67"/>
      <c r="BE41" s="67"/>
      <c r="BF41" s="67"/>
      <c r="BG41" s="67"/>
      <c r="BH41" s="67"/>
      <c r="BI41" s="390"/>
      <c r="BJ41" s="391"/>
      <c r="BK41" s="391"/>
      <c r="BL41" s="391"/>
      <c r="BM41" s="422"/>
      <c r="BN41" s="391"/>
      <c r="BO41" s="390"/>
      <c r="BP41" s="391"/>
      <c r="BQ41" s="422"/>
      <c r="BR41" s="422"/>
      <c r="BS41" s="422" t="e">
        <f ca="1">VLOOKUP(BW27, FF18:FM27, 6, FALSE)</f>
        <v>#N/A</v>
      </c>
      <c r="BT41" s="422" t="e">
        <f ca="1">BS41=BW26</f>
        <v>#N/A</v>
      </c>
      <c r="BU41" s="424">
        <v>5</v>
      </c>
      <c r="BV41" s="422"/>
      <c r="BW41" s="422">
        <v>6</v>
      </c>
      <c r="BX41" s="422" t="e">
        <f t="shared" ca="1" si="37"/>
        <v>#N/A</v>
      </c>
      <c r="BY41" s="422" t="e">
        <f ca="1">VLOOKUP(BW41, FF18:FM26, BV36+1, FALSE)</f>
        <v>#N/A</v>
      </c>
      <c r="BZ41" s="421">
        <v>6</v>
      </c>
      <c r="CA41" s="60"/>
      <c r="CC41" s="71"/>
      <c r="CM41" s="71">
        <f ca="1">VLOOKUP(CQ27, FF18:FM27, 6, FALSE)</f>
        <v>2</v>
      </c>
      <c r="CN41" s="71" t="b">
        <f ca="1">CM41=CQ26</f>
        <v>0</v>
      </c>
      <c r="CO41" s="71">
        <v>5</v>
      </c>
      <c r="CQ41" s="71">
        <v>6</v>
      </c>
      <c r="CR41" s="71" t="str">
        <f t="shared" ca="1" si="38"/>
        <v>戊</v>
      </c>
      <c r="CS41" s="71">
        <f ca="1">VLOOKUP(CQ41, FF18:FM26, CP36+1, FALSE)</f>
        <v>2</v>
      </c>
      <c r="CT41" s="71">
        <v>6</v>
      </c>
      <c r="CW41" s="71"/>
      <c r="CX41" s="71"/>
      <c r="CY41" s="71"/>
      <c r="CZ41" s="67"/>
      <c r="DA41" s="94">
        <v>38</v>
      </c>
      <c r="DB41" s="94" t="s">
        <v>781</v>
      </c>
      <c r="DC41" s="94" t="s">
        <v>4</v>
      </c>
      <c r="DD41" s="94" t="s">
        <v>15</v>
      </c>
      <c r="DE41" s="94" t="s">
        <v>829</v>
      </c>
      <c r="DF41" s="94">
        <v>38</v>
      </c>
      <c r="DG41" s="139"/>
      <c r="DH41" s="100">
        <v>1901</v>
      </c>
      <c r="DI41" s="101"/>
      <c r="DJ41" s="73"/>
      <c r="DK41" s="69"/>
      <c r="DL41" s="94" t="s">
        <v>781</v>
      </c>
      <c r="DM41" s="69"/>
      <c r="DN41" s="149"/>
      <c r="DO41" s="95"/>
      <c r="DP41" s="152"/>
      <c r="DQ41" s="67"/>
      <c r="DS41" s="69"/>
      <c r="DW41" s="69"/>
      <c r="FR41" s="60" t="s">
        <v>93</v>
      </c>
      <c r="FS41" s="60">
        <v>24</v>
      </c>
      <c r="FT41" s="60" t="s">
        <v>93</v>
      </c>
    </row>
    <row r="42" spans="2:176" ht="10.5" customHeight="1" x14ac:dyDescent="0.1">
      <c r="B42" s="81"/>
      <c r="U42" s="67"/>
      <c r="AU42" s="69"/>
      <c r="AV42" s="67"/>
      <c r="BA42" s="67"/>
      <c r="BB42" s="67"/>
      <c r="BC42" s="67"/>
      <c r="BD42" s="67"/>
      <c r="BE42" s="67"/>
      <c r="BF42" s="67"/>
      <c r="BG42" s="67"/>
      <c r="BH42" s="67"/>
      <c r="BI42" s="394"/>
      <c r="BJ42" s="67"/>
      <c r="BK42" s="67"/>
      <c r="BL42" s="67"/>
      <c r="BM42" s="71"/>
      <c r="BN42" s="67"/>
      <c r="BO42" s="394"/>
      <c r="BP42" s="67"/>
      <c r="BS42" s="71" t="e">
        <f ca="1">VLOOKUP(BW27, FF18:FM27, 7, FALSE)</f>
        <v>#N/A</v>
      </c>
      <c r="BT42" s="71" t="e">
        <f ca="1">BS42=BW26</f>
        <v>#N/A</v>
      </c>
      <c r="BU42" s="423">
        <v>6</v>
      </c>
      <c r="BW42" s="71">
        <v>7</v>
      </c>
      <c r="BX42" s="71" t="e">
        <f t="shared" ca="1" si="37"/>
        <v>#N/A</v>
      </c>
      <c r="BY42" s="71" t="e">
        <f ca="1">VLOOKUP(BW42, FF18:FM26, BV36+1, FALSE)</f>
        <v>#N/A</v>
      </c>
      <c r="BZ42" s="418">
        <v>7</v>
      </c>
      <c r="CA42" s="60"/>
      <c r="CC42" s="71"/>
      <c r="CM42" s="71">
        <f ca="1">VLOOKUP(CQ27, FF18:FM27, 7, FALSE)</f>
        <v>7</v>
      </c>
      <c r="CN42" s="71" t="b">
        <f ca="1">CM42=CQ26</f>
        <v>1</v>
      </c>
      <c r="CO42" s="71">
        <v>6</v>
      </c>
      <c r="CQ42" s="71">
        <v>7</v>
      </c>
      <c r="CR42" s="71" t="str">
        <f t="shared" ca="1" si="38"/>
        <v>癸</v>
      </c>
      <c r="CS42" s="71">
        <f ca="1">VLOOKUP(CQ42, FF18:FM26, CP36+1, FALSE)</f>
        <v>9</v>
      </c>
      <c r="CT42" s="71">
        <v>7</v>
      </c>
      <c r="CW42" s="71"/>
      <c r="CX42" s="71"/>
      <c r="CY42" s="71"/>
      <c r="CZ42" s="67"/>
      <c r="DA42" s="94">
        <v>39</v>
      </c>
      <c r="DB42" s="94" t="s">
        <v>782</v>
      </c>
      <c r="DC42" s="94" t="s">
        <v>7</v>
      </c>
      <c r="DD42" s="94" t="s">
        <v>18</v>
      </c>
      <c r="DE42" s="94" t="s">
        <v>829</v>
      </c>
      <c r="DF42" s="94">
        <v>39</v>
      </c>
      <c r="DG42" s="139"/>
      <c r="DH42" s="100">
        <v>1902</v>
      </c>
      <c r="DI42" s="101"/>
      <c r="DJ42" s="73"/>
      <c r="DK42" s="69"/>
      <c r="DL42" s="94" t="s">
        <v>782</v>
      </c>
      <c r="DM42" s="69"/>
      <c r="DN42" s="149"/>
      <c r="DO42" s="95"/>
      <c r="DP42" s="152"/>
      <c r="DQ42" s="67"/>
      <c r="DS42" s="69"/>
      <c r="DW42" s="69"/>
      <c r="FR42" s="60" t="s">
        <v>94</v>
      </c>
      <c r="FS42" s="60">
        <v>25</v>
      </c>
      <c r="FT42" s="60" t="s">
        <v>94</v>
      </c>
    </row>
    <row r="43" spans="2:176" ht="10.5" customHeight="1" x14ac:dyDescent="0.1">
      <c r="B43" s="150"/>
      <c r="U43" s="67"/>
      <c r="AU43" s="69"/>
      <c r="BA43" s="67"/>
      <c r="BB43" s="67"/>
      <c r="BC43" s="67"/>
      <c r="BI43" s="394"/>
      <c r="BJ43" s="67"/>
      <c r="BK43" s="67"/>
      <c r="BL43" s="67"/>
      <c r="BM43" s="71"/>
      <c r="BN43" s="67"/>
      <c r="BO43" s="394"/>
      <c r="BP43" s="67"/>
      <c r="BS43" s="71" t="e">
        <f ca="1">VLOOKUP(BW27, FF18:FM27, 8, FALSE)</f>
        <v>#N/A</v>
      </c>
      <c r="BT43" s="71" t="e">
        <f ca="1">BS43=BW26</f>
        <v>#N/A</v>
      </c>
      <c r="BU43" s="423">
        <v>7</v>
      </c>
      <c r="BW43" s="71">
        <v>8</v>
      </c>
      <c r="BX43" s="71" t="e">
        <f t="shared" ca="1" si="37"/>
        <v>#N/A</v>
      </c>
      <c r="BY43" s="71" t="e">
        <f ca="1">VLOOKUP(BW43, FF18:FM26, BV36+1, FALSE)</f>
        <v>#N/A</v>
      </c>
      <c r="BZ43" s="418">
        <v>8</v>
      </c>
      <c r="CA43" s="60"/>
      <c r="CC43" s="71"/>
      <c r="CM43" s="71">
        <f ca="1">VLOOKUP(CQ27, FF18:FM27, 8, FALSE)</f>
        <v>6</v>
      </c>
      <c r="CN43" s="71" t="b">
        <f ca="1">CM43=CQ26</f>
        <v>0</v>
      </c>
      <c r="CO43" s="71">
        <v>7</v>
      </c>
      <c r="CQ43" s="71">
        <v>8</v>
      </c>
      <c r="CR43" s="71" t="str">
        <f t="shared" ca="1" si="38"/>
        <v>庚</v>
      </c>
      <c r="CS43" s="71">
        <f ca="1">VLOOKUP(CQ43, FF18:FM26, CP36+1, FALSE)</f>
        <v>6</v>
      </c>
      <c r="CT43" s="71">
        <v>8</v>
      </c>
      <c r="CW43" s="71"/>
      <c r="CX43" s="71"/>
      <c r="CY43" s="71"/>
      <c r="CZ43" s="67"/>
      <c r="DA43" s="94">
        <v>40</v>
      </c>
      <c r="DB43" s="94" t="s">
        <v>783</v>
      </c>
      <c r="DC43" s="94" t="s">
        <v>10</v>
      </c>
      <c r="DD43" s="94" t="s">
        <v>21</v>
      </c>
      <c r="DE43" s="94" t="s">
        <v>829</v>
      </c>
      <c r="DF43" s="94">
        <v>40</v>
      </c>
      <c r="DG43" s="139"/>
      <c r="DH43" s="100">
        <v>1903</v>
      </c>
      <c r="DI43" s="101"/>
      <c r="DJ43" s="73"/>
      <c r="DK43" s="69"/>
      <c r="DL43" s="94" t="s">
        <v>783</v>
      </c>
      <c r="DM43" s="69"/>
      <c r="DN43" s="149"/>
      <c r="DO43" s="95"/>
      <c r="DP43" s="152"/>
      <c r="DQ43" s="67"/>
      <c r="DS43" s="69"/>
      <c r="DW43" s="69"/>
      <c r="FR43" s="60" t="s">
        <v>95</v>
      </c>
      <c r="FS43" s="60">
        <v>26</v>
      </c>
      <c r="FT43" s="60" t="s">
        <v>95</v>
      </c>
    </row>
    <row r="44" spans="2:176" ht="10.5" customHeight="1" x14ac:dyDescent="0.1">
      <c r="B44" s="380"/>
      <c r="U44" s="67"/>
      <c r="BI44" s="394"/>
      <c r="BJ44" s="67"/>
      <c r="BK44" s="67"/>
      <c r="BL44" s="67"/>
      <c r="BM44" s="71"/>
      <c r="BN44" s="67"/>
      <c r="BO44" s="394"/>
      <c r="BP44" s="67"/>
      <c r="BU44" s="423"/>
      <c r="BW44" s="67">
        <v>9</v>
      </c>
      <c r="BX44" s="71" t="e">
        <f t="shared" ca="1" si="37"/>
        <v>#N/A</v>
      </c>
      <c r="BY44" s="71" t="e">
        <f ca="1">VLOOKUP(BW44, FF18:FM26, BV36+1, FALSE)</f>
        <v>#N/A</v>
      </c>
      <c r="BZ44" s="418">
        <v>9</v>
      </c>
      <c r="CA44" s="60"/>
      <c r="CC44" s="71"/>
      <c r="CQ44" s="60">
        <v>9</v>
      </c>
      <c r="CR44" s="71" t="str">
        <f t="shared" ca="1" si="38"/>
        <v>己</v>
      </c>
      <c r="CS44" s="71">
        <f ca="1">VLOOKUP(CQ44, FF18:FM26, CP36+1, FALSE)</f>
        <v>3</v>
      </c>
      <c r="CT44" s="71">
        <v>9</v>
      </c>
      <c r="CW44" s="71"/>
      <c r="CX44" s="71"/>
      <c r="CY44" s="71"/>
      <c r="DA44" s="94">
        <v>41</v>
      </c>
      <c r="DB44" s="94" t="s">
        <v>784</v>
      </c>
      <c r="DC44" s="94" t="s">
        <v>13</v>
      </c>
      <c r="DD44" s="94" t="s">
        <v>24</v>
      </c>
      <c r="DE44" s="94" t="s">
        <v>7</v>
      </c>
      <c r="DF44" s="94">
        <v>41</v>
      </c>
      <c r="DG44" s="139"/>
      <c r="DH44" s="100">
        <v>1904</v>
      </c>
      <c r="DI44" s="101"/>
      <c r="DJ44" s="73"/>
      <c r="DL44" s="94" t="s">
        <v>784</v>
      </c>
      <c r="DN44" s="149"/>
      <c r="DO44" s="95"/>
      <c r="DP44" s="152"/>
      <c r="DQ44" s="67"/>
      <c r="FR44" s="60" t="s">
        <v>96</v>
      </c>
      <c r="FS44" s="60">
        <v>27</v>
      </c>
      <c r="FT44" s="60" t="s">
        <v>96</v>
      </c>
    </row>
    <row r="45" spans="2:176" ht="10.5" customHeight="1" x14ac:dyDescent="0.1">
      <c r="B45" s="380"/>
      <c r="U45" s="67"/>
      <c r="BI45" s="394"/>
      <c r="BJ45" s="67"/>
      <c r="BK45" s="67"/>
      <c r="BL45" s="67"/>
      <c r="BM45" s="71"/>
      <c r="BN45" s="67"/>
      <c r="BO45" s="394"/>
      <c r="BP45" s="67"/>
      <c r="BU45" s="423"/>
      <c r="BZ45" s="418"/>
      <c r="CW45" s="71"/>
      <c r="CX45" s="71"/>
      <c r="CY45" s="71"/>
      <c r="DA45" s="94">
        <v>42</v>
      </c>
      <c r="DB45" s="94" t="s">
        <v>785</v>
      </c>
      <c r="DC45" s="94" t="s">
        <v>16</v>
      </c>
      <c r="DD45" s="94" t="s">
        <v>27</v>
      </c>
      <c r="DE45" s="94" t="s">
        <v>7</v>
      </c>
      <c r="DF45" s="94">
        <v>42</v>
      </c>
      <c r="DG45" s="139"/>
      <c r="DH45" s="100">
        <v>1905</v>
      </c>
      <c r="DI45" s="101"/>
      <c r="DJ45" s="73"/>
      <c r="DL45" s="94" t="s">
        <v>785</v>
      </c>
      <c r="DN45" s="149"/>
      <c r="DO45" s="95"/>
      <c r="DP45" s="152"/>
      <c r="DQ45" s="67"/>
      <c r="FR45" s="60" t="s">
        <v>97</v>
      </c>
      <c r="FS45" s="60">
        <v>28</v>
      </c>
      <c r="FT45" s="60" t="s">
        <v>97</v>
      </c>
    </row>
    <row r="46" spans="2:176" ht="10.5" customHeight="1" x14ac:dyDescent="0.1">
      <c r="B46" s="151"/>
      <c r="U46" s="67"/>
      <c r="BI46" s="396"/>
      <c r="BJ46" s="385"/>
      <c r="BK46" s="385"/>
      <c r="BL46" s="385"/>
      <c r="BM46" s="386"/>
      <c r="BN46" s="385"/>
      <c r="BO46" s="396"/>
      <c r="BP46" s="385"/>
      <c r="BQ46" s="386"/>
      <c r="BR46" s="386"/>
      <c r="BS46" s="386"/>
      <c r="BT46" s="386"/>
      <c r="BU46" s="425"/>
      <c r="BV46" s="386"/>
      <c r="BW46" s="385"/>
      <c r="BX46" s="385"/>
      <c r="BY46" s="385"/>
      <c r="BZ46" s="397"/>
      <c r="CA46" s="67"/>
      <c r="CB46" s="67"/>
      <c r="CC46" s="67"/>
      <c r="CW46" s="71"/>
      <c r="CX46" s="71"/>
      <c r="CY46" s="71"/>
      <c r="DA46" s="94">
        <v>43</v>
      </c>
      <c r="DB46" s="94" t="s">
        <v>786</v>
      </c>
      <c r="DC46" s="94" t="s">
        <v>19</v>
      </c>
      <c r="DD46" s="94" t="s">
        <v>30</v>
      </c>
      <c r="DE46" s="94" t="s">
        <v>7</v>
      </c>
      <c r="DF46" s="94">
        <v>43</v>
      </c>
      <c r="DG46" s="139"/>
      <c r="DH46" s="100">
        <v>1906</v>
      </c>
      <c r="DI46" s="101"/>
      <c r="DJ46" s="73"/>
      <c r="DL46" s="94" t="s">
        <v>786</v>
      </c>
      <c r="DN46" s="149"/>
      <c r="DO46" s="95"/>
      <c r="DP46" s="152"/>
      <c r="FR46" s="60" t="s">
        <v>98</v>
      </c>
      <c r="FS46" s="60">
        <v>29</v>
      </c>
      <c r="FT46" s="60" t="s">
        <v>98</v>
      </c>
    </row>
    <row r="47" spans="2:176" ht="10.5" customHeight="1" x14ac:dyDescent="0.1">
      <c r="B47" s="81"/>
      <c r="U47" s="67"/>
      <c r="CW47" s="71"/>
      <c r="CX47" s="71"/>
      <c r="CY47" s="71"/>
      <c r="DA47" s="94">
        <v>44</v>
      </c>
      <c r="DB47" s="94" t="s">
        <v>787</v>
      </c>
      <c r="DC47" s="94" t="s">
        <v>22</v>
      </c>
      <c r="DD47" s="94" t="s">
        <v>33</v>
      </c>
      <c r="DE47" s="94" t="s">
        <v>7</v>
      </c>
      <c r="DF47" s="94">
        <v>44</v>
      </c>
      <c r="DG47" s="139"/>
      <c r="DH47" s="100">
        <v>1907</v>
      </c>
      <c r="DI47" s="101"/>
      <c r="DJ47" s="73"/>
      <c r="DL47" s="94" t="s">
        <v>787</v>
      </c>
      <c r="DN47" s="149"/>
      <c r="DO47" s="95"/>
      <c r="DP47" s="152"/>
      <c r="FR47" s="60" t="s">
        <v>99</v>
      </c>
      <c r="FS47" s="60">
        <v>30</v>
      </c>
      <c r="FT47" s="60" t="s">
        <v>99</v>
      </c>
    </row>
    <row r="48" spans="2:176" ht="10.5" customHeight="1" x14ac:dyDescent="0.1">
      <c r="B48" s="150"/>
      <c r="U48" s="67"/>
      <c r="DA48" s="94">
        <v>45</v>
      </c>
      <c r="DB48" s="94" t="s">
        <v>788</v>
      </c>
      <c r="DC48" s="94" t="s">
        <v>25</v>
      </c>
      <c r="DD48" s="94" t="s">
        <v>35</v>
      </c>
      <c r="DE48" s="94" t="s">
        <v>7</v>
      </c>
      <c r="DF48" s="94">
        <v>45</v>
      </c>
      <c r="DG48" s="139"/>
      <c r="DH48" s="100">
        <v>1908</v>
      </c>
      <c r="DI48" s="101"/>
      <c r="DJ48" s="73"/>
      <c r="DL48" s="94" t="s">
        <v>788</v>
      </c>
      <c r="DN48" s="149"/>
      <c r="DO48" s="95"/>
      <c r="DP48" s="152"/>
      <c r="FS48" s="60">
        <v>31</v>
      </c>
      <c r="FT48" s="60" t="s">
        <v>704</v>
      </c>
    </row>
    <row r="49" spans="2:120" ht="10.5" customHeight="1" x14ac:dyDescent="0.1">
      <c r="B49" s="151"/>
      <c r="U49" s="67"/>
      <c r="DA49" s="94">
        <v>46</v>
      </c>
      <c r="DB49" s="94" t="s">
        <v>789</v>
      </c>
      <c r="DC49" s="94" t="s">
        <v>666</v>
      </c>
      <c r="DD49" s="94" t="s">
        <v>3</v>
      </c>
      <c r="DE49" s="94" t="s">
        <v>7</v>
      </c>
      <c r="DF49" s="94">
        <v>46</v>
      </c>
      <c r="DG49" s="139"/>
      <c r="DH49" s="100">
        <v>1909</v>
      </c>
      <c r="DI49" s="101"/>
      <c r="DJ49" s="73"/>
      <c r="DL49" s="94" t="s">
        <v>789</v>
      </c>
      <c r="DN49" s="149"/>
      <c r="DO49" s="95"/>
      <c r="DP49" s="152"/>
    </row>
    <row r="50" spans="2:120" ht="10.5" customHeight="1" x14ac:dyDescent="0.1">
      <c r="B50" s="81"/>
      <c r="U50" s="67"/>
      <c r="DA50" s="94">
        <v>47</v>
      </c>
      <c r="DB50" s="94" t="s">
        <v>790</v>
      </c>
      <c r="DC50" s="94" t="s">
        <v>31</v>
      </c>
      <c r="DD50" s="94" t="s">
        <v>6</v>
      </c>
      <c r="DE50" s="94" t="s">
        <v>7</v>
      </c>
      <c r="DF50" s="94">
        <v>47</v>
      </c>
      <c r="DG50" s="139"/>
      <c r="DH50" s="100">
        <v>1910</v>
      </c>
      <c r="DI50" s="101"/>
      <c r="DJ50" s="73"/>
      <c r="DL50" s="94" t="s">
        <v>790</v>
      </c>
      <c r="DN50" s="149"/>
      <c r="DO50" s="95"/>
      <c r="DP50" s="152"/>
    </row>
    <row r="51" spans="2:120" ht="10.5" customHeight="1" x14ac:dyDescent="0.1">
      <c r="B51" s="150"/>
      <c r="DA51" s="94">
        <v>48</v>
      </c>
      <c r="DB51" s="94" t="s">
        <v>791</v>
      </c>
      <c r="DC51" s="94" t="s">
        <v>4</v>
      </c>
      <c r="DD51" s="94" t="s">
        <v>9</v>
      </c>
      <c r="DE51" s="94" t="s">
        <v>7</v>
      </c>
      <c r="DF51" s="94">
        <v>48</v>
      </c>
      <c r="DG51" s="139"/>
      <c r="DH51" s="100">
        <v>1911</v>
      </c>
      <c r="DI51" s="101"/>
      <c r="DJ51" s="73"/>
      <c r="DL51" s="94" t="s">
        <v>791</v>
      </c>
      <c r="DN51" s="149"/>
      <c r="DO51" s="95"/>
      <c r="DP51" s="152"/>
    </row>
    <row r="52" spans="2:120" ht="10.5" customHeight="1" x14ac:dyDescent="0.1">
      <c r="B52" s="151"/>
      <c r="DA52" s="94">
        <v>49</v>
      </c>
      <c r="DB52" s="94" t="s">
        <v>792</v>
      </c>
      <c r="DC52" s="94" t="s">
        <v>7</v>
      </c>
      <c r="DD52" s="94" t="s">
        <v>12</v>
      </c>
      <c r="DE52" s="94" t="s">
        <v>7</v>
      </c>
      <c r="DF52" s="94">
        <v>49</v>
      </c>
      <c r="DG52" s="139"/>
      <c r="DH52" s="100">
        <v>1912</v>
      </c>
      <c r="DI52" s="101"/>
      <c r="DJ52" s="73"/>
      <c r="DL52" s="94" t="s">
        <v>792</v>
      </c>
      <c r="DN52" s="149"/>
      <c r="DO52" s="95"/>
      <c r="DP52" s="152"/>
    </row>
    <row r="53" spans="2:120" ht="10.5" customHeight="1" x14ac:dyDescent="0.1">
      <c r="DA53" s="94">
        <v>50</v>
      </c>
      <c r="DB53" s="94" t="s">
        <v>793</v>
      </c>
      <c r="DC53" s="94" t="s">
        <v>10</v>
      </c>
      <c r="DD53" s="94" t="s">
        <v>15</v>
      </c>
      <c r="DE53" s="94" t="s">
        <v>7</v>
      </c>
      <c r="DF53" s="94">
        <v>50</v>
      </c>
      <c r="DG53" s="139"/>
      <c r="DH53" s="100">
        <v>1913</v>
      </c>
      <c r="DI53" s="101"/>
      <c r="DJ53" s="73"/>
      <c r="DL53" s="94" t="s">
        <v>793</v>
      </c>
      <c r="DN53" s="149"/>
      <c r="DO53" s="95"/>
      <c r="DP53" s="152"/>
    </row>
    <row r="54" spans="2:120" ht="10.5" customHeight="1" x14ac:dyDescent="0.1">
      <c r="DA54" s="94">
        <v>51</v>
      </c>
      <c r="DB54" s="94" t="s">
        <v>794</v>
      </c>
      <c r="DC54" s="94" t="s">
        <v>13</v>
      </c>
      <c r="DD54" s="94" t="s">
        <v>18</v>
      </c>
      <c r="DE54" s="94" t="s">
        <v>10</v>
      </c>
      <c r="DF54" s="94">
        <v>51</v>
      </c>
      <c r="DG54" s="139"/>
      <c r="DH54" s="100">
        <v>1914</v>
      </c>
      <c r="DI54" s="101"/>
      <c r="DJ54" s="73"/>
      <c r="DL54" s="94" t="s">
        <v>794</v>
      </c>
      <c r="DN54" s="149"/>
      <c r="DO54" s="95"/>
      <c r="DP54" s="152"/>
    </row>
    <row r="55" spans="2:120" ht="10.5" customHeight="1" x14ac:dyDescent="0.1">
      <c r="DA55" s="94">
        <v>52</v>
      </c>
      <c r="DB55" s="94" t="s">
        <v>795</v>
      </c>
      <c r="DC55" s="94" t="s">
        <v>16</v>
      </c>
      <c r="DD55" s="94" t="s">
        <v>21</v>
      </c>
      <c r="DE55" s="94" t="s">
        <v>10</v>
      </c>
      <c r="DF55" s="94">
        <v>52</v>
      </c>
      <c r="DG55" s="139"/>
      <c r="DH55" s="100">
        <v>1915</v>
      </c>
      <c r="DI55" s="101"/>
      <c r="DJ55" s="73"/>
      <c r="DL55" s="94" t="s">
        <v>795</v>
      </c>
      <c r="DN55" s="149"/>
      <c r="DO55" s="95"/>
      <c r="DP55" s="152"/>
    </row>
    <row r="56" spans="2:120" ht="10.5" customHeight="1" x14ac:dyDescent="0.1">
      <c r="DA56" s="94">
        <v>53</v>
      </c>
      <c r="DB56" s="94" t="s">
        <v>796</v>
      </c>
      <c r="DC56" s="94" t="s">
        <v>19</v>
      </c>
      <c r="DD56" s="94" t="s">
        <v>24</v>
      </c>
      <c r="DE56" s="94" t="s">
        <v>10</v>
      </c>
      <c r="DF56" s="94">
        <v>53</v>
      </c>
      <c r="DG56" s="139"/>
      <c r="DH56" s="100">
        <v>1916</v>
      </c>
      <c r="DI56" s="101"/>
      <c r="DJ56" s="73"/>
      <c r="DL56" s="94" t="s">
        <v>796</v>
      </c>
      <c r="DN56" s="149"/>
      <c r="DO56" s="95"/>
      <c r="DP56" s="152"/>
    </row>
    <row r="57" spans="2:120" ht="10.5" customHeight="1" x14ac:dyDescent="0.1">
      <c r="DA57" s="94">
        <v>54</v>
      </c>
      <c r="DB57" s="94" t="s">
        <v>797</v>
      </c>
      <c r="DC57" s="94" t="s">
        <v>22</v>
      </c>
      <c r="DD57" s="94" t="s">
        <v>27</v>
      </c>
      <c r="DE57" s="94" t="s">
        <v>10</v>
      </c>
      <c r="DF57" s="94">
        <v>54</v>
      </c>
      <c r="DG57" s="139"/>
      <c r="DH57" s="100">
        <v>1917</v>
      </c>
      <c r="DI57" s="101"/>
      <c r="DJ57" s="73"/>
      <c r="DL57" s="94" t="s">
        <v>797</v>
      </c>
      <c r="DN57" s="149"/>
      <c r="DO57" s="95"/>
      <c r="DP57" s="152"/>
    </row>
    <row r="58" spans="2:120" ht="10.5" customHeight="1" x14ac:dyDescent="0.1">
      <c r="DA58" s="94">
        <v>55</v>
      </c>
      <c r="DB58" s="94" t="s">
        <v>798</v>
      </c>
      <c r="DC58" s="94" t="s">
        <v>25</v>
      </c>
      <c r="DD58" s="94" t="s">
        <v>30</v>
      </c>
      <c r="DE58" s="94" t="s">
        <v>10</v>
      </c>
      <c r="DF58" s="94">
        <v>55</v>
      </c>
      <c r="DG58" s="139"/>
      <c r="DH58" s="100">
        <v>1918</v>
      </c>
      <c r="DI58" s="101"/>
      <c r="DJ58" s="73"/>
      <c r="DL58" s="94" t="s">
        <v>798</v>
      </c>
      <c r="DN58" s="149"/>
      <c r="DO58" s="95"/>
      <c r="DP58" s="152"/>
    </row>
    <row r="59" spans="2:120" ht="10.5" customHeight="1" x14ac:dyDescent="0.1">
      <c r="DA59" s="94">
        <v>56</v>
      </c>
      <c r="DB59" s="94" t="s">
        <v>799</v>
      </c>
      <c r="DC59" s="94" t="s">
        <v>666</v>
      </c>
      <c r="DD59" s="94" t="s">
        <v>33</v>
      </c>
      <c r="DE59" s="94" t="s">
        <v>10</v>
      </c>
      <c r="DF59" s="94">
        <v>56</v>
      </c>
      <c r="DG59" s="139"/>
      <c r="DH59" s="100">
        <v>1919</v>
      </c>
      <c r="DI59" s="101"/>
      <c r="DJ59" s="73"/>
      <c r="DL59" s="94" t="s">
        <v>799</v>
      </c>
      <c r="DN59" s="149"/>
      <c r="DO59" s="95"/>
      <c r="DP59" s="152"/>
    </row>
    <row r="60" spans="2:120" ht="10.5" customHeight="1" x14ac:dyDescent="0.1">
      <c r="DA60" s="94">
        <v>57</v>
      </c>
      <c r="DB60" s="94" t="s">
        <v>800</v>
      </c>
      <c r="DC60" s="94" t="s">
        <v>31</v>
      </c>
      <c r="DD60" s="94" t="s">
        <v>35</v>
      </c>
      <c r="DE60" s="94" t="s">
        <v>10</v>
      </c>
      <c r="DF60" s="94">
        <v>57</v>
      </c>
      <c r="DG60" s="139"/>
      <c r="DH60" s="100">
        <v>1920</v>
      </c>
      <c r="DI60" s="101"/>
      <c r="DJ60" s="73"/>
      <c r="DL60" s="94" t="s">
        <v>800</v>
      </c>
      <c r="DN60" s="149"/>
      <c r="DO60" s="95"/>
      <c r="DP60" s="152"/>
    </row>
    <row r="61" spans="2:120" ht="10.5" customHeight="1" x14ac:dyDescent="0.1">
      <c r="DA61" s="94">
        <v>58</v>
      </c>
      <c r="DB61" s="94" t="s">
        <v>801</v>
      </c>
      <c r="DC61" s="94" t="s">
        <v>4</v>
      </c>
      <c r="DD61" s="94" t="s">
        <v>3</v>
      </c>
      <c r="DE61" s="94" t="s">
        <v>10</v>
      </c>
      <c r="DF61" s="94">
        <v>58</v>
      </c>
      <c r="DG61" s="139"/>
      <c r="DH61" s="100">
        <v>1921</v>
      </c>
      <c r="DI61" s="101"/>
      <c r="DJ61" s="73"/>
      <c r="DL61" s="94" t="s">
        <v>801</v>
      </c>
      <c r="DN61" s="149"/>
      <c r="DO61" s="95"/>
      <c r="DP61" s="152"/>
    </row>
    <row r="62" spans="2:120" ht="10.5" customHeight="1" x14ac:dyDescent="0.1">
      <c r="DA62" s="94">
        <v>59</v>
      </c>
      <c r="DB62" s="94" t="s">
        <v>802</v>
      </c>
      <c r="DC62" s="94" t="s">
        <v>7</v>
      </c>
      <c r="DD62" s="94" t="s">
        <v>6</v>
      </c>
      <c r="DE62" s="94" t="s">
        <v>10</v>
      </c>
      <c r="DF62" s="94">
        <v>59</v>
      </c>
      <c r="DG62" s="139"/>
      <c r="DH62" s="100">
        <v>1922</v>
      </c>
      <c r="DI62" s="101"/>
      <c r="DJ62" s="73"/>
      <c r="DL62" s="94" t="s">
        <v>802</v>
      </c>
      <c r="DN62" s="149"/>
      <c r="DO62" s="95"/>
      <c r="DP62" s="152"/>
    </row>
    <row r="63" spans="2:120" ht="10.5" customHeight="1" x14ac:dyDescent="0.1">
      <c r="DA63" s="94">
        <v>60</v>
      </c>
      <c r="DB63" s="94" t="s">
        <v>803</v>
      </c>
      <c r="DC63" s="94" t="s">
        <v>10</v>
      </c>
      <c r="DD63" s="94" t="s">
        <v>9</v>
      </c>
      <c r="DE63" s="94" t="s">
        <v>10</v>
      </c>
      <c r="DF63" s="94">
        <v>60</v>
      </c>
      <c r="DG63" s="139"/>
      <c r="DH63" s="100">
        <v>1923</v>
      </c>
      <c r="DI63" s="101"/>
      <c r="DJ63" s="73"/>
      <c r="DL63" s="94" t="s">
        <v>803</v>
      </c>
      <c r="DN63" s="149"/>
      <c r="DO63" s="95"/>
      <c r="DP63" s="152"/>
    </row>
    <row r="64" spans="2:120" ht="10.5" customHeight="1" x14ac:dyDescent="0.1">
      <c r="DA64" s="94">
        <v>61</v>
      </c>
      <c r="DB64" s="94"/>
      <c r="DC64" s="94"/>
      <c r="DD64" s="94"/>
      <c r="DE64" s="94" t="s">
        <v>22</v>
      </c>
      <c r="DF64" s="94">
        <v>61</v>
      </c>
      <c r="DG64" s="139"/>
      <c r="DH64" s="100">
        <v>1924</v>
      </c>
      <c r="DI64" s="101"/>
      <c r="DJ64" s="73"/>
      <c r="DL64" s="94" t="s">
        <v>694</v>
      </c>
      <c r="DN64" s="149"/>
      <c r="DO64" s="95"/>
      <c r="DP64" s="152"/>
    </row>
    <row r="65" spans="105:120" ht="10.5" customHeight="1" x14ac:dyDescent="0.1">
      <c r="DA65" s="94">
        <v>62</v>
      </c>
      <c r="DB65" s="94"/>
      <c r="DC65" s="94"/>
      <c r="DD65" s="94"/>
      <c r="DE65" s="94"/>
      <c r="DF65" s="94">
        <v>62</v>
      </c>
      <c r="DG65" s="139"/>
      <c r="DH65" s="100">
        <v>1925</v>
      </c>
      <c r="DI65" s="101"/>
      <c r="DJ65" s="73"/>
      <c r="DL65" s="94" t="s">
        <v>702</v>
      </c>
      <c r="DN65" s="149"/>
      <c r="DO65" s="95"/>
      <c r="DP65" s="152"/>
    </row>
    <row r="66" spans="105:120" ht="10.5" customHeight="1" x14ac:dyDescent="0.1">
      <c r="DA66" s="94">
        <v>63</v>
      </c>
      <c r="DB66" s="94"/>
      <c r="DC66" s="94"/>
      <c r="DD66" s="94"/>
      <c r="DE66" s="94"/>
      <c r="DF66" s="94">
        <v>63</v>
      </c>
      <c r="DG66" s="139"/>
      <c r="DH66" s="100">
        <v>1926</v>
      </c>
      <c r="DI66" s="101"/>
      <c r="DJ66" s="73"/>
      <c r="DL66" s="94" t="s">
        <v>707</v>
      </c>
      <c r="DN66" s="149"/>
      <c r="DO66" s="95"/>
      <c r="DP66" s="152"/>
    </row>
    <row r="67" spans="105:120" ht="10.5" customHeight="1" x14ac:dyDescent="0.1">
      <c r="DA67" s="94">
        <v>64</v>
      </c>
      <c r="DB67" s="94"/>
      <c r="DC67" s="94"/>
      <c r="DD67" s="94"/>
      <c r="DE67" s="94"/>
      <c r="DF67" s="94">
        <v>64</v>
      </c>
      <c r="DG67" s="139"/>
      <c r="DH67" s="100">
        <v>1927</v>
      </c>
      <c r="DI67" s="101"/>
      <c r="DJ67" s="73"/>
      <c r="DL67" s="94" t="s">
        <v>710</v>
      </c>
      <c r="DN67" s="149"/>
      <c r="DO67" s="95"/>
      <c r="DP67" s="152"/>
    </row>
    <row r="68" spans="105:120" ht="10.5" customHeight="1" x14ac:dyDescent="0.1">
      <c r="DA68" s="94">
        <v>65</v>
      </c>
      <c r="DB68" s="94"/>
      <c r="DC68" s="94"/>
      <c r="DD68" s="94"/>
      <c r="DE68" s="94"/>
      <c r="DF68" s="94">
        <v>65</v>
      </c>
      <c r="DG68" s="139"/>
      <c r="DH68" s="100">
        <v>1928</v>
      </c>
      <c r="DI68" s="101"/>
      <c r="DJ68" s="73"/>
      <c r="DL68" s="94" t="s">
        <v>713</v>
      </c>
      <c r="DN68" s="149"/>
      <c r="DO68" s="95"/>
      <c r="DP68" s="152"/>
    </row>
    <row r="69" spans="105:120" ht="10.5" customHeight="1" x14ac:dyDescent="0.1">
      <c r="DA69" s="94">
        <v>66</v>
      </c>
      <c r="DB69" s="94"/>
      <c r="DC69" s="94"/>
      <c r="DD69" s="94"/>
      <c r="DE69" s="94"/>
      <c r="DF69" s="94">
        <v>66</v>
      </c>
      <c r="DG69" s="139"/>
      <c r="DH69" s="100">
        <v>1929</v>
      </c>
      <c r="DI69" s="101"/>
      <c r="DJ69" s="73"/>
      <c r="DL69" s="94" t="s">
        <v>717</v>
      </c>
      <c r="DN69" s="149"/>
      <c r="DO69" s="95"/>
      <c r="DP69" s="152"/>
    </row>
    <row r="70" spans="105:120" ht="10.5" customHeight="1" x14ac:dyDescent="0.1">
      <c r="DA70" s="94">
        <v>67</v>
      </c>
      <c r="DB70" s="94"/>
      <c r="DC70" s="94"/>
      <c r="DD70" s="94"/>
      <c r="DE70" s="94"/>
      <c r="DF70" s="94">
        <v>67</v>
      </c>
      <c r="DG70" s="139"/>
      <c r="DH70" s="100">
        <v>1930</v>
      </c>
      <c r="DI70" s="101"/>
      <c r="DJ70" s="73"/>
      <c r="DL70" s="94" t="s">
        <v>720</v>
      </c>
      <c r="DN70" s="149"/>
      <c r="DO70" s="95"/>
      <c r="DP70" s="152"/>
    </row>
    <row r="71" spans="105:120" ht="10.5" customHeight="1" x14ac:dyDescent="0.1">
      <c r="DA71" s="94">
        <v>68</v>
      </c>
      <c r="DB71" s="94"/>
      <c r="DC71" s="94"/>
      <c r="DD71" s="94"/>
      <c r="DE71" s="94"/>
      <c r="DF71" s="94">
        <v>68</v>
      </c>
      <c r="DG71" s="139"/>
      <c r="DH71" s="100">
        <v>1931</v>
      </c>
      <c r="DI71" s="101"/>
      <c r="DJ71" s="73"/>
      <c r="DL71" s="94" t="s">
        <v>724</v>
      </c>
      <c r="DN71" s="149"/>
      <c r="DO71" s="95"/>
      <c r="DP71" s="152"/>
    </row>
    <row r="72" spans="105:120" ht="10.5" customHeight="1" x14ac:dyDescent="0.1">
      <c r="DA72" s="94">
        <v>69</v>
      </c>
      <c r="DB72" s="94"/>
      <c r="DC72" s="94"/>
      <c r="DD72" s="94"/>
      <c r="DE72" s="94"/>
      <c r="DF72" s="94">
        <v>69</v>
      </c>
      <c r="DG72" s="139"/>
      <c r="DH72" s="100">
        <v>1932</v>
      </c>
      <c r="DI72" s="101"/>
      <c r="DJ72" s="73"/>
      <c r="DL72" s="94" t="s">
        <v>727</v>
      </c>
      <c r="DN72" s="149"/>
      <c r="DO72" s="95"/>
      <c r="DP72" s="152"/>
    </row>
    <row r="73" spans="105:120" ht="10.5" customHeight="1" x14ac:dyDescent="0.1">
      <c r="DA73" s="94">
        <v>70</v>
      </c>
      <c r="DB73" s="94"/>
      <c r="DC73" s="94"/>
      <c r="DD73" s="94"/>
      <c r="DE73" s="94"/>
      <c r="DF73" s="94">
        <v>70</v>
      </c>
      <c r="DG73" s="139"/>
      <c r="DH73" s="100">
        <v>1933</v>
      </c>
      <c r="DI73" s="101"/>
      <c r="DJ73" s="73"/>
      <c r="DL73" s="94" t="s">
        <v>731</v>
      </c>
      <c r="DN73" s="149"/>
      <c r="DO73" s="95"/>
      <c r="DP73" s="152"/>
    </row>
    <row r="74" spans="105:120" ht="10.5" customHeight="1" x14ac:dyDescent="0.1">
      <c r="DA74" s="94">
        <v>71</v>
      </c>
      <c r="DB74" s="94"/>
      <c r="DC74" s="94"/>
      <c r="DD74" s="94"/>
      <c r="DE74" s="94" t="s">
        <v>19</v>
      </c>
      <c r="DF74" s="94">
        <v>71</v>
      </c>
      <c r="DG74" s="139"/>
      <c r="DH74" s="100">
        <v>1934</v>
      </c>
      <c r="DL74" s="94" t="s">
        <v>732</v>
      </c>
      <c r="DN74" s="149"/>
      <c r="DO74" s="95"/>
      <c r="DP74" s="152"/>
    </row>
    <row r="75" spans="105:120" ht="10.5" customHeight="1" x14ac:dyDescent="0.1">
      <c r="DA75" s="94">
        <v>72</v>
      </c>
      <c r="DB75" s="94"/>
      <c r="DC75" s="94"/>
      <c r="DD75" s="94"/>
      <c r="DE75" s="94"/>
      <c r="DF75" s="94">
        <v>72</v>
      </c>
      <c r="DG75" s="139"/>
      <c r="DH75" s="100">
        <v>1935</v>
      </c>
      <c r="DL75" s="94" t="s">
        <v>737</v>
      </c>
      <c r="DN75" s="149"/>
      <c r="DO75" s="95"/>
      <c r="DP75" s="152"/>
    </row>
    <row r="76" spans="105:120" ht="10.5" customHeight="1" x14ac:dyDescent="0.1">
      <c r="DA76" s="94">
        <v>73</v>
      </c>
      <c r="DB76" s="94"/>
      <c r="DC76" s="94"/>
      <c r="DD76" s="94"/>
      <c r="DE76" s="94"/>
      <c r="DF76" s="94">
        <v>73</v>
      </c>
      <c r="DG76" s="139"/>
      <c r="DH76" s="100">
        <v>1936</v>
      </c>
      <c r="DL76" s="94" t="s">
        <v>745</v>
      </c>
      <c r="DN76" s="149"/>
      <c r="DO76" s="95"/>
      <c r="DP76" s="152"/>
    </row>
    <row r="77" spans="105:120" ht="10.5" customHeight="1" x14ac:dyDescent="0.1">
      <c r="DA77" s="94">
        <v>74</v>
      </c>
      <c r="DB77" s="94"/>
      <c r="DC77" s="94"/>
      <c r="DD77" s="94"/>
      <c r="DE77" s="94"/>
      <c r="DF77" s="94">
        <v>74</v>
      </c>
      <c r="DG77" s="139"/>
      <c r="DH77" s="100">
        <v>1937</v>
      </c>
      <c r="DL77" s="94" t="s">
        <v>749</v>
      </c>
      <c r="DN77" s="149"/>
      <c r="DO77" s="95"/>
      <c r="DP77" s="152"/>
    </row>
    <row r="78" spans="105:120" ht="10.5" customHeight="1" x14ac:dyDescent="0.1">
      <c r="DA78" s="94">
        <v>75</v>
      </c>
      <c r="DB78" s="94"/>
      <c r="DC78" s="94"/>
      <c r="DD78" s="94"/>
      <c r="DE78" s="94"/>
      <c r="DF78" s="94">
        <v>75</v>
      </c>
      <c r="DG78" s="139"/>
      <c r="DH78" s="100">
        <v>1938</v>
      </c>
      <c r="DL78" s="94" t="s">
        <v>750</v>
      </c>
      <c r="DN78" s="149"/>
      <c r="DO78" s="95"/>
      <c r="DP78" s="152"/>
    </row>
    <row r="79" spans="105:120" ht="10.5" customHeight="1" x14ac:dyDescent="0.1">
      <c r="DA79" s="94">
        <v>76</v>
      </c>
      <c r="DB79" s="94"/>
      <c r="DC79" s="94"/>
      <c r="DD79" s="94"/>
      <c r="DE79" s="94"/>
      <c r="DF79" s="94">
        <v>76</v>
      </c>
      <c r="DG79" s="139"/>
      <c r="DH79" s="100">
        <v>1939</v>
      </c>
      <c r="DL79" s="94" t="s">
        <v>751</v>
      </c>
      <c r="DN79" s="149"/>
      <c r="DO79" s="95"/>
      <c r="DP79" s="152"/>
    </row>
    <row r="80" spans="105:120" ht="10.5" customHeight="1" x14ac:dyDescent="0.1">
      <c r="DA80" s="94">
        <v>77</v>
      </c>
      <c r="DB80" s="94"/>
      <c r="DC80" s="94"/>
      <c r="DD80" s="94"/>
      <c r="DE80" s="94"/>
      <c r="DF80" s="94">
        <v>77</v>
      </c>
      <c r="DG80" s="139"/>
      <c r="DH80" s="100">
        <v>1940</v>
      </c>
      <c r="DL80" s="94" t="s">
        <v>752</v>
      </c>
      <c r="DN80" s="149"/>
      <c r="DO80" s="95"/>
      <c r="DP80" s="152"/>
    </row>
    <row r="81" spans="105:120" ht="10.5" customHeight="1" x14ac:dyDescent="0.1">
      <c r="DA81" s="94">
        <v>78</v>
      </c>
      <c r="DB81" s="94"/>
      <c r="DC81" s="94"/>
      <c r="DD81" s="94"/>
      <c r="DE81" s="94"/>
      <c r="DF81" s="94">
        <v>78</v>
      </c>
      <c r="DG81" s="139"/>
      <c r="DH81" s="100">
        <v>1941</v>
      </c>
      <c r="DL81" s="94" t="s">
        <v>753</v>
      </c>
      <c r="DN81" s="149"/>
      <c r="DO81" s="95"/>
      <c r="DP81" s="152"/>
    </row>
    <row r="82" spans="105:120" ht="10.5" customHeight="1" x14ac:dyDescent="0.1">
      <c r="DA82" s="94">
        <v>79</v>
      </c>
      <c r="DB82" s="94"/>
      <c r="DC82" s="94"/>
      <c r="DD82" s="94"/>
      <c r="DE82" s="94"/>
      <c r="DF82" s="94">
        <v>79</v>
      </c>
      <c r="DG82" s="139"/>
      <c r="DH82" s="100">
        <v>1942</v>
      </c>
      <c r="DL82" s="94" t="s">
        <v>754</v>
      </c>
      <c r="DN82" s="149"/>
      <c r="DO82" s="95"/>
      <c r="DP82" s="152"/>
    </row>
    <row r="83" spans="105:120" ht="10.5" customHeight="1" x14ac:dyDescent="0.1">
      <c r="DA83" s="94">
        <v>80</v>
      </c>
      <c r="DB83" s="94"/>
      <c r="DC83" s="94"/>
      <c r="DD83" s="94"/>
      <c r="DE83" s="94"/>
      <c r="DF83" s="94">
        <v>80</v>
      </c>
      <c r="DG83" s="139"/>
      <c r="DH83" s="100">
        <v>1943</v>
      </c>
      <c r="DL83" s="94" t="s">
        <v>755</v>
      </c>
      <c r="DN83" s="149"/>
      <c r="DO83" s="95"/>
      <c r="DP83" s="152"/>
    </row>
    <row r="84" spans="105:120" ht="10.5" customHeight="1" x14ac:dyDescent="0.1">
      <c r="DA84" s="94">
        <v>81</v>
      </c>
      <c r="DB84" s="94"/>
      <c r="DC84" s="94"/>
      <c r="DD84" s="94"/>
      <c r="DE84" s="94" t="s">
        <v>16</v>
      </c>
      <c r="DF84" s="94">
        <v>81</v>
      </c>
      <c r="DG84" s="139"/>
      <c r="DH84" s="100">
        <v>1944</v>
      </c>
      <c r="DL84" s="94" t="s">
        <v>756</v>
      </c>
      <c r="DN84" s="149"/>
      <c r="DO84" s="95"/>
      <c r="DP84" s="152"/>
    </row>
    <row r="85" spans="105:120" ht="10.5" customHeight="1" x14ac:dyDescent="0.1">
      <c r="DA85" s="94">
        <v>82</v>
      </c>
      <c r="DB85" s="94"/>
      <c r="DC85" s="94"/>
      <c r="DD85" s="94"/>
      <c r="DE85" s="94"/>
      <c r="DF85" s="94">
        <v>82</v>
      </c>
      <c r="DG85" s="139"/>
      <c r="DH85" s="100">
        <v>1945</v>
      </c>
      <c r="DL85" s="94" t="s">
        <v>758</v>
      </c>
      <c r="DN85" s="149"/>
      <c r="DO85" s="95"/>
      <c r="DP85" s="152"/>
    </row>
    <row r="86" spans="105:120" ht="10.5" customHeight="1" x14ac:dyDescent="0.1">
      <c r="DA86" s="94">
        <v>83</v>
      </c>
      <c r="DB86" s="94"/>
      <c r="DC86" s="94"/>
      <c r="DD86" s="94"/>
      <c r="DE86" s="94"/>
      <c r="DF86" s="94">
        <v>83</v>
      </c>
      <c r="DG86" s="139"/>
      <c r="DH86" s="100">
        <v>1946</v>
      </c>
      <c r="DL86" s="94" t="s">
        <v>760</v>
      </c>
      <c r="DN86" s="149"/>
      <c r="DO86" s="95"/>
      <c r="DP86" s="152"/>
    </row>
    <row r="87" spans="105:120" ht="10.5" customHeight="1" x14ac:dyDescent="0.1">
      <c r="DA87" s="94">
        <v>84</v>
      </c>
      <c r="DB87" s="94"/>
      <c r="DC87" s="94"/>
      <c r="DD87" s="94"/>
      <c r="DE87" s="94"/>
      <c r="DF87" s="94">
        <v>84</v>
      </c>
      <c r="DG87" s="139"/>
      <c r="DH87" s="100">
        <v>1947</v>
      </c>
      <c r="DL87" s="94" t="s">
        <v>762</v>
      </c>
      <c r="DN87" s="149"/>
      <c r="DO87" s="95"/>
      <c r="DP87" s="152"/>
    </row>
    <row r="88" spans="105:120" ht="10.5" customHeight="1" x14ac:dyDescent="0.1">
      <c r="DA88" s="94">
        <v>85</v>
      </c>
      <c r="DB88" s="94"/>
      <c r="DC88" s="94"/>
      <c r="DD88" s="94"/>
      <c r="DE88" s="94"/>
      <c r="DF88" s="94">
        <v>85</v>
      </c>
      <c r="DG88" s="139"/>
      <c r="DH88" s="100">
        <v>1948</v>
      </c>
      <c r="DL88" s="94" t="s">
        <v>763</v>
      </c>
      <c r="DN88" s="149"/>
      <c r="DO88" s="95"/>
      <c r="DP88" s="152"/>
    </row>
    <row r="89" spans="105:120" ht="10.5" customHeight="1" x14ac:dyDescent="0.1">
      <c r="DA89" s="94">
        <v>86</v>
      </c>
      <c r="DB89" s="94"/>
      <c r="DC89" s="94"/>
      <c r="DD89" s="94"/>
      <c r="DE89" s="94"/>
      <c r="DF89" s="94">
        <v>86</v>
      </c>
      <c r="DG89" s="139"/>
      <c r="DH89" s="100">
        <v>1949</v>
      </c>
      <c r="DL89" s="94" t="s">
        <v>764</v>
      </c>
      <c r="DN89" s="149"/>
      <c r="DO89" s="95"/>
      <c r="DP89" s="152"/>
    </row>
    <row r="90" spans="105:120" ht="10.5" customHeight="1" x14ac:dyDescent="0.1">
      <c r="DA90" s="94">
        <v>87</v>
      </c>
      <c r="DB90" s="94"/>
      <c r="DC90" s="94"/>
      <c r="DD90" s="94"/>
      <c r="DE90" s="94"/>
      <c r="DF90" s="94">
        <v>87</v>
      </c>
      <c r="DG90" s="139"/>
      <c r="DH90" s="100">
        <v>1950</v>
      </c>
      <c r="DL90" s="94" t="s">
        <v>770</v>
      </c>
      <c r="DN90" s="149"/>
      <c r="DO90" s="95"/>
      <c r="DP90" s="152"/>
    </row>
    <row r="91" spans="105:120" ht="10.5" customHeight="1" x14ac:dyDescent="0.1">
      <c r="DA91" s="94">
        <v>88</v>
      </c>
      <c r="DB91" s="94"/>
      <c r="DC91" s="94"/>
      <c r="DD91" s="94"/>
      <c r="DE91" s="94"/>
      <c r="DF91" s="94">
        <v>88</v>
      </c>
      <c r="DG91" s="139"/>
      <c r="DH91" s="100">
        <v>1951</v>
      </c>
      <c r="DL91" s="94" t="s">
        <v>771</v>
      </c>
      <c r="DN91" s="149"/>
      <c r="DO91" s="95"/>
      <c r="DP91" s="152"/>
    </row>
    <row r="92" spans="105:120" ht="10.5" customHeight="1" x14ac:dyDescent="0.1">
      <c r="DA92" s="94">
        <v>89</v>
      </c>
      <c r="DB92" s="94"/>
      <c r="DC92" s="94"/>
      <c r="DD92" s="94"/>
      <c r="DE92" s="94"/>
      <c r="DF92" s="94">
        <v>89</v>
      </c>
      <c r="DG92" s="139"/>
      <c r="DH92" s="100">
        <v>1952</v>
      </c>
      <c r="DL92" s="94" t="s">
        <v>772</v>
      </c>
      <c r="DN92" s="149"/>
      <c r="DO92" s="95"/>
      <c r="DP92" s="152"/>
    </row>
    <row r="93" spans="105:120" ht="10.5" customHeight="1" x14ac:dyDescent="0.1">
      <c r="DA93" s="94">
        <v>90</v>
      </c>
      <c r="DB93" s="94"/>
      <c r="DC93" s="94"/>
      <c r="DD93" s="94"/>
      <c r="DE93" s="94"/>
      <c r="DF93" s="94">
        <v>90</v>
      </c>
      <c r="DG93" s="139"/>
      <c r="DH93" s="100">
        <v>1953</v>
      </c>
      <c r="DL93" s="94" t="s">
        <v>773</v>
      </c>
      <c r="DN93" s="149"/>
      <c r="DO93" s="95"/>
      <c r="DP93" s="152"/>
    </row>
    <row r="94" spans="105:120" ht="10.5" customHeight="1" x14ac:dyDescent="0.1">
      <c r="DH94" s="100">
        <v>1954</v>
      </c>
      <c r="DL94" s="94" t="s">
        <v>774</v>
      </c>
      <c r="DN94" s="149"/>
      <c r="DO94" s="95"/>
      <c r="DP94" s="152"/>
    </row>
    <row r="95" spans="105:120" ht="10.5" customHeight="1" x14ac:dyDescent="0.1">
      <c r="DH95" s="100">
        <v>1955</v>
      </c>
      <c r="DL95" s="94" t="s">
        <v>775</v>
      </c>
      <c r="DN95" s="149"/>
      <c r="DO95" s="95"/>
      <c r="DP95" s="152"/>
    </row>
    <row r="96" spans="105:120" ht="10.5" customHeight="1" x14ac:dyDescent="0.1">
      <c r="DH96" s="100">
        <v>1956</v>
      </c>
      <c r="DL96" s="94" t="s">
        <v>776</v>
      </c>
      <c r="DN96" s="149"/>
      <c r="DO96" s="95"/>
      <c r="DP96" s="152"/>
    </row>
    <row r="97" spans="112:120" ht="10.5" customHeight="1" x14ac:dyDescent="0.1">
      <c r="DH97" s="100">
        <v>1957</v>
      </c>
      <c r="DL97" s="94" t="s">
        <v>777</v>
      </c>
      <c r="DN97" s="149"/>
      <c r="DO97" s="95"/>
      <c r="DP97" s="152"/>
    </row>
    <row r="98" spans="112:120" ht="10.5" customHeight="1" x14ac:dyDescent="0.1">
      <c r="DH98" s="100">
        <v>1958</v>
      </c>
      <c r="DL98" s="94" t="s">
        <v>778</v>
      </c>
      <c r="DN98" s="149"/>
      <c r="DO98" s="95"/>
      <c r="DP98" s="152"/>
    </row>
    <row r="99" spans="112:120" ht="10.5" customHeight="1" x14ac:dyDescent="0.1">
      <c r="DH99" s="100">
        <v>1959</v>
      </c>
      <c r="DL99" s="94" t="s">
        <v>779</v>
      </c>
      <c r="DN99" s="149"/>
      <c r="DO99" s="95"/>
      <c r="DP99" s="152"/>
    </row>
    <row r="100" spans="112:120" ht="10.5" customHeight="1" x14ac:dyDescent="0.1">
      <c r="DH100" s="100">
        <v>1960</v>
      </c>
      <c r="DL100" s="94" t="s">
        <v>780</v>
      </c>
      <c r="DN100" s="149"/>
      <c r="DO100" s="95"/>
      <c r="DP100" s="152"/>
    </row>
    <row r="101" spans="112:120" ht="10.5" customHeight="1" x14ac:dyDescent="0.1">
      <c r="DH101" s="100">
        <v>1961</v>
      </c>
      <c r="DL101" s="94" t="s">
        <v>781</v>
      </c>
      <c r="DN101" s="149"/>
      <c r="DO101" s="95"/>
      <c r="DP101" s="152"/>
    </row>
    <row r="102" spans="112:120" ht="10.5" customHeight="1" x14ac:dyDescent="0.1">
      <c r="DH102" s="100">
        <v>1962</v>
      </c>
      <c r="DL102" s="94" t="s">
        <v>782</v>
      </c>
      <c r="DN102" s="149"/>
      <c r="DO102" s="95"/>
      <c r="DP102" s="152"/>
    </row>
    <row r="103" spans="112:120" ht="10.5" customHeight="1" x14ac:dyDescent="0.1">
      <c r="DH103" s="100">
        <v>1963</v>
      </c>
      <c r="DL103" s="94" t="s">
        <v>783</v>
      </c>
      <c r="DN103" s="149"/>
      <c r="DO103" s="95"/>
      <c r="DP103" s="152"/>
    </row>
    <row r="104" spans="112:120" ht="10.5" customHeight="1" x14ac:dyDescent="0.1">
      <c r="DH104" s="100">
        <v>1964</v>
      </c>
      <c r="DL104" s="94" t="s">
        <v>784</v>
      </c>
      <c r="DN104" s="149"/>
      <c r="DO104" s="95"/>
      <c r="DP104" s="152"/>
    </row>
    <row r="105" spans="112:120" ht="10.5" customHeight="1" x14ac:dyDescent="0.1">
      <c r="DH105" s="100">
        <v>1965</v>
      </c>
      <c r="DL105" s="94" t="s">
        <v>785</v>
      </c>
      <c r="DN105" s="149"/>
      <c r="DO105" s="95"/>
      <c r="DP105" s="152"/>
    </row>
    <row r="106" spans="112:120" ht="10.5" customHeight="1" x14ac:dyDescent="0.1">
      <c r="DH106" s="100">
        <v>1966</v>
      </c>
      <c r="DL106" s="94" t="s">
        <v>786</v>
      </c>
      <c r="DN106" s="149"/>
      <c r="DO106" s="95"/>
      <c r="DP106" s="152"/>
    </row>
    <row r="107" spans="112:120" ht="10.5" customHeight="1" x14ac:dyDescent="0.1">
      <c r="DH107" s="100">
        <v>1967</v>
      </c>
      <c r="DL107" s="94" t="s">
        <v>787</v>
      </c>
      <c r="DN107" s="149"/>
      <c r="DO107" s="95"/>
      <c r="DP107" s="152"/>
    </row>
    <row r="108" spans="112:120" ht="10.5" customHeight="1" x14ac:dyDescent="0.1">
      <c r="DH108" s="100">
        <v>1968</v>
      </c>
      <c r="DL108" s="94" t="s">
        <v>788</v>
      </c>
      <c r="DN108" s="149"/>
      <c r="DO108" s="95"/>
      <c r="DP108" s="152"/>
    </row>
    <row r="109" spans="112:120" ht="10.5" customHeight="1" x14ac:dyDescent="0.1">
      <c r="DH109" s="100">
        <v>1969</v>
      </c>
      <c r="DL109" s="94" t="s">
        <v>789</v>
      </c>
      <c r="DN109" s="149"/>
      <c r="DO109" s="95"/>
      <c r="DP109" s="152"/>
    </row>
    <row r="110" spans="112:120" ht="10.5" customHeight="1" x14ac:dyDescent="0.1">
      <c r="DH110" s="100">
        <v>1970</v>
      </c>
      <c r="DL110" s="94" t="s">
        <v>790</v>
      </c>
      <c r="DN110" s="149"/>
      <c r="DO110" s="95"/>
      <c r="DP110" s="152"/>
    </row>
    <row r="111" spans="112:120" ht="10.5" customHeight="1" x14ac:dyDescent="0.1">
      <c r="DH111" s="100">
        <v>1971</v>
      </c>
      <c r="DL111" s="94" t="s">
        <v>791</v>
      </c>
      <c r="DN111" s="149"/>
      <c r="DO111" s="95"/>
      <c r="DP111" s="152"/>
    </row>
    <row r="112" spans="112:120" ht="10.5" customHeight="1" x14ac:dyDescent="0.1">
      <c r="DH112" s="100">
        <v>1972</v>
      </c>
      <c r="DL112" s="94" t="s">
        <v>792</v>
      </c>
      <c r="DN112" s="149"/>
      <c r="DO112" s="95"/>
      <c r="DP112" s="152"/>
    </row>
    <row r="113" spans="112:120" ht="10.5" customHeight="1" x14ac:dyDescent="0.1">
      <c r="DH113" s="100">
        <v>1973</v>
      </c>
      <c r="DL113" s="94" t="s">
        <v>793</v>
      </c>
      <c r="DN113" s="149"/>
      <c r="DO113" s="95"/>
      <c r="DP113" s="152"/>
    </row>
    <row r="114" spans="112:120" ht="10.5" customHeight="1" x14ac:dyDescent="0.1">
      <c r="DH114" s="100">
        <v>1974</v>
      </c>
      <c r="DL114" s="94" t="s">
        <v>794</v>
      </c>
      <c r="DN114" s="149"/>
      <c r="DO114" s="95"/>
      <c r="DP114" s="152"/>
    </row>
    <row r="115" spans="112:120" ht="10.5" customHeight="1" x14ac:dyDescent="0.1">
      <c r="DH115" s="100">
        <v>1975</v>
      </c>
      <c r="DL115" s="94" t="s">
        <v>795</v>
      </c>
      <c r="DN115" s="149"/>
      <c r="DO115" s="95"/>
      <c r="DP115" s="152"/>
    </row>
    <row r="116" spans="112:120" ht="10.5" customHeight="1" x14ac:dyDescent="0.1">
      <c r="DH116" s="100">
        <v>1976</v>
      </c>
      <c r="DL116" s="94" t="s">
        <v>796</v>
      </c>
      <c r="DN116" s="149"/>
      <c r="DO116" s="95"/>
      <c r="DP116" s="152"/>
    </row>
    <row r="117" spans="112:120" ht="10.5" customHeight="1" x14ac:dyDescent="0.1">
      <c r="DH117" s="100">
        <v>1977</v>
      </c>
      <c r="DL117" s="94" t="s">
        <v>797</v>
      </c>
    </row>
    <row r="118" spans="112:120" ht="10.5" customHeight="1" x14ac:dyDescent="0.1">
      <c r="DH118" s="100">
        <v>1978</v>
      </c>
      <c r="DL118" s="94" t="s">
        <v>798</v>
      </c>
    </row>
    <row r="119" spans="112:120" ht="10.5" customHeight="1" x14ac:dyDescent="0.1">
      <c r="DH119" s="100">
        <v>1979</v>
      </c>
      <c r="DL119" s="94" t="s">
        <v>799</v>
      </c>
    </row>
    <row r="120" spans="112:120" ht="10.5" customHeight="1" x14ac:dyDescent="0.1">
      <c r="DH120" s="100">
        <v>1980</v>
      </c>
      <c r="DL120" s="94" t="s">
        <v>800</v>
      </c>
    </row>
    <row r="121" spans="112:120" ht="10.5" customHeight="1" x14ac:dyDescent="0.1">
      <c r="DH121" s="100">
        <v>1981</v>
      </c>
      <c r="DL121" s="94" t="s">
        <v>801</v>
      </c>
    </row>
    <row r="122" spans="112:120" ht="10.5" customHeight="1" x14ac:dyDescent="0.1">
      <c r="DH122" s="100">
        <v>1982</v>
      </c>
      <c r="DL122" s="94" t="s">
        <v>802</v>
      </c>
    </row>
    <row r="123" spans="112:120" ht="10.5" customHeight="1" x14ac:dyDescent="0.1">
      <c r="DH123" s="100">
        <v>1983</v>
      </c>
      <c r="DL123" s="94" t="s">
        <v>803</v>
      </c>
    </row>
    <row r="124" spans="112:120" ht="10.5" customHeight="1" x14ac:dyDescent="0.1">
      <c r="DH124" s="100">
        <v>1984</v>
      </c>
      <c r="DL124" s="94" t="s">
        <v>694</v>
      </c>
    </row>
    <row r="125" spans="112:120" ht="10.5" customHeight="1" x14ac:dyDescent="0.1">
      <c r="DH125" s="100">
        <v>1985</v>
      </c>
      <c r="DL125" s="94" t="s">
        <v>702</v>
      </c>
    </row>
    <row r="126" spans="112:120" ht="10.5" customHeight="1" x14ac:dyDescent="0.1">
      <c r="DH126" s="100">
        <v>1986</v>
      </c>
      <c r="DL126" s="94" t="s">
        <v>707</v>
      </c>
    </row>
    <row r="127" spans="112:120" ht="10.5" customHeight="1" x14ac:dyDescent="0.1">
      <c r="DH127" s="100">
        <v>1987</v>
      </c>
      <c r="DL127" s="94" t="s">
        <v>710</v>
      </c>
    </row>
    <row r="128" spans="112:120" ht="10.5" customHeight="1" x14ac:dyDescent="0.1">
      <c r="DH128" s="100">
        <v>1988</v>
      </c>
      <c r="DL128" s="94" t="s">
        <v>713</v>
      </c>
    </row>
    <row r="129" spans="112:116" ht="10.5" customHeight="1" x14ac:dyDescent="0.1">
      <c r="DH129" s="100">
        <v>1989</v>
      </c>
      <c r="DL129" s="94" t="s">
        <v>717</v>
      </c>
    </row>
    <row r="130" spans="112:116" ht="10.5" customHeight="1" x14ac:dyDescent="0.1">
      <c r="DH130" s="100">
        <v>1990</v>
      </c>
      <c r="DL130" s="94" t="s">
        <v>720</v>
      </c>
    </row>
    <row r="131" spans="112:116" ht="10.5" customHeight="1" x14ac:dyDescent="0.1">
      <c r="DH131" s="100">
        <v>1991</v>
      </c>
      <c r="DL131" s="94" t="s">
        <v>724</v>
      </c>
    </row>
    <row r="132" spans="112:116" ht="10.5" customHeight="1" x14ac:dyDescent="0.1">
      <c r="DH132" s="100">
        <v>1992</v>
      </c>
      <c r="DL132" s="94" t="s">
        <v>727</v>
      </c>
    </row>
    <row r="133" spans="112:116" ht="10.5" customHeight="1" x14ac:dyDescent="0.1">
      <c r="DH133" s="100">
        <v>1993</v>
      </c>
      <c r="DL133" s="94" t="s">
        <v>731</v>
      </c>
    </row>
    <row r="134" spans="112:116" ht="10.5" customHeight="1" x14ac:dyDescent="0.1">
      <c r="DH134" s="100">
        <v>1994</v>
      </c>
      <c r="DL134" s="94" t="s">
        <v>732</v>
      </c>
    </row>
    <row r="135" spans="112:116" ht="10.5" customHeight="1" x14ac:dyDescent="0.1">
      <c r="DH135" s="100">
        <v>1995</v>
      </c>
      <c r="DL135" s="94" t="s">
        <v>737</v>
      </c>
    </row>
    <row r="136" spans="112:116" ht="10.5" customHeight="1" x14ac:dyDescent="0.1">
      <c r="DH136" s="100">
        <v>1996</v>
      </c>
      <c r="DL136" s="94" t="s">
        <v>745</v>
      </c>
    </row>
    <row r="137" spans="112:116" ht="10.5" customHeight="1" x14ac:dyDescent="0.1">
      <c r="DH137" s="100">
        <v>1997</v>
      </c>
      <c r="DL137" s="94" t="s">
        <v>749</v>
      </c>
    </row>
    <row r="138" spans="112:116" ht="10.5" customHeight="1" x14ac:dyDescent="0.1">
      <c r="DH138" s="100">
        <v>1998</v>
      </c>
      <c r="DL138" s="94" t="s">
        <v>750</v>
      </c>
    </row>
    <row r="139" spans="112:116" ht="10.5" customHeight="1" x14ac:dyDescent="0.1">
      <c r="DH139" s="100">
        <v>1999</v>
      </c>
      <c r="DL139" s="94" t="s">
        <v>751</v>
      </c>
    </row>
    <row r="140" spans="112:116" ht="10.5" customHeight="1" x14ac:dyDescent="0.1">
      <c r="DH140" s="100">
        <v>2000</v>
      </c>
      <c r="DL140" s="94" t="s">
        <v>752</v>
      </c>
    </row>
    <row r="141" spans="112:116" ht="10.5" customHeight="1" x14ac:dyDescent="0.1">
      <c r="DH141" s="100">
        <v>2001</v>
      </c>
      <c r="DL141" s="94" t="s">
        <v>753</v>
      </c>
    </row>
    <row r="142" spans="112:116" ht="10.5" customHeight="1" x14ac:dyDescent="0.1">
      <c r="DH142" s="100">
        <v>2002</v>
      </c>
      <c r="DL142" s="94" t="s">
        <v>754</v>
      </c>
    </row>
    <row r="143" spans="112:116" ht="10.5" customHeight="1" x14ac:dyDescent="0.1">
      <c r="DH143" s="100">
        <v>2003</v>
      </c>
      <c r="DL143" s="94" t="s">
        <v>755</v>
      </c>
    </row>
    <row r="144" spans="112:116" ht="10.5" customHeight="1" x14ac:dyDescent="0.1">
      <c r="DH144" s="100">
        <v>2004</v>
      </c>
      <c r="DL144" s="94" t="s">
        <v>756</v>
      </c>
    </row>
    <row r="145" spans="112:116" ht="10.5" customHeight="1" x14ac:dyDescent="0.1">
      <c r="DH145" s="100">
        <v>2005</v>
      </c>
      <c r="DL145" s="94" t="s">
        <v>758</v>
      </c>
    </row>
    <row r="146" spans="112:116" ht="10.5" customHeight="1" x14ac:dyDescent="0.1">
      <c r="DH146" s="100">
        <v>2006</v>
      </c>
      <c r="DL146" s="94" t="s">
        <v>760</v>
      </c>
    </row>
    <row r="147" spans="112:116" ht="10.5" customHeight="1" x14ac:dyDescent="0.1">
      <c r="DH147" s="100">
        <v>2007</v>
      </c>
      <c r="DL147" s="94" t="s">
        <v>762</v>
      </c>
    </row>
    <row r="148" spans="112:116" ht="10.5" customHeight="1" x14ac:dyDescent="0.1">
      <c r="DH148" s="100">
        <v>2008</v>
      </c>
      <c r="DL148" s="94" t="s">
        <v>763</v>
      </c>
    </row>
    <row r="149" spans="112:116" ht="10.5" customHeight="1" x14ac:dyDescent="0.1">
      <c r="DH149" s="100">
        <v>2009</v>
      </c>
      <c r="DL149" s="94" t="s">
        <v>764</v>
      </c>
    </row>
    <row r="150" spans="112:116" ht="10.5" customHeight="1" x14ac:dyDescent="0.1">
      <c r="DH150" s="100">
        <v>2010</v>
      </c>
      <c r="DL150" s="94" t="s">
        <v>770</v>
      </c>
    </row>
    <row r="151" spans="112:116" ht="10.5" customHeight="1" x14ac:dyDescent="0.1">
      <c r="DH151" s="100">
        <v>2011</v>
      </c>
      <c r="DL151" s="94" t="s">
        <v>771</v>
      </c>
    </row>
    <row r="152" spans="112:116" ht="10.5" customHeight="1" x14ac:dyDescent="0.1">
      <c r="DH152" s="100">
        <v>2012</v>
      </c>
      <c r="DL152" s="94" t="s">
        <v>772</v>
      </c>
    </row>
    <row r="153" spans="112:116" ht="10.5" customHeight="1" x14ac:dyDescent="0.1">
      <c r="DH153" s="100">
        <v>2013</v>
      </c>
      <c r="DL153" s="94" t="s">
        <v>773</v>
      </c>
    </row>
    <row r="154" spans="112:116" ht="10.5" customHeight="1" x14ac:dyDescent="0.1">
      <c r="DH154" s="100">
        <v>2014</v>
      </c>
      <c r="DL154" s="94" t="s">
        <v>774</v>
      </c>
    </row>
    <row r="155" spans="112:116" ht="10.5" customHeight="1" x14ac:dyDescent="0.1">
      <c r="DH155" s="100">
        <v>2015</v>
      </c>
      <c r="DL155" s="94" t="s">
        <v>775</v>
      </c>
    </row>
    <row r="156" spans="112:116" ht="10.5" customHeight="1" x14ac:dyDescent="0.1">
      <c r="DH156" s="100">
        <v>2016</v>
      </c>
      <c r="DL156" s="94" t="s">
        <v>776</v>
      </c>
    </row>
    <row r="157" spans="112:116" ht="10.5" customHeight="1" x14ac:dyDescent="0.1">
      <c r="DH157" s="100">
        <v>2017</v>
      </c>
      <c r="DL157" s="94" t="s">
        <v>777</v>
      </c>
    </row>
    <row r="158" spans="112:116" ht="10.5" customHeight="1" x14ac:dyDescent="0.1">
      <c r="DH158" s="100">
        <v>2018</v>
      </c>
      <c r="DL158" s="94" t="s">
        <v>778</v>
      </c>
    </row>
    <row r="159" spans="112:116" ht="10.5" customHeight="1" x14ac:dyDescent="0.1">
      <c r="DH159" s="100">
        <v>2019</v>
      </c>
      <c r="DL159" s="94" t="s">
        <v>779</v>
      </c>
    </row>
    <row r="160" spans="112:116" ht="10.5" customHeight="1" x14ac:dyDescent="0.1">
      <c r="DH160" s="100">
        <v>2020</v>
      </c>
      <c r="DL160" s="94" t="s">
        <v>780</v>
      </c>
    </row>
    <row r="161" spans="112:116" ht="10.5" customHeight="1" x14ac:dyDescent="0.1">
      <c r="DH161" s="100">
        <v>2021</v>
      </c>
      <c r="DL161" s="94" t="s">
        <v>781</v>
      </c>
    </row>
    <row r="162" spans="112:116" ht="10.5" customHeight="1" x14ac:dyDescent="0.1">
      <c r="DH162" s="100">
        <v>2022</v>
      </c>
      <c r="DL162" s="94" t="s">
        <v>782</v>
      </c>
    </row>
    <row r="163" spans="112:116" ht="10.5" customHeight="1" x14ac:dyDescent="0.1">
      <c r="DH163" s="100">
        <v>2023</v>
      </c>
      <c r="DL163" s="94" t="s">
        <v>783</v>
      </c>
    </row>
    <row r="164" spans="112:116" ht="10.5" customHeight="1" x14ac:dyDescent="0.1">
      <c r="DH164" s="100">
        <v>2024</v>
      </c>
      <c r="DL164" s="94" t="s">
        <v>784</v>
      </c>
    </row>
    <row r="165" spans="112:116" ht="10.5" customHeight="1" x14ac:dyDescent="0.1">
      <c r="DH165" s="100">
        <v>2025</v>
      </c>
      <c r="DL165" s="94" t="s">
        <v>785</v>
      </c>
    </row>
    <row r="166" spans="112:116" ht="10.5" customHeight="1" x14ac:dyDescent="0.1">
      <c r="DH166" s="100">
        <v>2026</v>
      </c>
      <c r="DL166" s="94" t="s">
        <v>786</v>
      </c>
    </row>
    <row r="167" spans="112:116" ht="10.5" customHeight="1" x14ac:dyDescent="0.1">
      <c r="DH167" s="100">
        <v>2027</v>
      </c>
      <c r="DL167" s="94" t="s">
        <v>787</v>
      </c>
    </row>
    <row r="168" spans="112:116" ht="10.5" customHeight="1" x14ac:dyDescent="0.1">
      <c r="DH168" s="100">
        <v>2028</v>
      </c>
      <c r="DL168" s="94" t="s">
        <v>788</v>
      </c>
    </row>
    <row r="169" spans="112:116" ht="10.5" customHeight="1" x14ac:dyDescent="0.1">
      <c r="DH169" s="100">
        <v>2029</v>
      </c>
      <c r="DL169" s="94" t="s">
        <v>789</v>
      </c>
    </row>
    <row r="170" spans="112:116" ht="10.5" customHeight="1" x14ac:dyDescent="0.1">
      <c r="DH170" s="100">
        <v>2030</v>
      </c>
      <c r="DL170" s="94" t="s">
        <v>790</v>
      </c>
    </row>
    <row r="171" spans="112:116" ht="10.5" customHeight="1" x14ac:dyDescent="0.1">
      <c r="DH171" s="100">
        <v>2031</v>
      </c>
      <c r="DL171" s="94" t="s">
        <v>791</v>
      </c>
    </row>
    <row r="172" spans="112:116" ht="10.5" customHeight="1" x14ac:dyDescent="0.1">
      <c r="DH172" s="100">
        <v>2032</v>
      </c>
      <c r="DL172" s="94" t="s">
        <v>792</v>
      </c>
    </row>
    <row r="173" spans="112:116" ht="10.5" customHeight="1" x14ac:dyDescent="0.1">
      <c r="DH173" s="100">
        <v>2033</v>
      </c>
      <c r="DL173" s="94" t="s">
        <v>793</v>
      </c>
    </row>
    <row r="174" spans="112:116" ht="10.5" customHeight="1" x14ac:dyDescent="0.1">
      <c r="DH174" s="100">
        <v>2034</v>
      </c>
      <c r="DL174" s="94" t="s">
        <v>794</v>
      </c>
    </row>
    <row r="175" spans="112:116" ht="10.5" customHeight="1" x14ac:dyDescent="0.1">
      <c r="DH175" s="100">
        <v>2035</v>
      </c>
      <c r="DL175" s="94" t="s">
        <v>795</v>
      </c>
    </row>
    <row r="176" spans="112:116" ht="10.5" customHeight="1" x14ac:dyDescent="0.1">
      <c r="DH176" s="100">
        <v>2036</v>
      </c>
      <c r="DL176" s="94" t="s">
        <v>796</v>
      </c>
    </row>
    <row r="177" spans="112:116" ht="10.5" customHeight="1" x14ac:dyDescent="0.1">
      <c r="DH177" s="100">
        <v>2037</v>
      </c>
      <c r="DL177" s="94" t="s">
        <v>797</v>
      </c>
    </row>
    <row r="178" spans="112:116" ht="10.5" customHeight="1" x14ac:dyDescent="0.1">
      <c r="DH178" s="100">
        <v>2038</v>
      </c>
      <c r="DL178" s="94" t="s">
        <v>798</v>
      </c>
    </row>
    <row r="179" spans="112:116" ht="10.5" customHeight="1" x14ac:dyDescent="0.1">
      <c r="DH179" s="100">
        <v>2039</v>
      </c>
      <c r="DL179" s="94" t="s">
        <v>799</v>
      </c>
    </row>
    <row r="180" spans="112:116" ht="10.5" customHeight="1" x14ac:dyDescent="0.1">
      <c r="DH180" s="100">
        <v>2040</v>
      </c>
      <c r="DL180" s="94" t="s">
        <v>800</v>
      </c>
    </row>
    <row r="181" spans="112:116" ht="10.5" customHeight="1" x14ac:dyDescent="0.1">
      <c r="DH181" s="100">
        <v>2041</v>
      </c>
      <c r="DL181" s="94" t="s">
        <v>801</v>
      </c>
    </row>
    <row r="182" spans="112:116" ht="10.5" customHeight="1" x14ac:dyDescent="0.1">
      <c r="DH182" s="100">
        <v>2042</v>
      </c>
      <c r="DL182" s="94" t="s">
        <v>802</v>
      </c>
    </row>
    <row r="183" spans="112:116" ht="10.5" customHeight="1" x14ac:dyDescent="0.1">
      <c r="DH183" s="100">
        <v>2043</v>
      </c>
      <c r="DL183" s="94" t="s">
        <v>803</v>
      </c>
    </row>
    <row r="184" spans="112:116" ht="10.5" customHeight="1" x14ac:dyDescent="0.1">
      <c r="DH184" s="100">
        <v>2044</v>
      </c>
      <c r="DL184" s="94" t="s">
        <v>694</v>
      </c>
    </row>
    <row r="185" spans="112:116" ht="10.5" customHeight="1" x14ac:dyDescent="0.1">
      <c r="DH185" s="100">
        <v>2045</v>
      </c>
      <c r="DL185" s="94" t="s">
        <v>702</v>
      </c>
    </row>
    <row r="186" spans="112:116" ht="10.5" customHeight="1" x14ac:dyDescent="0.1">
      <c r="DH186" s="100">
        <v>2046</v>
      </c>
      <c r="DL186" s="94" t="s">
        <v>707</v>
      </c>
    </row>
    <row r="187" spans="112:116" ht="10.5" customHeight="1" x14ac:dyDescent="0.1">
      <c r="DH187" s="100">
        <v>2047</v>
      </c>
      <c r="DL187" s="94" t="s">
        <v>710</v>
      </c>
    </row>
    <row r="188" spans="112:116" ht="10.5" customHeight="1" x14ac:dyDescent="0.1">
      <c r="DH188" s="100">
        <v>2048</v>
      </c>
      <c r="DL188" s="94" t="s">
        <v>713</v>
      </c>
    </row>
    <row r="189" spans="112:116" ht="10.5" customHeight="1" x14ac:dyDescent="0.1">
      <c r="DH189" s="100">
        <v>2049</v>
      </c>
      <c r="DL189" s="94" t="s">
        <v>717</v>
      </c>
    </row>
    <row r="190" spans="112:116" ht="10.5" customHeight="1" x14ac:dyDescent="0.1">
      <c r="DH190" s="100">
        <v>2050</v>
      </c>
      <c r="DL190" s="94" t="s">
        <v>720</v>
      </c>
    </row>
    <row r="191" spans="112:116" ht="10.5" customHeight="1" x14ac:dyDescent="0.1">
      <c r="DH191" s="100">
        <v>2051</v>
      </c>
      <c r="DL191" s="94" t="s">
        <v>724</v>
      </c>
    </row>
    <row r="192" spans="112:116" ht="10.5" customHeight="1" x14ac:dyDescent="0.1">
      <c r="DH192" s="100">
        <v>2052</v>
      </c>
      <c r="DL192" s="94" t="s">
        <v>727</v>
      </c>
    </row>
    <row r="193" spans="112:116" ht="10.5" customHeight="1" x14ac:dyDescent="0.1">
      <c r="DH193" s="100">
        <v>2053</v>
      </c>
      <c r="DL193" s="94" t="s">
        <v>731</v>
      </c>
    </row>
    <row r="194" spans="112:116" ht="10.5" customHeight="1" x14ac:dyDescent="0.1">
      <c r="DH194" s="100">
        <v>2054</v>
      </c>
      <c r="DL194" s="94" t="s">
        <v>732</v>
      </c>
    </row>
    <row r="195" spans="112:116" ht="10.5" customHeight="1" x14ac:dyDescent="0.1">
      <c r="DH195" s="100" t="s">
        <v>847</v>
      </c>
      <c r="DL195" s="94" t="s">
        <v>737</v>
      </c>
    </row>
    <row r="196" spans="112:116" ht="10.5" customHeight="1" x14ac:dyDescent="0.1">
      <c r="DH196" s="100">
        <v>2056</v>
      </c>
      <c r="DL196" s="94" t="s">
        <v>745</v>
      </c>
    </row>
    <row r="197" spans="112:116" ht="10.5" customHeight="1" x14ac:dyDescent="0.1">
      <c r="DH197" s="100">
        <v>2057</v>
      </c>
      <c r="DL197" s="94" t="s">
        <v>749</v>
      </c>
    </row>
    <row r="198" spans="112:116" ht="10.5" customHeight="1" x14ac:dyDescent="0.1">
      <c r="DH198" s="100">
        <v>2058</v>
      </c>
      <c r="DL198" s="94" t="s">
        <v>750</v>
      </c>
    </row>
    <row r="199" spans="112:116" ht="10.5" customHeight="1" x14ac:dyDescent="0.1">
      <c r="DH199" s="100">
        <v>2059</v>
      </c>
      <c r="DL199" s="94" t="s">
        <v>751</v>
      </c>
    </row>
    <row r="200" spans="112:116" ht="10.5" customHeight="1" x14ac:dyDescent="0.1">
      <c r="DH200" s="100">
        <v>2060</v>
      </c>
      <c r="DL200" s="94" t="s">
        <v>752</v>
      </c>
    </row>
    <row r="201" spans="112:116" ht="10.5" customHeight="1" x14ac:dyDescent="0.1">
      <c r="DH201" s="100">
        <v>2061</v>
      </c>
      <c r="DL201" s="94" t="s">
        <v>753</v>
      </c>
    </row>
    <row r="202" spans="112:116" ht="10.5" customHeight="1" x14ac:dyDescent="0.1">
      <c r="DH202" s="100">
        <v>2062</v>
      </c>
      <c r="DL202" s="94" t="s">
        <v>754</v>
      </c>
    </row>
    <row r="203" spans="112:116" ht="10.5" customHeight="1" x14ac:dyDescent="0.1">
      <c r="DH203" s="100">
        <v>2063</v>
      </c>
      <c r="DL203" s="94" t="s">
        <v>755</v>
      </c>
    </row>
    <row r="204" spans="112:116" ht="10.5" customHeight="1" x14ac:dyDescent="0.1">
      <c r="DH204" s="100">
        <v>2064</v>
      </c>
      <c r="DL204" s="94" t="s">
        <v>756</v>
      </c>
    </row>
    <row r="205" spans="112:116" ht="10.5" customHeight="1" x14ac:dyDescent="0.1">
      <c r="DH205" s="100">
        <v>2065</v>
      </c>
      <c r="DL205" s="94" t="s">
        <v>758</v>
      </c>
    </row>
    <row r="206" spans="112:116" ht="10.5" customHeight="1" x14ac:dyDescent="0.1">
      <c r="DH206" s="100">
        <v>2066</v>
      </c>
      <c r="DL206" s="94" t="s">
        <v>760</v>
      </c>
    </row>
    <row r="207" spans="112:116" ht="10.5" customHeight="1" x14ac:dyDescent="0.1">
      <c r="DH207" s="100">
        <v>2067</v>
      </c>
      <c r="DL207" s="94" t="s">
        <v>762</v>
      </c>
    </row>
    <row r="208" spans="112:116" ht="10.5" customHeight="1" x14ac:dyDescent="0.1">
      <c r="DH208" s="100">
        <v>2068</v>
      </c>
      <c r="DL208" s="94" t="s">
        <v>763</v>
      </c>
    </row>
    <row r="209" spans="112:116" ht="10.5" customHeight="1" x14ac:dyDescent="0.1">
      <c r="DH209" s="100">
        <v>2069</v>
      </c>
      <c r="DL209" s="94" t="s">
        <v>764</v>
      </c>
    </row>
    <row r="210" spans="112:116" ht="10.5" customHeight="1" x14ac:dyDescent="0.1">
      <c r="DH210" s="100">
        <v>2070</v>
      </c>
      <c r="DL210" s="94" t="s">
        <v>770</v>
      </c>
    </row>
    <row r="211" spans="112:116" ht="10.5" customHeight="1" x14ac:dyDescent="0.1">
      <c r="DH211" s="100">
        <v>2071</v>
      </c>
      <c r="DL211" s="94" t="s">
        <v>771</v>
      </c>
    </row>
    <row r="212" spans="112:116" ht="10.5" customHeight="1" x14ac:dyDescent="0.1">
      <c r="DH212" s="100">
        <v>2072</v>
      </c>
      <c r="DL212" s="94" t="s">
        <v>772</v>
      </c>
    </row>
    <row r="213" spans="112:116" ht="10.5" customHeight="1" x14ac:dyDescent="0.1">
      <c r="DH213" s="100">
        <v>2073</v>
      </c>
      <c r="DL213" s="94" t="s">
        <v>773</v>
      </c>
    </row>
    <row r="214" spans="112:116" ht="10.5" customHeight="1" x14ac:dyDescent="0.1">
      <c r="DH214" s="100">
        <v>2074</v>
      </c>
      <c r="DL214" s="94" t="s">
        <v>774</v>
      </c>
    </row>
    <row r="215" spans="112:116" ht="10.5" customHeight="1" x14ac:dyDescent="0.1">
      <c r="DH215" s="100">
        <v>2075</v>
      </c>
      <c r="DL215" s="94" t="s">
        <v>775</v>
      </c>
    </row>
    <row r="216" spans="112:116" ht="10.5" customHeight="1" x14ac:dyDescent="0.1">
      <c r="DH216" s="100">
        <v>2076</v>
      </c>
      <c r="DL216" s="94" t="s">
        <v>776</v>
      </c>
    </row>
    <row r="217" spans="112:116" ht="10.5" customHeight="1" x14ac:dyDescent="0.1">
      <c r="DH217" s="100">
        <v>2077</v>
      </c>
      <c r="DL217" s="94" t="s">
        <v>777</v>
      </c>
    </row>
    <row r="218" spans="112:116" ht="10.5" customHeight="1" x14ac:dyDescent="0.1">
      <c r="DH218" s="100">
        <v>2078</v>
      </c>
      <c r="DL218" s="94" t="s">
        <v>778</v>
      </c>
    </row>
    <row r="219" spans="112:116" ht="10.5" customHeight="1" x14ac:dyDescent="0.1">
      <c r="DH219" s="100">
        <v>2079</v>
      </c>
      <c r="DL219" s="94" t="s">
        <v>779</v>
      </c>
    </row>
    <row r="220" spans="112:116" ht="10.5" customHeight="1" x14ac:dyDescent="0.1">
      <c r="DH220" s="100">
        <v>2080</v>
      </c>
      <c r="DL220" s="94" t="s">
        <v>780</v>
      </c>
    </row>
    <row r="221" spans="112:116" ht="10.5" customHeight="1" x14ac:dyDescent="0.1">
      <c r="DH221" s="100">
        <v>2081</v>
      </c>
      <c r="DL221" s="94" t="s">
        <v>781</v>
      </c>
    </row>
    <row r="222" spans="112:116" ht="10.5" customHeight="1" x14ac:dyDescent="0.1">
      <c r="DH222" s="100">
        <v>2082</v>
      </c>
      <c r="DL222" s="94" t="s">
        <v>782</v>
      </c>
    </row>
    <row r="223" spans="112:116" ht="10.5" customHeight="1" x14ac:dyDescent="0.1">
      <c r="DH223" s="100">
        <v>2083</v>
      </c>
      <c r="DL223" s="94" t="s">
        <v>783</v>
      </c>
    </row>
    <row r="224" spans="112:116" ht="10.5" customHeight="1" x14ac:dyDescent="0.1">
      <c r="DH224" s="100">
        <v>2084</v>
      </c>
      <c r="DL224" s="94" t="s">
        <v>784</v>
      </c>
    </row>
    <row r="225" spans="112:116" ht="10.5" customHeight="1" x14ac:dyDescent="0.1">
      <c r="DH225" s="100">
        <v>2085</v>
      </c>
      <c r="DL225" s="94" t="s">
        <v>785</v>
      </c>
    </row>
    <row r="226" spans="112:116" ht="10.5" customHeight="1" x14ac:dyDescent="0.1">
      <c r="DH226" s="100">
        <v>2086</v>
      </c>
      <c r="DL226" s="94" t="s">
        <v>786</v>
      </c>
    </row>
    <row r="227" spans="112:116" ht="10.5" customHeight="1" x14ac:dyDescent="0.1">
      <c r="DH227" s="100">
        <v>2087</v>
      </c>
      <c r="DL227" s="94" t="s">
        <v>787</v>
      </c>
    </row>
    <row r="228" spans="112:116" ht="10.5" customHeight="1" x14ac:dyDescent="0.1">
      <c r="DH228" s="100">
        <v>2088</v>
      </c>
      <c r="DL228" s="94" t="s">
        <v>788</v>
      </c>
    </row>
    <row r="229" spans="112:116" ht="10.5" customHeight="1" x14ac:dyDescent="0.1">
      <c r="DH229" s="100">
        <v>2089</v>
      </c>
      <c r="DL229" s="94" t="s">
        <v>789</v>
      </c>
    </row>
    <row r="230" spans="112:116" ht="10.5" customHeight="1" x14ac:dyDescent="0.1">
      <c r="DH230" s="100">
        <v>2090</v>
      </c>
      <c r="DL230" s="94" t="s">
        <v>790</v>
      </c>
    </row>
    <row r="231" spans="112:116" ht="10.5" customHeight="1" x14ac:dyDescent="0.1">
      <c r="DH231" s="100">
        <v>2091</v>
      </c>
      <c r="DL231" s="94" t="s">
        <v>791</v>
      </c>
    </row>
    <row r="232" spans="112:116" ht="10.5" customHeight="1" x14ac:dyDescent="0.1">
      <c r="DH232" s="100">
        <v>2092</v>
      </c>
      <c r="DL232" s="94" t="s">
        <v>792</v>
      </c>
    </row>
    <row r="233" spans="112:116" ht="10.5" customHeight="1" x14ac:dyDescent="0.1">
      <c r="DH233" s="100">
        <v>2093</v>
      </c>
      <c r="DL233" s="94" t="s">
        <v>793</v>
      </c>
    </row>
    <row r="234" spans="112:116" ht="10.5" customHeight="1" x14ac:dyDescent="0.1">
      <c r="DH234" s="100">
        <v>2094</v>
      </c>
      <c r="DL234" s="94" t="s">
        <v>794</v>
      </c>
    </row>
    <row r="235" spans="112:116" ht="10.5" customHeight="1" x14ac:dyDescent="0.1">
      <c r="DH235" s="100">
        <v>2095</v>
      </c>
      <c r="DL235" s="94" t="s">
        <v>795</v>
      </c>
    </row>
    <row r="236" spans="112:116" ht="10.5" customHeight="1" x14ac:dyDescent="0.1">
      <c r="DH236" s="100">
        <v>2096</v>
      </c>
      <c r="DL236" s="94" t="s">
        <v>796</v>
      </c>
    </row>
    <row r="237" spans="112:116" ht="10.5" customHeight="1" x14ac:dyDescent="0.1">
      <c r="DH237" s="100">
        <v>2097</v>
      </c>
      <c r="DL237" s="94" t="s">
        <v>797</v>
      </c>
    </row>
    <row r="238" spans="112:116" ht="10.5" customHeight="1" x14ac:dyDescent="0.1">
      <c r="DH238" s="100">
        <v>2098</v>
      </c>
      <c r="DL238" s="94" t="s">
        <v>798</v>
      </c>
    </row>
    <row r="239" spans="112:116" ht="10.5" customHeight="1" x14ac:dyDescent="0.1">
      <c r="DH239" s="100">
        <v>2099</v>
      </c>
      <c r="DL239" s="94" t="s">
        <v>799</v>
      </c>
    </row>
    <row r="240" spans="112:116" ht="10.5" customHeight="1" x14ac:dyDescent="0.1">
      <c r="DH240" s="100">
        <v>2100</v>
      </c>
      <c r="DL240" s="94" t="s">
        <v>800</v>
      </c>
    </row>
    <row r="241" spans="112:116" ht="10.5" customHeight="1" x14ac:dyDescent="0.1">
      <c r="DH241" s="100">
        <v>2101</v>
      </c>
      <c r="DL241" s="94" t="s">
        <v>801</v>
      </c>
    </row>
    <row r="242" spans="112:116" ht="10.5" customHeight="1" x14ac:dyDescent="0.1">
      <c r="DH242" s="100">
        <v>2102</v>
      </c>
      <c r="DL242" s="94" t="s">
        <v>802</v>
      </c>
    </row>
    <row r="243" spans="112:116" ht="10.5" customHeight="1" x14ac:dyDescent="0.1">
      <c r="DH243" s="100">
        <v>2103</v>
      </c>
      <c r="DL243" s="94" t="s">
        <v>803</v>
      </c>
    </row>
  </sheetData>
  <sheetProtection password="DE02" sheet="1" objects="1" scenarios="1" selectLockedCells="1" selectUnlockedCells="1"/>
  <mergeCells count="78">
    <mergeCell ref="EN16:EV16"/>
    <mergeCell ref="EE16:EM16"/>
    <mergeCell ref="FB3:FS3"/>
    <mergeCell ref="EA4:EJ4"/>
    <mergeCell ref="CD16:CD22"/>
    <mergeCell ref="CE17:CE23"/>
    <mergeCell ref="EA3:ET3"/>
    <mergeCell ref="CH4:CK4"/>
    <mergeCell ref="FO17:FP18"/>
    <mergeCell ref="CR16:CR22"/>
    <mergeCell ref="BX16:BX22"/>
    <mergeCell ref="CM4:CQ4"/>
    <mergeCell ref="CB4:CE4"/>
    <mergeCell ref="CN16:CN22"/>
    <mergeCell ref="CC16:CC22"/>
    <mergeCell ref="CJ16:CJ22"/>
    <mergeCell ref="CH16:CH22"/>
    <mergeCell ref="CB16:CB22"/>
    <mergeCell ref="CM18:CM24"/>
    <mergeCell ref="CI16:CI22"/>
    <mergeCell ref="CP16:CP22"/>
    <mergeCell ref="CO16:CO22"/>
    <mergeCell ref="B4:C4"/>
    <mergeCell ref="B6:E6"/>
    <mergeCell ref="CB3:CU3"/>
    <mergeCell ref="EE15:EV15"/>
    <mergeCell ref="R4:S4"/>
    <mergeCell ref="R5:S5"/>
    <mergeCell ref="BX4:CA4"/>
    <mergeCell ref="BN4:BQ4"/>
    <mergeCell ref="AY4:AZ4"/>
    <mergeCell ref="BC4:BD4"/>
    <mergeCell ref="EK4:ET4"/>
    <mergeCell ref="CR4:CU4"/>
    <mergeCell ref="CW3:CY3"/>
    <mergeCell ref="DT3:DU3"/>
    <mergeCell ref="BE3:CA3"/>
    <mergeCell ref="W2:Z2"/>
    <mergeCell ref="B2:C2"/>
    <mergeCell ref="R2:S2"/>
    <mergeCell ref="R3:S3"/>
    <mergeCell ref="B3:C3"/>
    <mergeCell ref="D4:E4"/>
    <mergeCell ref="F4:N4"/>
    <mergeCell ref="D5:E5"/>
    <mergeCell ref="F5:N5"/>
    <mergeCell ref="H6:I6"/>
    <mergeCell ref="L6:M6"/>
    <mergeCell ref="BW30:BW35"/>
    <mergeCell ref="BV30:BV35"/>
    <mergeCell ref="BE4:BK4"/>
    <mergeCell ref="BH16:BH22"/>
    <mergeCell ref="BU30:BU35"/>
    <mergeCell ref="BT30:BT35"/>
    <mergeCell ref="BS4:BW4"/>
    <mergeCell ref="BS18:BS24"/>
    <mergeCell ref="BK17:BK23"/>
    <mergeCell ref="BE16:BE22"/>
    <mergeCell ref="BS30:BS35"/>
    <mergeCell ref="BG16:BG22"/>
    <mergeCell ref="BF16:BF22"/>
    <mergeCell ref="BN16:BN22"/>
    <mergeCell ref="BI16:BI22"/>
    <mergeCell ref="BO16:BO22"/>
    <mergeCell ref="BV16:BV22"/>
    <mergeCell ref="BU16:BU22"/>
    <mergeCell ref="BT16:BT22"/>
    <mergeCell ref="BP16:BP22"/>
    <mergeCell ref="BJ16:BJ22"/>
    <mergeCell ref="CQ30:CQ35"/>
    <mergeCell ref="CS30:CS35"/>
    <mergeCell ref="CT30:CT35"/>
    <mergeCell ref="BY30:BY35"/>
    <mergeCell ref="BZ30:BZ35"/>
    <mergeCell ref="CM30:CM35"/>
    <mergeCell ref="CN30:CN35"/>
    <mergeCell ref="CO30:CO35"/>
    <mergeCell ref="CP30:CP35"/>
  </mergeCells>
  <phoneticPr fontId="26" type="noConversion"/>
  <dataValidations count="6">
    <dataValidation type="whole" allowBlank="1" showInputMessage="1" showErrorMessage="1" sqref="B2" xr:uid="{00000000-0002-0000-0100-000000000000}">
      <formula1>1950</formula1>
      <formula2>2200</formula2>
    </dataValidation>
    <dataValidation type="whole" allowBlank="1" showInputMessage="1" showErrorMessage="1" sqref="G2" xr:uid="{00000000-0002-0000-0100-000001000000}">
      <formula1>1</formula1>
      <formula2>31</formula2>
    </dataValidation>
    <dataValidation type="whole" allowBlank="1" showInputMessage="1" showErrorMessage="1" sqref="E2" xr:uid="{00000000-0002-0000-0100-000002000000}">
      <formula1>1</formula1>
      <formula2>12</formula2>
    </dataValidation>
    <dataValidation type="whole" allowBlank="1" showInputMessage="1" showErrorMessage="1" sqref="K2" xr:uid="{00000000-0002-0000-0100-000003000000}">
      <formula1>0</formula1>
      <formula2>59</formula2>
    </dataValidation>
    <dataValidation type="whole" allowBlank="1" showInputMessage="1" showErrorMessage="1" sqref="I2" xr:uid="{00000000-0002-0000-0100-000004000000}">
      <formula1>0</formula1>
      <formula2>23</formula2>
    </dataValidation>
    <dataValidation type="date" allowBlank="1" showInputMessage="1" showErrorMessage="1" errorTitle="日期無效" sqref="W2:Z2" xr:uid="{00000000-0002-0000-0100-000005000000}">
      <formula1>18264</formula1>
      <formula2>109575</formula2>
    </dataValidation>
  </dataValidations>
  <pageMargins left="0.7" right="0.7"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7030A0"/>
  </sheetPr>
  <dimension ref="A1:DF83"/>
  <sheetViews>
    <sheetView topLeftCell="DG1" zoomScale="70" zoomScaleNormal="70" zoomScalePageLayoutView="70" workbookViewId="0">
      <selection activeCell="P31" sqref="P31"/>
    </sheetView>
  </sheetViews>
  <sheetFormatPr defaultColWidth="9" defaultRowHeight="18" x14ac:dyDescent="0.1"/>
  <cols>
    <col min="1" max="1" width="3" style="186" hidden="1" customWidth="1"/>
    <col min="2" max="2" width="34.625" style="186" hidden="1" customWidth="1"/>
    <col min="3" max="3" width="33.875" style="186" hidden="1" customWidth="1"/>
    <col min="4" max="4" width="12.5" style="186" hidden="1" customWidth="1"/>
    <col min="5" max="5" width="45.625" style="186" hidden="1" customWidth="1"/>
    <col min="6" max="6" width="3" style="186" hidden="1" customWidth="1"/>
    <col min="7" max="7" width="31.625" style="186" hidden="1" customWidth="1"/>
    <col min="8" max="8" width="9.125" style="186" hidden="1" customWidth="1"/>
    <col min="9" max="9" width="32" style="186" hidden="1" customWidth="1"/>
    <col min="10" max="10" width="26.625" style="186" hidden="1" customWidth="1"/>
    <col min="11" max="11" width="29.625" style="186" hidden="1" customWidth="1"/>
    <col min="12" max="12" width="30.625" style="186" hidden="1" customWidth="1"/>
    <col min="13" max="13" width="21.125" style="186" hidden="1" customWidth="1"/>
    <col min="14" max="14" width="24.5" style="186" hidden="1" customWidth="1"/>
    <col min="15" max="15" width="32" style="195" hidden="1" customWidth="1"/>
    <col min="16" max="16" width="27.125" style="186" hidden="1" customWidth="1"/>
    <col min="17" max="40" width="10.625" style="186" hidden="1" customWidth="1"/>
    <col min="41" max="41" width="5.625" style="186" hidden="1" customWidth="1"/>
    <col min="42" max="42" width="10.5" style="186" hidden="1" customWidth="1"/>
    <col min="43" max="43" width="21.125" style="186" hidden="1" customWidth="1"/>
    <col min="44" max="67" width="16.625" style="186" hidden="1" customWidth="1"/>
    <col min="68" max="91" width="12.625" style="186" hidden="1" customWidth="1"/>
    <col min="92" max="92" width="4.125" style="186" hidden="1" customWidth="1"/>
    <col min="93" max="93" width="0" style="199" hidden="1" customWidth="1"/>
    <col min="94" max="109" width="0" style="186" hidden="1" customWidth="1"/>
    <col min="110" max="110" width="137.125" style="186" hidden="1" customWidth="1"/>
    <col min="111" max="16384" width="9" style="186"/>
  </cols>
  <sheetData>
    <row r="1" spans="1:108" ht="66.75" customHeight="1" x14ac:dyDescent="0.1">
      <c r="A1" s="184"/>
      <c r="B1" s="185">
        <f ca="1">Program!B2-1</f>
        <v>2023</v>
      </c>
      <c r="E1" s="187"/>
      <c r="G1" s="468"/>
      <c r="H1" s="468"/>
      <c r="I1" s="468"/>
      <c r="J1" s="468"/>
      <c r="K1" s="468"/>
      <c r="L1" s="468"/>
      <c r="M1" s="188"/>
      <c r="N1" s="188"/>
      <c r="O1" s="189"/>
      <c r="P1" s="189"/>
      <c r="Q1" s="189"/>
      <c r="R1" s="189"/>
      <c r="S1" s="189"/>
      <c r="T1" s="189"/>
      <c r="U1" s="189"/>
      <c r="V1" s="189"/>
      <c r="W1" s="189"/>
      <c r="X1" s="189"/>
      <c r="Y1" s="189"/>
      <c r="Z1" s="189"/>
      <c r="AA1" s="189"/>
      <c r="AB1" s="189"/>
      <c r="AC1" s="189"/>
      <c r="AD1" s="189"/>
      <c r="AE1" s="189"/>
      <c r="AF1" s="189"/>
      <c r="AG1" s="189"/>
      <c r="AH1" s="189"/>
      <c r="AI1" s="189"/>
      <c r="AJ1" s="189"/>
      <c r="AK1" s="189"/>
      <c r="AL1" s="189"/>
      <c r="CO1" s="469" t="s">
        <v>556</v>
      </c>
      <c r="CP1" s="469"/>
      <c r="CQ1" s="469"/>
      <c r="CR1" s="469"/>
      <c r="CS1" s="469"/>
      <c r="CT1" s="469"/>
      <c r="CU1" s="469"/>
      <c r="CV1" s="469"/>
      <c r="CW1" s="469"/>
      <c r="CX1" s="469"/>
      <c r="CY1" s="469"/>
      <c r="CZ1" s="469"/>
      <c r="DA1" s="469"/>
      <c r="DB1" s="469"/>
      <c r="DC1" s="469"/>
    </row>
    <row r="2" spans="1:108" ht="40.35" customHeight="1" x14ac:dyDescent="0.35">
      <c r="B2" s="190">
        <f ca="1">111.25586939-(17.0119934518333*m_1000)-(0.044091890166673*m_1000^2)-(0.000437356166661345*m_1000^3)+(8.16716666602386E-06*m_1000^4)</f>
        <v>76.656675134833151</v>
      </c>
      <c r="C2" s="191" t="s">
        <v>594</v>
      </c>
      <c r="D2" s="192" t="str">
        <f t="shared" ref="D2:D25" si="0">H14</f>
        <v>春分</v>
      </c>
      <c r="E2" s="193">
        <f t="shared" ref="E2:E25" ca="1" si="1">O14</f>
        <v>45006.225465744268</v>
      </c>
      <c r="F2" s="194"/>
      <c r="G2" s="466" t="s">
        <v>595</v>
      </c>
      <c r="H2" s="466"/>
      <c r="I2" s="466"/>
      <c r="J2" s="466"/>
      <c r="K2" s="466"/>
      <c r="L2" s="46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c r="BA2" s="196"/>
      <c r="BB2" s="196"/>
      <c r="BC2" s="196"/>
      <c r="BD2" s="196"/>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6"/>
      <c r="CC2" s="196"/>
      <c r="CD2" s="196"/>
      <c r="CE2" s="196"/>
      <c r="CF2" s="196"/>
      <c r="CG2" s="196"/>
      <c r="CH2" s="196"/>
      <c r="CI2" s="196"/>
      <c r="CJ2" s="196"/>
      <c r="CK2" s="196"/>
      <c r="CL2" s="196"/>
      <c r="CM2" s="196"/>
      <c r="CN2" s="196"/>
      <c r="CO2" s="467" t="s">
        <v>596</v>
      </c>
      <c r="CP2" s="467"/>
      <c r="CQ2" s="467"/>
      <c r="CR2" s="467"/>
      <c r="CS2" s="467"/>
      <c r="CT2" s="467"/>
      <c r="CU2" s="467"/>
      <c r="CV2" s="467"/>
      <c r="CW2" s="467"/>
      <c r="CX2" s="467"/>
      <c r="CY2" s="467"/>
      <c r="CZ2" s="467"/>
      <c r="DA2" s="467"/>
      <c r="DB2" s="467"/>
      <c r="DC2" s="467"/>
      <c r="DD2" s="467"/>
    </row>
    <row r="3" spans="1:108" ht="40.35" customHeight="1" x14ac:dyDescent="0.35">
      <c r="B3" s="197">
        <f ca="1">IF($B$1&gt;=1000,2451623.80984+365242.37404*m_3000+0.05169*m_3000^2-0.00411*m_3000^3-0.00057*m_3000^4,1721139.29189+365242.1374*m_1000+0.06134*m_1000^2+0.00111*m_1000^3-0.00071*m_1000^4)</f>
        <v>2460024.3844702141</v>
      </c>
      <c r="C3" s="198" t="s">
        <v>597</v>
      </c>
      <c r="D3" s="192" t="str">
        <f t="shared" si="0"/>
        <v>清明</v>
      </c>
      <c r="E3" s="193">
        <f t="shared" ca="1" si="1"/>
        <v>45021.384020804893</v>
      </c>
      <c r="G3" s="466" t="s">
        <v>598</v>
      </c>
      <c r="H3" s="466"/>
      <c r="I3" s="466"/>
      <c r="J3" s="466"/>
      <c r="K3" s="466"/>
      <c r="L3" s="466"/>
    </row>
    <row r="4" spans="1:108" ht="40.35" customHeight="1" x14ac:dyDescent="0.35">
      <c r="B4" s="197">
        <f ca="1">IF($B$1&gt;=1000,2451716.56767+365241.62603*m_3000+0.00325*m_3000^2+0.00888*m_3000^3-0.0003*m_3000^4,1721233.25401+365241.72562*m_1000-0.05323*m_1000^2+0.00111*m_1000^3+0.00025*m_1000^4)</f>
        <v>2460117.125070517</v>
      </c>
      <c r="C4" s="198" t="s">
        <v>599</v>
      </c>
      <c r="D4" s="192" t="str">
        <f t="shared" si="0"/>
        <v>穀雨</v>
      </c>
      <c r="E4" s="193">
        <f t="shared" ca="1" si="1"/>
        <v>45036.675656469073</v>
      </c>
      <c r="G4" s="466" t="s">
        <v>600</v>
      </c>
      <c r="H4" s="466"/>
      <c r="I4" s="466"/>
      <c r="J4" s="466"/>
      <c r="K4" s="466"/>
      <c r="L4" s="466"/>
      <c r="V4" s="200"/>
    </row>
    <row r="5" spans="1:108" ht="40.35" customHeight="1" x14ac:dyDescent="0.35">
      <c r="B5" s="197">
        <f ca="1">IF($B$1&gt;=1000, 2451810.21715+365242.01767*m_3000-0.11575*m_3000^2+0.00337*m_3000^3-0.00078*m_3000^4,1721325.70455+365242.49558*m_1000-0.11677*m_1000^2-0.00297*m_1000^3+0.00074*m_1000^4)</f>
        <v>2460210.7834952194</v>
      </c>
      <c r="C5" s="198" t="s">
        <v>601</v>
      </c>
      <c r="D5" s="192" t="str">
        <f t="shared" si="0"/>
        <v>立夏</v>
      </c>
      <c r="E5" s="193">
        <f t="shared" ca="1" si="1"/>
        <v>45052.09577395441</v>
      </c>
    </row>
    <row r="6" spans="1:108" ht="40.35" customHeight="1" x14ac:dyDescent="0.35">
      <c r="B6" s="197">
        <f ca="1">IF($B$1&gt;=1000,2451900.05952+365242.74049*m_3000-0.06223*m_3000^2-0.00823*m_3000^3+0.00032*m_3000^4,1721414.39987+365242.88257*m_1000-0.00769*m_1000^2-0.00933*m_1000^3-0.00006*m_1000^4)</f>
        <v>2460300.6425182507</v>
      </c>
      <c r="C6" s="198" t="s">
        <v>602</v>
      </c>
      <c r="D6" s="192" t="str">
        <f t="shared" si="0"/>
        <v>小滿</v>
      </c>
      <c r="E6" s="193">
        <f t="shared" ca="1" si="1"/>
        <v>45067.63069866458</v>
      </c>
      <c r="G6" s="201" t="s">
        <v>603</v>
      </c>
      <c r="J6" s="202"/>
      <c r="V6" s="200"/>
    </row>
    <row r="7" spans="1:108" ht="40.35" customHeight="1" x14ac:dyDescent="0.1">
      <c r="B7" s="203">
        <f ca="1">IF($B$1&gt;=1000,2451623.80984+365242.37404*m_3000_1+0.05169*m_3000_1^2-0.00411*m_3000_1^3-0.00057*m_3000_1^4,1721139.29189+365242.1374*m_1000_1+0.06134*m_1000_1^2+0.00111*m_1000_1^3-0.00071*m_1000_1^4)-B3</f>
        <v>365.24237646209076</v>
      </c>
      <c r="C7" s="204" t="s">
        <v>604</v>
      </c>
      <c r="D7" s="192" t="str">
        <f t="shared" si="0"/>
        <v>芒種</v>
      </c>
      <c r="E7" s="193">
        <f t="shared" ca="1" si="1"/>
        <v>45083.262288648169</v>
      </c>
      <c r="G7" s="201" t="s">
        <v>605</v>
      </c>
      <c r="J7" s="205"/>
      <c r="K7" s="206"/>
      <c r="L7" s="206"/>
      <c r="V7" s="207"/>
      <c r="W7" s="207"/>
      <c r="X7" s="207"/>
      <c r="Y7" s="207"/>
      <c r="Z7" s="207"/>
      <c r="AA7" s="207"/>
      <c r="AB7" s="207"/>
      <c r="AC7" s="207"/>
      <c r="AD7" s="207"/>
      <c r="AE7" s="207"/>
      <c r="AF7" s="207"/>
      <c r="AG7" s="207"/>
      <c r="AH7" s="207"/>
      <c r="AI7" s="207"/>
      <c r="AJ7" s="207"/>
      <c r="AK7" s="207"/>
      <c r="AL7" s="207"/>
      <c r="AM7" s="207"/>
      <c r="AN7" s="207"/>
      <c r="AO7" s="207"/>
      <c r="AP7" s="207"/>
      <c r="AQ7" s="207"/>
      <c r="AR7" s="207"/>
      <c r="AS7" s="207"/>
      <c r="AT7" s="207"/>
      <c r="AU7" s="207"/>
      <c r="AV7" s="207"/>
      <c r="AW7" s="207"/>
      <c r="AX7" s="207"/>
      <c r="AY7" s="207"/>
      <c r="AZ7" s="207"/>
      <c r="BA7" s="207"/>
      <c r="BB7" s="207"/>
      <c r="BC7" s="207"/>
      <c r="BD7" s="207"/>
      <c r="BE7" s="207"/>
      <c r="BF7" s="207"/>
      <c r="BG7" s="207"/>
      <c r="BH7" s="207"/>
      <c r="BI7" s="207"/>
      <c r="BJ7" s="207"/>
      <c r="BK7" s="207"/>
      <c r="BL7" s="207"/>
      <c r="BM7" s="207"/>
      <c r="BN7" s="207"/>
      <c r="BO7" s="207"/>
      <c r="BP7" s="207"/>
      <c r="BQ7" s="207"/>
      <c r="BR7" s="207"/>
      <c r="BS7" s="207"/>
      <c r="BT7" s="207"/>
      <c r="BU7" s="207"/>
      <c r="BV7" s="207"/>
      <c r="BW7" s="207"/>
      <c r="BX7" s="207"/>
      <c r="BY7" s="207"/>
      <c r="BZ7" s="207"/>
      <c r="CA7" s="207"/>
      <c r="CB7" s="207"/>
      <c r="CC7" s="207"/>
      <c r="CD7" s="207"/>
      <c r="CE7" s="207"/>
      <c r="CF7" s="207"/>
      <c r="CG7" s="207"/>
      <c r="CH7" s="207"/>
      <c r="CI7" s="207"/>
      <c r="CJ7" s="207"/>
      <c r="CK7" s="207"/>
      <c r="CL7" s="207"/>
      <c r="CM7" s="207"/>
      <c r="CN7" s="207"/>
    </row>
    <row r="8" spans="1:108" ht="40.35" customHeight="1" x14ac:dyDescent="0.3">
      <c r="B8" s="208">
        <f ca="1">B7/2/PI()</f>
        <v>58.130129640572669</v>
      </c>
      <c r="C8" s="209" t="s">
        <v>606</v>
      </c>
      <c r="D8" s="192" t="str">
        <f t="shared" si="0"/>
        <v>夏至</v>
      </c>
      <c r="E8" s="193">
        <f t="shared" ca="1" si="1"/>
        <v>45098.956578981597</v>
      </c>
      <c r="G8" s="201" t="s">
        <v>607</v>
      </c>
      <c r="J8" s="210"/>
      <c r="K8" s="210"/>
      <c r="L8" s="210"/>
      <c r="CO8" s="467" t="s">
        <v>608</v>
      </c>
      <c r="CP8" s="467"/>
      <c r="CQ8" s="467"/>
      <c r="CR8" s="467"/>
      <c r="CS8" s="467"/>
      <c r="CT8" s="467"/>
      <c r="CU8" s="467"/>
      <c r="CV8" s="467"/>
      <c r="CW8" s="467"/>
      <c r="CX8" s="467"/>
      <c r="CY8" s="467"/>
      <c r="CZ8" s="467"/>
      <c r="DA8" s="467"/>
      <c r="DB8" s="467"/>
      <c r="DC8" s="467"/>
      <c r="DD8" s="467"/>
    </row>
    <row r="9" spans="1:108" ht="40.35" customHeight="1" x14ac:dyDescent="0.1">
      <c r="D9" s="192" t="str">
        <f t="shared" si="0"/>
        <v>小暑</v>
      </c>
      <c r="E9" s="193">
        <f t="shared" ca="1" si="1"/>
        <v>45114.68807214126</v>
      </c>
      <c r="G9" s="201" t="s">
        <v>609</v>
      </c>
      <c r="H9" s="211"/>
      <c r="P9" s="212"/>
      <c r="Q9" s="213"/>
      <c r="AP9" s="212"/>
    </row>
    <row r="10" spans="1:108" ht="40.35" customHeight="1" x14ac:dyDescent="0.1">
      <c r="D10" s="192" t="str">
        <f t="shared" si="0"/>
        <v>大暑</v>
      </c>
      <c r="E10" s="193">
        <f t="shared" ca="1" si="1"/>
        <v>45130.410276378971</v>
      </c>
      <c r="G10" s="201" t="s">
        <v>610</v>
      </c>
      <c r="H10" s="211"/>
      <c r="I10" s="214"/>
      <c r="J10" s="214"/>
      <c r="K10" s="214"/>
      <c r="P10" s="215" t="s">
        <v>611</v>
      </c>
      <c r="Q10" s="216">
        <v>1</v>
      </c>
      <c r="R10" s="216">
        <v>2</v>
      </c>
      <c r="S10" s="216">
        <v>3</v>
      </c>
      <c r="T10" s="216">
        <v>4</v>
      </c>
      <c r="U10" s="216">
        <v>5</v>
      </c>
      <c r="V10" s="216">
        <v>6</v>
      </c>
      <c r="W10" s="216">
        <v>7</v>
      </c>
      <c r="X10" s="216">
        <v>8</v>
      </c>
      <c r="Y10" s="216">
        <v>9</v>
      </c>
      <c r="Z10" s="216">
        <v>10</v>
      </c>
      <c r="AA10" s="216">
        <v>11</v>
      </c>
      <c r="AB10" s="216">
        <v>12</v>
      </c>
      <c r="AC10" s="216">
        <v>13</v>
      </c>
      <c r="AD10" s="216">
        <v>14</v>
      </c>
      <c r="AE10" s="216">
        <v>15</v>
      </c>
      <c r="AF10" s="216">
        <v>16</v>
      </c>
      <c r="AG10" s="216">
        <v>17</v>
      </c>
      <c r="AH10" s="216">
        <v>18</v>
      </c>
      <c r="AI10" s="216">
        <v>19</v>
      </c>
      <c r="AJ10" s="216">
        <v>20</v>
      </c>
      <c r="AK10" s="216">
        <v>21</v>
      </c>
      <c r="AL10" s="216">
        <v>22</v>
      </c>
      <c r="AM10" s="216">
        <v>23</v>
      </c>
      <c r="AN10" s="216">
        <v>24</v>
      </c>
      <c r="AO10" s="217"/>
    </row>
    <row r="11" spans="1:108" ht="40.35" customHeight="1" x14ac:dyDescent="0.1">
      <c r="D11" s="192" t="str">
        <f t="shared" si="0"/>
        <v>立秋</v>
      </c>
      <c r="E11" s="193">
        <f t="shared" ca="1" si="1"/>
        <v>45146.099570347928</v>
      </c>
      <c r="G11" s="201" t="s">
        <v>612</v>
      </c>
      <c r="H11" s="211"/>
      <c r="L11" s="218"/>
      <c r="M11" s="218"/>
      <c r="N11" s="218"/>
      <c r="O11" s="218"/>
      <c r="P11" s="215" t="s">
        <v>557</v>
      </c>
      <c r="Q11" s="216">
        <v>485</v>
      </c>
      <c r="R11" s="216">
        <v>203</v>
      </c>
      <c r="S11" s="216">
        <v>199</v>
      </c>
      <c r="T11" s="216">
        <v>182</v>
      </c>
      <c r="U11" s="216">
        <v>156</v>
      </c>
      <c r="V11" s="216">
        <v>136</v>
      </c>
      <c r="W11" s="216">
        <v>77</v>
      </c>
      <c r="X11" s="216">
        <v>74</v>
      </c>
      <c r="Y11" s="216">
        <v>70</v>
      </c>
      <c r="Z11" s="216">
        <v>58</v>
      </c>
      <c r="AA11" s="216">
        <v>52</v>
      </c>
      <c r="AB11" s="216">
        <v>50</v>
      </c>
      <c r="AC11" s="216">
        <v>45</v>
      </c>
      <c r="AD11" s="216">
        <v>44</v>
      </c>
      <c r="AE11" s="216">
        <v>29</v>
      </c>
      <c r="AF11" s="216">
        <v>18</v>
      </c>
      <c r="AG11" s="216">
        <v>17</v>
      </c>
      <c r="AH11" s="216">
        <v>16</v>
      </c>
      <c r="AI11" s="216">
        <v>14</v>
      </c>
      <c r="AJ11" s="216">
        <v>12</v>
      </c>
      <c r="AK11" s="216">
        <v>12</v>
      </c>
      <c r="AL11" s="216">
        <v>12</v>
      </c>
      <c r="AM11" s="216">
        <v>9</v>
      </c>
      <c r="AN11" s="216">
        <v>8</v>
      </c>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row>
    <row r="12" spans="1:108" ht="40.35" customHeight="1" x14ac:dyDescent="0.1">
      <c r="D12" s="192" t="str">
        <f t="shared" si="0"/>
        <v>處暑</v>
      </c>
      <c r="E12" s="193">
        <f t="shared" ca="1" si="1"/>
        <v>45161.709477603901</v>
      </c>
      <c r="G12" s="219"/>
      <c r="O12" s="218"/>
      <c r="P12" s="215" t="s">
        <v>558</v>
      </c>
      <c r="Q12" s="216">
        <v>324.95999999999998</v>
      </c>
      <c r="R12" s="216">
        <v>337.23</v>
      </c>
      <c r="S12" s="216">
        <v>342.08</v>
      </c>
      <c r="T12" s="216">
        <v>27.85</v>
      </c>
      <c r="U12" s="216">
        <v>73.14</v>
      </c>
      <c r="V12" s="216">
        <v>171.52</v>
      </c>
      <c r="W12" s="216">
        <v>222.54</v>
      </c>
      <c r="X12" s="216">
        <v>296.72000000000003</v>
      </c>
      <c r="Y12" s="216">
        <v>243.58</v>
      </c>
      <c r="Z12" s="216">
        <v>119.81</v>
      </c>
      <c r="AA12" s="216">
        <v>297.17</v>
      </c>
      <c r="AB12" s="216">
        <v>21.02</v>
      </c>
      <c r="AC12" s="216">
        <v>247.54</v>
      </c>
      <c r="AD12" s="216">
        <v>325.14999999999998</v>
      </c>
      <c r="AE12" s="216">
        <v>60.93</v>
      </c>
      <c r="AF12" s="216">
        <v>155.12</v>
      </c>
      <c r="AG12" s="216">
        <v>288.79000000000002</v>
      </c>
      <c r="AH12" s="216">
        <v>198.04</v>
      </c>
      <c r="AI12" s="216">
        <v>199.76</v>
      </c>
      <c r="AJ12" s="216">
        <v>95.39</v>
      </c>
      <c r="AK12" s="216">
        <v>287.11</v>
      </c>
      <c r="AL12" s="216">
        <v>320.81</v>
      </c>
      <c r="AM12" s="216">
        <v>227.73</v>
      </c>
      <c r="AN12" s="216">
        <v>15.45</v>
      </c>
      <c r="AQ12" s="220" t="s">
        <v>613</v>
      </c>
      <c r="AR12" s="221">
        <f t="shared" ref="AR12:BO12" ca="1" si="2">Delta_t_Year_修正值</f>
        <v>2023.2083333333333</v>
      </c>
      <c r="AS12" s="221">
        <f t="shared" ca="1" si="2"/>
        <v>2023.2916666666667</v>
      </c>
      <c r="AT12" s="221">
        <f t="shared" ca="1" si="2"/>
        <v>2023.2916666666667</v>
      </c>
      <c r="AU12" s="221">
        <f t="shared" ca="1" si="2"/>
        <v>2023.375</v>
      </c>
      <c r="AV12" s="221">
        <f t="shared" ca="1" si="2"/>
        <v>2023.375</v>
      </c>
      <c r="AW12" s="221">
        <f t="shared" ca="1" si="2"/>
        <v>2023.4583333333333</v>
      </c>
      <c r="AX12" s="221">
        <f t="shared" ca="1" si="2"/>
        <v>2023.4583333333333</v>
      </c>
      <c r="AY12" s="221">
        <f t="shared" ca="1" si="2"/>
        <v>2023.5416666666667</v>
      </c>
      <c r="AZ12" s="221">
        <f t="shared" ca="1" si="2"/>
        <v>2023.5416666666667</v>
      </c>
      <c r="BA12" s="221">
        <f t="shared" ca="1" si="2"/>
        <v>2023.625</v>
      </c>
      <c r="BB12" s="221">
        <f t="shared" ca="1" si="2"/>
        <v>2023.625</v>
      </c>
      <c r="BC12" s="221">
        <f t="shared" ca="1" si="2"/>
        <v>2023.7083333333333</v>
      </c>
      <c r="BD12" s="221">
        <f t="shared" ca="1" si="2"/>
        <v>2023.7083333333333</v>
      </c>
      <c r="BE12" s="221">
        <f t="shared" ca="1" si="2"/>
        <v>2023.7916666666667</v>
      </c>
      <c r="BF12" s="221">
        <f t="shared" ca="1" si="2"/>
        <v>2023.7916666666667</v>
      </c>
      <c r="BG12" s="221">
        <f t="shared" ca="1" si="2"/>
        <v>2023.875</v>
      </c>
      <c r="BH12" s="221">
        <f t="shared" ca="1" si="2"/>
        <v>2023.875</v>
      </c>
      <c r="BI12" s="221">
        <f t="shared" ca="1" si="2"/>
        <v>2023.9583333333333</v>
      </c>
      <c r="BJ12" s="221">
        <f t="shared" ca="1" si="2"/>
        <v>2023.9583333333333</v>
      </c>
      <c r="BK12" s="221">
        <f t="shared" ca="1" si="2"/>
        <v>2024.0416666666667</v>
      </c>
      <c r="BL12" s="221">
        <f t="shared" ca="1" si="2"/>
        <v>2024.0416666666667</v>
      </c>
      <c r="BM12" s="221">
        <f t="shared" ca="1" si="2"/>
        <v>2024.125</v>
      </c>
      <c r="BN12" s="221">
        <f t="shared" ca="1" si="2"/>
        <v>2024.125</v>
      </c>
      <c r="BO12" s="221">
        <f t="shared" ca="1" si="2"/>
        <v>2024.2083333333333</v>
      </c>
      <c r="BP12" s="221">
        <v>7100</v>
      </c>
      <c r="BQ12" s="195"/>
      <c r="BR12" s="195"/>
      <c r="BS12" s="195"/>
      <c r="BT12" s="195"/>
      <c r="BU12" s="195"/>
      <c r="BV12" s="195"/>
      <c r="BW12" s="195"/>
      <c r="BX12" s="195"/>
      <c r="BY12" s="195"/>
      <c r="BZ12" s="195"/>
      <c r="CA12" s="195"/>
      <c r="CB12" s="195"/>
      <c r="CC12" s="195"/>
      <c r="CD12" s="195"/>
      <c r="CE12" s="195"/>
      <c r="CF12" s="195"/>
      <c r="CG12" s="195"/>
      <c r="CH12" s="195"/>
      <c r="CI12" s="195"/>
      <c r="CJ12" s="195"/>
      <c r="CK12" s="195"/>
      <c r="CL12" s="195"/>
      <c r="CM12" s="195"/>
      <c r="CO12" s="467" t="s">
        <v>614</v>
      </c>
      <c r="CP12" s="467"/>
      <c r="CQ12" s="467"/>
      <c r="CR12" s="467"/>
      <c r="CS12" s="467"/>
      <c r="CT12" s="467"/>
      <c r="CU12" s="467"/>
      <c r="CV12" s="467"/>
      <c r="CW12" s="467"/>
      <c r="CX12" s="467"/>
      <c r="CY12" s="467"/>
      <c r="CZ12" s="467"/>
      <c r="DA12" s="467"/>
      <c r="DB12" s="467"/>
      <c r="DC12" s="467"/>
      <c r="DD12" s="467"/>
    </row>
    <row r="13" spans="1:108" ht="40.35" customHeight="1" x14ac:dyDescent="0.1">
      <c r="B13" s="222"/>
      <c r="D13" s="192" t="str">
        <f t="shared" si="0"/>
        <v>白露</v>
      </c>
      <c r="E13" s="193">
        <f t="shared" ca="1" si="1"/>
        <v>45177.227147416212</v>
      </c>
      <c r="G13" s="219"/>
      <c r="H13" s="223"/>
      <c r="I13" s="224" t="s">
        <v>559</v>
      </c>
      <c r="J13" s="224" t="s">
        <v>560</v>
      </c>
      <c r="K13" s="225" t="s">
        <v>615</v>
      </c>
      <c r="L13" s="226" t="s">
        <v>616</v>
      </c>
      <c r="M13" s="225" t="s">
        <v>617</v>
      </c>
      <c r="N13" s="227" t="s">
        <v>618</v>
      </c>
      <c r="O13" s="228" t="s">
        <v>619</v>
      </c>
      <c r="P13" s="215" t="s">
        <v>561</v>
      </c>
      <c r="Q13" s="216">
        <v>1934.136</v>
      </c>
      <c r="R13" s="216">
        <v>32964.466999999997</v>
      </c>
      <c r="S13" s="216">
        <v>20.186</v>
      </c>
      <c r="T13" s="216">
        <v>445267.11200000002</v>
      </c>
      <c r="U13" s="216">
        <v>45036.885999999999</v>
      </c>
      <c r="V13" s="216">
        <v>22518.442999999999</v>
      </c>
      <c r="W13" s="216">
        <v>65928.933999999994</v>
      </c>
      <c r="X13" s="216">
        <v>3034.9059999999999</v>
      </c>
      <c r="Y13" s="216">
        <v>9037.5130000000008</v>
      </c>
      <c r="Z13" s="216">
        <v>33718.146999999997</v>
      </c>
      <c r="AA13" s="216">
        <v>150.678</v>
      </c>
      <c r="AB13" s="216">
        <v>2281.2260000000001</v>
      </c>
      <c r="AC13" s="216">
        <v>29929.562000000002</v>
      </c>
      <c r="AD13" s="216">
        <v>31555.955999999998</v>
      </c>
      <c r="AE13" s="216">
        <v>4443.4170000000004</v>
      </c>
      <c r="AF13" s="216">
        <v>67555.327999999994</v>
      </c>
      <c r="AG13" s="216">
        <v>4562.4520000000002</v>
      </c>
      <c r="AH13" s="216">
        <v>62894.029000000002</v>
      </c>
      <c r="AI13" s="216">
        <v>31436.920999999998</v>
      </c>
      <c r="AJ13" s="216">
        <v>14577.848</v>
      </c>
      <c r="AK13" s="216">
        <v>31931.756000000001</v>
      </c>
      <c r="AL13" s="216">
        <v>34777.258999999998</v>
      </c>
      <c r="AM13" s="216">
        <v>1222.114</v>
      </c>
      <c r="AN13" s="216">
        <v>16859.074000000001</v>
      </c>
      <c r="AP13" s="229" t="s">
        <v>562</v>
      </c>
      <c r="AQ13" s="229" t="s">
        <v>563</v>
      </c>
      <c r="AR13" s="229" t="str">
        <f t="shared" ref="AR13:BO13" si="3">"△t(秒) _ "&amp;COLUMN()-43</f>
        <v>△t(秒) _ 1</v>
      </c>
      <c r="AS13" s="229" t="str">
        <f t="shared" si="3"/>
        <v>△t(秒) _ 2</v>
      </c>
      <c r="AT13" s="229" t="str">
        <f t="shared" si="3"/>
        <v>△t(秒) _ 3</v>
      </c>
      <c r="AU13" s="229" t="str">
        <f t="shared" si="3"/>
        <v>△t(秒) _ 4</v>
      </c>
      <c r="AV13" s="229" t="str">
        <f t="shared" si="3"/>
        <v>△t(秒) _ 5</v>
      </c>
      <c r="AW13" s="229" t="str">
        <f t="shared" si="3"/>
        <v>△t(秒) _ 6</v>
      </c>
      <c r="AX13" s="229" t="str">
        <f t="shared" si="3"/>
        <v>△t(秒) _ 7</v>
      </c>
      <c r="AY13" s="229" t="str">
        <f t="shared" si="3"/>
        <v>△t(秒) _ 8</v>
      </c>
      <c r="AZ13" s="229" t="str">
        <f t="shared" si="3"/>
        <v>△t(秒) _ 9</v>
      </c>
      <c r="BA13" s="229" t="str">
        <f t="shared" si="3"/>
        <v>△t(秒) _ 10</v>
      </c>
      <c r="BB13" s="229" t="str">
        <f t="shared" si="3"/>
        <v>△t(秒) _ 11</v>
      </c>
      <c r="BC13" s="229" t="str">
        <f t="shared" si="3"/>
        <v>△t(秒) _ 12</v>
      </c>
      <c r="BD13" s="229" t="str">
        <f t="shared" si="3"/>
        <v>△t(秒) _ 13</v>
      </c>
      <c r="BE13" s="229" t="str">
        <f t="shared" si="3"/>
        <v>△t(秒) _ 14</v>
      </c>
      <c r="BF13" s="229" t="str">
        <f t="shared" si="3"/>
        <v>△t(秒) _ 15</v>
      </c>
      <c r="BG13" s="229" t="str">
        <f t="shared" si="3"/>
        <v>△t(秒) _ 16</v>
      </c>
      <c r="BH13" s="229" t="str">
        <f t="shared" si="3"/>
        <v>△t(秒) _ 17</v>
      </c>
      <c r="BI13" s="229" t="str">
        <f t="shared" si="3"/>
        <v>△t(秒) _ 18</v>
      </c>
      <c r="BJ13" s="229" t="str">
        <f t="shared" si="3"/>
        <v>△t(秒) _ 19</v>
      </c>
      <c r="BK13" s="229" t="str">
        <f t="shared" si="3"/>
        <v>△t(秒) _ 20</v>
      </c>
      <c r="BL13" s="229" t="str">
        <f t="shared" si="3"/>
        <v>△t(秒) _ 21</v>
      </c>
      <c r="BM13" s="229" t="str">
        <f t="shared" si="3"/>
        <v>△t(秒) _ 22</v>
      </c>
      <c r="BN13" s="229" t="str">
        <f t="shared" si="3"/>
        <v>△t(秒) _ 23</v>
      </c>
      <c r="BO13" s="229" t="str">
        <f t="shared" si="3"/>
        <v>△t(秒) _ 24</v>
      </c>
      <c r="BP13" s="230" t="str">
        <f t="shared" ref="BP13:CM13" si="4">"u &amp; t _ "&amp;COLUMN()-67</f>
        <v>u &amp; t _ 1</v>
      </c>
      <c r="BQ13" s="230" t="str">
        <f t="shared" si="4"/>
        <v>u &amp; t _ 2</v>
      </c>
      <c r="BR13" s="230" t="str">
        <f t="shared" si="4"/>
        <v>u &amp; t _ 3</v>
      </c>
      <c r="BS13" s="230" t="str">
        <f t="shared" si="4"/>
        <v>u &amp; t _ 4</v>
      </c>
      <c r="BT13" s="230" t="str">
        <f t="shared" si="4"/>
        <v>u &amp; t _ 5</v>
      </c>
      <c r="BU13" s="230" t="str">
        <f t="shared" si="4"/>
        <v>u &amp; t _ 6</v>
      </c>
      <c r="BV13" s="230" t="str">
        <f t="shared" si="4"/>
        <v>u &amp; t _ 7</v>
      </c>
      <c r="BW13" s="230" t="str">
        <f t="shared" si="4"/>
        <v>u &amp; t _ 8</v>
      </c>
      <c r="BX13" s="230" t="str">
        <f t="shared" si="4"/>
        <v>u &amp; t _ 9</v>
      </c>
      <c r="BY13" s="230" t="str">
        <f t="shared" si="4"/>
        <v>u &amp; t _ 10</v>
      </c>
      <c r="BZ13" s="230" t="str">
        <f t="shared" si="4"/>
        <v>u &amp; t _ 11</v>
      </c>
      <c r="CA13" s="230" t="str">
        <f t="shared" si="4"/>
        <v>u &amp; t _ 12</v>
      </c>
      <c r="CB13" s="230" t="str">
        <f t="shared" si="4"/>
        <v>u &amp; t _ 13</v>
      </c>
      <c r="CC13" s="230" t="str">
        <f t="shared" si="4"/>
        <v>u &amp; t _ 14</v>
      </c>
      <c r="CD13" s="230" t="str">
        <f t="shared" si="4"/>
        <v>u &amp; t _ 15</v>
      </c>
      <c r="CE13" s="230" t="str">
        <f t="shared" si="4"/>
        <v>u &amp; t _ 16</v>
      </c>
      <c r="CF13" s="230" t="str">
        <f t="shared" si="4"/>
        <v>u &amp; t _ 17</v>
      </c>
      <c r="CG13" s="230" t="str">
        <f t="shared" si="4"/>
        <v>u &amp; t _ 18</v>
      </c>
      <c r="CH13" s="230" t="str">
        <f t="shared" si="4"/>
        <v>u &amp; t _ 19</v>
      </c>
      <c r="CI13" s="230" t="str">
        <f t="shared" si="4"/>
        <v>u &amp; t _ 20</v>
      </c>
      <c r="CJ13" s="230" t="str">
        <f t="shared" si="4"/>
        <v>u &amp; t _ 21</v>
      </c>
      <c r="CK13" s="230" t="str">
        <f t="shared" si="4"/>
        <v>u &amp; t _ 22</v>
      </c>
      <c r="CL13" s="230" t="str">
        <f t="shared" si="4"/>
        <v>u &amp; t _ 23</v>
      </c>
      <c r="CM13" s="230" t="str">
        <f t="shared" si="4"/>
        <v>u &amp; t _ 24</v>
      </c>
      <c r="CO13" s="467"/>
      <c r="CP13" s="467"/>
      <c r="CQ13" s="467"/>
      <c r="CR13" s="467"/>
      <c r="CS13" s="467"/>
      <c r="CT13" s="467"/>
      <c r="CU13" s="467"/>
      <c r="CV13" s="467"/>
      <c r="CW13" s="467"/>
      <c r="CX13" s="467"/>
      <c r="CY13" s="467"/>
      <c r="CZ13" s="467"/>
      <c r="DA13" s="467"/>
      <c r="DB13" s="467"/>
      <c r="DC13" s="467"/>
      <c r="DD13" s="467"/>
    </row>
    <row r="14" spans="1:108" ht="40.35" customHeight="1" x14ac:dyDescent="0.1">
      <c r="B14" s="231"/>
      <c r="D14" s="192" t="str">
        <f t="shared" si="0"/>
        <v>秋分</v>
      </c>
      <c r="E14" s="193">
        <f t="shared" ca="1" si="1"/>
        <v>45192.618118788581</v>
      </c>
      <c r="F14" s="232"/>
      <c r="G14" s="232"/>
      <c r="H14" s="233" t="s">
        <v>41</v>
      </c>
      <c r="I14" s="234">
        <f t="shared" ref="I14:I37" ca="1" si="5">IF(AND(th_δ&gt;PI(),th_δ&lt;=(3*PI())),2*PI()-th_δ,IF(th_δ&gt;(3*PI()),4*PI()-th_δ,th_δ))</f>
        <v>1.3379113747345066</v>
      </c>
      <c r="J14" s="235">
        <f t="shared" ref="J14:J37" ca="1" si="6">IF(m_flag=1,$B$7-callp,IF(m_flag=2,2*$B$7-callp,callp))</f>
        <v>75.889484823496716</v>
      </c>
      <c r="K14" s="236">
        <f t="shared" ref="K14:K37" ca="1" si="7">$B$3+J14-$J$14</f>
        <v>2460024.3844702141</v>
      </c>
      <c r="L14" s="237">
        <f t="shared" ref="L14:L37" ca="1" si="8">K14+M14-N14/86400+1/3</f>
        <v>2460024.7254657443</v>
      </c>
      <c r="M14" s="238">
        <f t="shared" ref="M14:M37" ca="1" si="9">二分點_偏移量</f>
        <v>8.5111233957168731E-3</v>
      </c>
      <c r="N14" s="238">
        <f t="shared" ref="N14:N37" ca="1" si="10">IF(OR(二分點_Year&lt;1955,二分點_Year&gt;=2005),二分點_△t_原始值+OFFSET($AQ$29,0,ROW()-13),二分點_△t_原始值)</f>
        <v>73.347249042173573</v>
      </c>
      <c r="O14" s="239">
        <f t="shared" ref="O14:O37" ca="1" si="11">IF(Date_y&gt;=1900,DATE(Date_y,Date_m,Date_d)+MOD(Date_d,1),Date_y&amp;"-"&amp;TEXT(Date_m,"00")&amp;"-"&amp;TEXT(INT(Date_d),"00")&amp;"     "&amp;TEXT(MOD(Date_d,1),"hh:mm:ss"))</f>
        <v>45006.225465744268</v>
      </c>
      <c r="P14" s="240">
        <f t="shared" ref="P14:P37" ca="1" si="12">SUM(Q14:AN14)</f>
        <v>858.00838440104633</v>
      </c>
      <c r="Q14" s="241">
        <f t="shared" ref="Q14:Z23" ca="1" si="13">Q$11*COS((Q$12+Q$13*二分點_T)*PI()/180)</f>
        <v>285.24517223825484</v>
      </c>
      <c r="R14" s="241">
        <f t="shared" ca="1" si="13"/>
        <v>69.342092239949466</v>
      </c>
      <c r="S14" s="241">
        <f t="shared" ca="1" si="13"/>
        <v>193.71539133706705</v>
      </c>
      <c r="T14" s="241">
        <f t="shared" ca="1" si="13"/>
        <v>38.15412103538263</v>
      </c>
      <c r="U14" s="241">
        <f t="shared" ca="1" si="13"/>
        <v>3.8564876628787843</v>
      </c>
      <c r="V14" s="241">
        <f t="shared" ca="1" si="13"/>
        <v>135.98808990808863</v>
      </c>
      <c r="W14" s="241">
        <f t="shared" ca="1" si="13"/>
        <v>51.390232146745021</v>
      </c>
      <c r="X14" s="241">
        <f t="shared" ca="1" si="13"/>
        <v>14.477485759875128</v>
      </c>
      <c r="Y14" s="241">
        <f t="shared" ca="1" si="13"/>
        <v>-69.970452738348953</v>
      </c>
      <c r="Z14" s="241">
        <f t="shared" ca="1" si="13"/>
        <v>51.411329741961822</v>
      </c>
      <c r="AA14" s="241">
        <f t="shared" ref="AA14:AN23" ca="1" si="14">AA$11*COS((AA$12+AA$13*二分點_T)*PI()/180)</f>
        <v>45.977170781676456</v>
      </c>
      <c r="AB14" s="241">
        <f t="shared" ca="1" si="14"/>
        <v>-49.144644160715615</v>
      </c>
      <c r="AC14" s="241">
        <f t="shared" ca="1" si="14"/>
        <v>44.877677247621776</v>
      </c>
      <c r="AD14" s="241">
        <f t="shared" ca="1" si="14"/>
        <v>-0.73452273957769465</v>
      </c>
      <c r="AE14" s="241">
        <f t="shared" ca="1" si="14"/>
        <v>28.31454181580245</v>
      </c>
      <c r="AF14" s="241">
        <f t="shared" ca="1" si="14"/>
        <v>17.991936422729896</v>
      </c>
      <c r="AG14" s="241">
        <f t="shared" ca="1" si="14"/>
        <v>-0.60027822695557886</v>
      </c>
      <c r="AH14" s="241">
        <f t="shared" ca="1" si="14"/>
        <v>12.421870041937375</v>
      </c>
      <c r="AI14" s="241">
        <f t="shared" ca="1" si="14"/>
        <v>6.5579704557797882</v>
      </c>
      <c r="AJ14" s="241">
        <f t="shared" ca="1" si="14"/>
        <v>-6.0580185297971028</v>
      </c>
      <c r="AK14" s="241">
        <f t="shared" ca="1" si="14"/>
        <v>-9.2139811985380558</v>
      </c>
      <c r="AL14" s="241">
        <f t="shared" ca="1" si="14"/>
        <v>-4.9670430807542658</v>
      </c>
      <c r="AM14" s="241">
        <f t="shared" ca="1" si="14"/>
        <v>-7.9054008873418455</v>
      </c>
      <c r="AN14" s="241">
        <f t="shared" ca="1" si="14"/>
        <v>6.8811571273241228</v>
      </c>
      <c r="AP14" s="229">
        <v>-9999</v>
      </c>
      <c r="AQ14" s="229" t="s">
        <v>564</v>
      </c>
      <c r="AR14" s="242">
        <f t="shared" ref="AR14:BO14" ca="1" si="15">-20+32*BP14^2</f>
        <v>112.13960555555545</v>
      </c>
      <c r="AS14" s="242">
        <f t="shared" ca="1" si="15"/>
        <v>112.24800555555564</v>
      </c>
      <c r="AT14" s="242">
        <f t="shared" ca="1" si="15"/>
        <v>112.24800555555564</v>
      </c>
      <c r="AU14" s="242">
        <f t="shared" ca="1" si="15"/>
        <v>112.35645</v>
      </c>
      <c r="AV14" s="242">
        <f t="shared" ca="1" si="15"/>
        <v>112.35645</v>
      </c>
      <c r="AW14" s="242">
        <f t="shared" ca="1" si="15"/>
        <v>112.46493888888878</v>
      </c>
      <c r="AX14" s="242">
        <f t="shared" ca="1" si="15"/>
        <v>112.46493888888878</v>
      </c>
      <c r="AY14" s="242">
        <f t="shared" ca="1" si="15"/>
        <v>112.57347222222231</v>
      </c>
      <c r="AZ14" s="242">
        <f t="shared" ca="1" si="15"/>
        <v>112.57347222222231</v>
      </c>
      <c r="BA14" s="242">
        <f t="shared" ca="1" si="15"/>
        <v>112.68204999999998</v>
      </c>
      <c r="BB14" s="242">
        <f t="shared" ca="1" si="15"/>
        <v>112.68204999999998</v>
      </c>
      <c r="BC14" s="242">
        <f t="shared" ca="1" si="15"/>
        <v>112.7906722222221</v>
      </c>
      <c r="BD14" s="242">
        <f t="shared" ca="1" si="15"/>
        <v>112.7906722222221</v>
      </c>
      <c r="BE14" s="242">
        <f t="shared" ca="1" si="15"/>
        <v>112.89933888888896</v>
      </c>
      <c r="BF14" s="242">
        <f t="shared" ca="1" si="15"/>
        <v>112.89933888888896</v>
      </c>
      <c r="BG14" s="242">
        <f t="shared" ca="1" si="15"/>
        <v>113.00804999999997</v>
      </c>
      <c r="BH14" s="242">
        <f t="shared" ca="1" si="15"/>
        <v>113.00804999999997</v>
      </c>
      <c r="BI14" s="242">
        <f t="shared" ca="1" si="15"/>
        <v>113.11680555555543</v>
      </c>
      <c r="BJ14" s="242">
        <f t="shared" ca="1" si="15"/>
        <v>113.11680555555543</v>
      </c>
      <c r="BK14" s="242">
        <f t="shared" ca="1" si="15"/>
        <v>113.22560555555563</v>
      </c>
      <c r="BL14" s="242">
        <f t="shared" ca="1" si="15"/>
        <v>113.22560555555563</v>
      </c>
      <c r="BM14" s="242">
        <f t="shared" ca="1" si="15"/>
        <v>113.33444999999998</v>
      </c>
      <c r="BN14" s="242">
        <f t="shared" ca="1" si="15"/>
        <v>113.33444999999998</v>
      </c>
      <c r="BO14" s="242">
        <f t="shared" ca="1" si="15"/>
        <v>113.44333888888877</v>
      </c>
      <c r="BP14" s="243">
        <f t="shared" ref="BP14:CM14" ca="1" si="16">(Delta_t_Year-1820)/100</f>
        <v>2.0320833333333326</v>
      </c>
      <c r="BQ14" s="243">
        <f t="shared" ca="1" si="16"/>
        <v>2.0329166666666674</v>
      </c>
      <c r="BR14" s="243">
        <f t="shared" ca="1" si="16"/>
        <v>2.0329166666666674</v>
      </c>
      <c r="BS14" s="243">
        <f t="shared" ca="1" si="16"/>
        <v>2.0337499999999999</v>
      </c>
      <c r="BT14" s="243">
        <f t="shared" ca="1" si="16"/>
        <v>2.0337499999999999</v>
      </c>
      <c r="BU14" s="243">
        <f t="shared" ca="1" si="16"/>
        <v>2.0345833333333325</v>
      </c>
      <c r="BV14" s="243">
        <f t="shared" ca="1" si="16"/>
        <v>2.0345833333333325</v>
      </c>
      <c r="BW14" s="243">
        <f t="shared" ca="1" si="16"/>
        <v>2.0354166666666673</v>
      </c>
      <c r="BX14" s="243">
        <f t="shared" ca="1" si="16"/>
        <v>2.0354166666666673</v>
      </c>
      <c r="BY14" s="243">
        <f t="shared" ca="1" si="16"/>
        <v>2.0362499999999999</v>
      </c>
      <c r="BZ14" s="243">
        <f t="shared" ca="1" si="16"/>
        <v>2.0362499999999999</v>
      </c>
      <c r="CA14" s="243">
        <f t="shared" ca="1" si="16"/>
        <v>2.0370833333333325</v>
      </c>
      <c r="CB14" s="243">
        <f t="shared" ca="1" si="16"/>
        <v>2.0370833333333325</v>
      </c>
      <c r="CC14" s="243">
        <f t="shared" ca="1" si="16"/>
        <v>2.0379166666666673</v>
      </c>
      <c r="CD14" s="243">
        <f t="shared" ca="1" si="16"/>
        <v>2.0379166666666673</v>
      </c>
      <c r="CE14" s="243">
        <f t="shared" ca="1" si="16"/>
        <v>2.0387499999999998</v>
      </c>
      <c r="CF14" s="243">
        <f t="shared" ca="1" si="16"/>
        <v>2.0387499999999998</v>
      </c>
      <c r="CG14" s="243">
        <f t="shared" ca="1" si="16"/>
        <v>2.0395833333333324</v>
      </c>
      <c r="CH14" s="243">
        <f t="shared" ca="1" si="16"/>
        <v>2.0395833333333324</v>
      </c>
      <c r="CI14" s="243">
        <f t="shared" ca="1" si="16"/>
        <v>2.0404166666666672</v>
      </c>
      <c r="CJ14" s="243">
        <f t="shared" ca="1" si="16"/>
        <v>2.0404166666666672</v>
      </c>
      <c r="CK14" s="243">
        <f t="shared" ca="1" si="16"/>
        <v>2.0412499999999998</v>
      </c>
      <c r="CL14" s="243">
        <f t="shared" ca="1" si="16"/>
        <v>2.0412499999999998</v>
      </c>
      <c r="CM14" s="243">
        <f t="shared" ca="1" si="16"/>
        <v>2.0420833333333324</v>
      </c>
      <c r="CN14" s="244"/>
      <c r="CO14" s="467"/>
      <c r="CP14" s="467"/>
      <c r="CQ14" s="467"/>
      <c r="CR14" s="467"/>
      <c r="CS14" s="467"/>
      <c r="CT14" s="467"/>
      <c r="CU14" s="467"/>
      <c r="CV14" s="467"/>
      <c r="CW14" s="467"/>
      <c r="CX14" s="467"/>
      <c r="CY14" s="467"/>
      <c r="CZ14" s="467"/>
      <c r="DA14" s="467"/>
      <c r="DB14" s="467"/>
      <c r="DC14" s="467"/>
      <c r="DD14" s="467"/>
    </row>
    <row r="15" spans="1:108" ht="40.35" customHeight="1" x14ac:dyDescent="0.1">
      <c r="B15" s="231"/>
      <c r="D15" s="192" t="str">
        <f t="shared" si="0"/>
        <v>寒露</v>
      </c>
      <c r="E15" s="193">
        <f t="shared" ca="1" si="1"/>
        <v>45207.885886580218</v>
      </c>
      <c r="F15" s="232"/>
      <c r="G15" s="232"/>
      <c r="H15" s="233" t="s">
        <v>42</v>
      </c>
      <c r="I15" s="234">
        <f t="shared" ca="1" si="5"/>
        <v>1.599710762533656</v>
      </c>
      <c r="J15" s="235">
        <f t="shared" ca="1" si="6"/>
        <v>91.050178024956097</v>
      </c>
      <c r="K15" s="236">
        <f t="shared" ca="1" si="7"/>
        <v>2460039.5451634154</v>
      </c>
      <c r="L15" s="237">
        <f t="shared" ca="1" si="8"/>
        <v>2460039.8840208049</v>
      </c>
      <c r="M15" s="238">
        <f t="shared" ca="1" si="9"/>
        <v>6.3735421401857279E-3</v>
      </c>
      <c r="N15" s="238">
        <f t="shared" ca="1" si="10"/>
        <v>73.395606815673645</v>
      </c>
      <c r="O15" s="239">
        <f t="shared" ca="1" si="11"/>
        <v>45021.384020804893</v>
      </c>
      <c r="P15" s="240">
        <f t="shared" ca="1" si="12"/>
        <v>636.97080508291265</v>
      </c>
      <c r="Q15" s="241">
        <f t="shared" ca="1" si="13"/>
        <v>279.72122970101697</v>
      </c>
      <c r="R15" s="241">
        <f t="shared" ca="1" si="13"/>
        <v>22.243575365631433</v>
      </c>
      <c r="S15" s="241">
        <f t="shared" ca="1" si="13"/>
        <v>193.7220512230829</v>
      </c>
      <c r="T15" s="241">
        <f t="shared" ca="1" si="13"/>
        <v>-23.065682499349773</v>
      </c>
      <c r="U15" s="241">
        <f t="shared" ca="1" si="13"/>
        <v>-46.331272410245248</v>
      </c>
      <c r="V15" s="241">
        <f t="shared" ca="1" si="13"/>
        <v>134.47490707715872</v>
      </c>
      <c r="W15" s="241">
        <f t="shared" ca="1" si="13"/>
        <v>19.281275132483756</v>
      </c>
      <c r="X15" s="241">
        <f t="shared" ca="1" si="13"/>
        <v>16.069401009559762</v>
      </c>
      <c r="Y15" s="241">
        <f t="shared" ca="1" si="13"/>
        <v>-69.687487490689335</v>
      </c>
      <c r="Z15" s="241">
        <f t="shared" ca="1" si="13"/>
        <v>43.391737546127736</v>
      </c>
      <c r="AA15" s="241">
        <f t="shared" ca="1" si="14"/>
        <v>46.003660041367432</v>
      </c>
      <c r="AB15" s="241">
        <f t="shared" ca="1" si="14"/>
        <v>-48.985751365180569</v>
      </c>
      <c r="AC15" s="241">
        <f t="shared" ca="1" si="14"/>
        <v>44.540207509236964</v>
      </c>
      <c r="AD15" s="241">
        <f t="shared" ca="1" si="14"/>
        <v>-10.685302046425324</v>
      </c>
      <c r="AE15" s="241">
        <f t="shared" ca="1" si="14"/>
        <v>28.098142904490501</v>
      </c>
      <c r="AF15" s="241">
        <f t="shared" ca="1" si="14"/>
        <v>16.13319003939403</v>
      </c>
      <c r="AG15" s="241">
        <f t="shared" ca="1" si="14"/>
        <v>-3.8510250337661714E-2</v>
      </c>
      <c r="AH15" s="241">
        <f t="shared" ca="1" si="14"/>
        <v>6.7171262370706195</v>
      </c>
      <c r="AI15" s="241">
        <f t="shared" ca="1" si="14"/>
        <v>9.1813130553900848</v>
      </c>
      <c r="AJ15" s="241">
        <f t="shared" ca="1" si="14"/>
        <v>-4.9323420200304859</v>
      </c>
      <c r="AK15" s="241">
        <f t="shared" ca="1" si="14"/>
        <v>-10.731137472783352</v>
      </c>
      <c r="AL15" s="241">
        <f t="shared" ca="1" si="14"/>
        <v>-7.5333697670893667</v>
      </c>
      <c r="AM15" s="241">
        <f t="shared" ca="1" si="14"/>
        <v>-7.9431759295363111</v>
      </c>
      <c r="AN15" s="241">
        <f t="shared" ca="1" si="14"/>
        <v>7.3270194925692476</v>
      </c>
      <c r="AP15" s="229">
        <v>-500</v>
      </c>
      <c r="AQ15" s="229" t="s">
        <v>565</v>
      </c>
      <c r="AR15" s="242">
        <f t="shared" ref="AR15:BO15" ca="1" si="17">10583.6-1014.41*BP15+33.78311*BP15^2-5.952053*BP15^3-0.1798452*BP15^4+0.022174192*BP15^5+0.0090316521*BP15^6</f>
        <v>619088.57427582692</v>
      </c>
      <c r="AS15" s="242">
        <f t="shared" ca="1" si="17"/>
        <v>619246.39752119873</v>
      </c>
      <c r="AT15" s="242">
        <f t="shared" ca="1" si="17"/>
        <v>619246.39752119873</v>
      </c>
      <c r="AU15" s="242">
        <f t="shared" ca="1" si="17"/>
        <v>619404.25378167746</v>
      </c>
      <c r="AV15" s="242">
        <f t="shared" ca="1" si="17"/>
        <v>619404.25378167746</v>
      </c>
      <c r="AW15" s="242">
        <f t="shared" ca="1" si="17"/>
        <v>619562.14306270308</v>
      </c>
      <c r="AX15" s="242">
        <f t="shared" ca="1" si="17"/>
        <v>619562.14306270308</v>
      </c>
      <c r="AY15" s="242">
        <f t="shared" ca="1" si="17"/>
        <v>619720.06536971533</v>
      </c>
      <c r="AZ15" s="242">
        <f t="shared" ca="1" si="17"/>
        <v>619720.06536971533</v>
      </c>
      <c r="BA15" s="242">
        <f t="shared" ca="1" si="17"/>
        <v>619878.02070815465</v>
      </c>
      <c r="BB15" s="242">
        <f t="shared" ca="1" si="17"/>
        <v>619878.02070815465</v>
      </c>
      <c r="BC15" s="242">
        <f t="shared" ca="1" si="17"/>
        <v>620036.00908346218</v>
      </c>
      <c r="BD15" s="242">
        <f t="shared" ca="1" si="17"/>
        <v>620036.00908346218</v>
      </c>
      <c r="BE15" s="242">
        <f t="shared" ca="1" si="17"/>
        <v>620194.03050108138</v>
      </c>
      <c r="BF15" s="242">
        <f t="shared" ca="1" si="17"/>
        <v>620194.03050108138</v>
      </c>
      <c r="BG15" s="242">
        <f t="shared" ca="1" si="17"/>
        <v>620352.08496645244</v>
      </c>
      <c r="BH15" s="242">
        <f t="shared" ca="1" si="17"/>
        <v>620352.08496645244</v>
      </c>
      <c r="BI15" s="242">
        <f t="shared" ca="1" si="17"/>
        <v>620510.17248501978</v>
      </c>
      <c r="BJ15" s="242">
        <f t="shared" ca="1" si="17"/>
        <v>620510.17248501978</v>
      </c>
      <c r="BK15" s="242">
        <f t="shared" ca="1" si="17"/>
        <v>620668.29306222813</v>
      </c>
      <c r="BL15" s="242">
        <f t="shared" ca="1" si="17"/>
        <v>620668.29306222813</v>
      </c>
      <c r="BM15" s="242">
        <f t="shared" ca="1" si="17"/>
        <v>620826.44670352037</v>
      </c>
      <c r="BN15" s="242">
        <f t="shared" ca="1" si="17"/>
        <v>620826.44670352037</v>
      </c>
      <c r="BO15" s="242">
        <f t="shared" ca="1" si="17"/>
        <v>620984.63341434253</v>
      </c>
      <c r="BP15" s="243">
        <f t="shared" ref="BP15:CM15" ca="1" si="18">Delta_t_Year/100</f>
        <v>20.232083333333332</v>
      </c>
      <c r="BQ15" s="243">
        <f t="shared" ca="1" si="18"/>
        <v>20.232916666666668</v>
      </c>
      <c r="BR15" s="243">
        <f t="shared" ca="1" si="18"/>
        <v>20.232916666666668</v>
      </c>
      <c r="BS15" s="243">
        <f t="shared" ca="1" si="18"/>
        <v>20.233750000000001</v>
      </c>
      <c r="BT15" s="243">
        <f t="shared" ca="1" si="18"/>
        <v>20.233750000000001</v>
      </c>
      <c r="BU15" s="243">
        <f t="shared" ca="1" si="18"/>
        <v>20.234583333333333</v>
      </c>
      <c r="BV15" s="243">
        <f t="shared" ca="1" si="18"/>
        <v>20.234583333333333</v>
      </c>
      <c r="BW15" s="243">
        <f t="shared" ca="1" si="18"/>
        <v>20.235416666666666</v>
      </c>
      <c r="BX15" s="243">
        <f t="shared" ca="1" si="18"/>
        <v>20.235416666666666</v>
      </c>
      <c r="BY15" s="243">
        <f t="shared" ca="1" si="18"/>
        <v>20.236249999999998</v>
      </c>
      <c r="BZ15" s="243">
        <f t="shared" ca="1" si="18"/>
        <v>20.236249999999998</v>
      </c>
      <c r="CA15" s="243">
        <f t="shared" ca="1" si="18"/>
        <v>20.237083333333331</v>
      </c>
      <c r="CB15" s="243">
        <f t="shared" ca="1" si="18"/>
        <v>20.237083333333331</v>
      </c>
      <c r="CC15" s="243">
        <f t="shared" ca="1" si="18"/>
        <v>20.237916666666667</v>
      </c>
      <c r="CD15" s="243">
        <f t="shared" ca="1" si="18"/>
        <v>20.237916666666667</v>
      </c>
      <c r="CE15" s="243">
        <f t="shared" ca="1" si="18"/>
        <v>20.23875</v>
      </c>
      <c r="CF15" s="243">
        <f t="shared" ca="1" si="18"/>
        <v>20.23875</v>
      </c>
      <c r="CG15" s="243">
        <f t="shared" ca="1" si="18"/>
        <v>20.239583333333332</v>
      </c>
      <c r="CH15" s="243">
        <f t="shared" ca="1" si="18"/>
        <v>20.239583333333332</v>
      </c>
      <c r="CI15" s="243">
        <f t="shared" ca="1" si="18"/>
        <v>20.240416666666668</v>
      </c>
      <c r="CJ15" s="243">
        <f t="shared" ca="1" si="18"/>
        <v>20.240416666666668</v>
      </c>
      <c r="CK15" s="243">
        <f t="shared" ca="1" si="18"/>
        <v>20.241250000000001</v>
      </c>
      <c r="CL15" s="243">
        <f t="shared" ca="1" si="18"/>
        <v>20.241250000000001</v>
      </c>
      <c r="CM15" s="243">
        <f t="shared" ca="1" si="18"/>
        <v>20.242083333333333</v>
      </c>
      <c r="CN15" s="244"/>
      <c r="CO15" s="467" t="s">
        <v>566</v>
      </c>
      <c r="CP15" s="467"/>
      <c r="CQ15" s="467"/>
      <c r="CR15" s="467"/>
      <c r="CS15" s="467"/>
      <c r="CT15" s="467"/>
      <c r="CU15" s="467"/>
      <c r="CV15" s="467"/>
      <c r="CW15" s="467"/>
      <c r="CX15" s="467"/>
      <c r="CY15" s="467"/>
      <c r="CZ15" s="467"/>
      <c r="DA15" s="467"/>
      <c r="DB15" s="467"/>
      <c r="DC15" s="467"/>
      <c r="DD15" s="467"/>
    </row>
    <row r="16" spans="1:108" ht="40.35" customHeight="1" x14ac:dyDescent="0.1">
      <c r="B16" s="231"/>
      <c r="D16" s="192" t="str">
        <f t="shared" si="0"/>
        <v>霜降</v>
      </c>
      <c r="E16" s="193">
        <f t="shared" ca="1" si="1"/>
        <v>45223.014433119912</v>
      </c>
      <c r="F16" s="232"/>
      <c r="G16" s="232"/>
      <c r="H16" s="233" t="s">
        <v>567</v>
      </c>
      <c r="I16" s="234">
        <f t="shared" ca="1" si="5"/>
        <v>1.8615101503328053</v>
      </c>
      <c r="J16" s="235">
        <f t="shared" ca="1" si="6"/>
        <v>106.3432556819684</v>
      </c>
      <c r="K16" s="236">
        <f t="shared" ca="1" si="7"/>
        <v>2460054.8382410724</v>
      </c>
      <c r="L16" s="237">
        <f t="shared" ca="1" si="8"/>
        <v>2460055.1756564691</v>
      </c>
      <c r="M16" s="238">
        <f t="shared" ca="1" si="9"/>
        <v>4.9315494500921696E-3</v>
      </c>
      <c r="N16" s="238">
        <f t="shared" ca="1" si="10"/>
        <v>73.395606815673645</v>
      </c>
      <c r="O16" s="239">
        <f t="shared" ca="1" si="11"/>
        <v>45036.675656469073</v>
      </c>
      <c r="P16" s="240">
        <f t="shared" ca="1" si="12"/>
        <v>488.61892492081893</v>
      </c>
      <c r="Q16" s="241">
        <f t="shared" ca="1" si="13"/>
        <v>274.09341671263644</v>
      </c>
      <c r="R16" s="241">
        <f t="shared" ca="1" si="13"/>
        <v>-26.537220860134912</v>
      </c>
      <c r="S16" s="241">
        <f t="shared" ca="1" si="13"/>
        <v>193.72876506658463</v>
      </c>
      <c r="T16" s="241">
        <f t="shared" ca="1" si="13"/>
        <v>2.6899521171578407</v>
      </c>
      <c r="U16" s="241">
        <f t="shared" ca="1" si="13"/>
        <v>-91.989948327221967</v>
      </c>
      <c r="V16" s="241">
        <f t="shared" ca="1" si="13"/>
        <v>129.33112170257417</v>
      </c>
      <c r="W16" s="241">
        <f t="shared" ca="1" si="13"/>
        <v>-17.456083577948721</v>
      </c>
      <c r="X16" s="241">
        <f t="shared" ca="1" si="13"/>
        <v>17.667345131732347</v>
      </c>
      <c r="Y16" s="241">
        <f t="shared" ca="1" si="13"/>
        <v>-69.099521272842679</v>
      </c>
      <c r="Z16" s="241">
        <f t="shared" ca="1" si="13"/>
        <v>32.693794080934538</v>
      </c>
      <c r="AA16" s="241">
        <f t="shared" ca="1" si="14"/>
        <v>46.030325071716433</v>
      </c>
      <c r="AB16" s="241">
        <f t="shared" ca="1" si="14"/>
        <v>-48.811916950347786</v>
      </c>
      <c r="AC16" s="241">
        <f t="shared" ca="1" si="14"/>
        <v>42.086902065503487</v>
      </c>
      <c r="AD16" s="241">
        <f t="shared" ca="1" si="14"/>
        <v>-20.158201034714281</v>
      </c>
      <c r="AE16" s="241">
        <f t="shared" ca="1" si="14"/>
        <v>27.85035969222497</v>
      </c>
      <c r="AF16" s="241">
        <f t="shared" ca="1" si="14"/>
        <v>10.424210179299553</v>
      </c>
      <c r="AG16" s="241">
        <f t="shared" ca="1" si="14"/>
        <v>0.5282039417737745</v>
      </c>
      <c r="AH16" s="241">
        <f t="shared" ca="1" si="14"/>
        <v>-0.42178605920937801</v>
      </c>
      <c r="AI16" s="241">
        <f t="shared" ca="1" si="14"/>
        <v>11.346832540041378</v>
      </c>
      <c r="AJ16" s="241">
        <f t="shared" ca="1" si="14"/>
        <v>-3.7411921921711295</v>
      </c>
      <c r="AK16" s="241">
        <f t="shared" ca="1" si="14"/>
        <v>-11.682162110725795</v>
      </c>
      <c r="AL16" s="241">
        <f t="shared" ca="1" si="14"/>
        <v>-9.6397852280731193</v>
      </c>
      <c r="AM16" s="241">
        <f t="shared" ca="1" si="14"/>
        <v>-7.9806500130937748</v>
      </c>
      <c r="AN16" s="241">
        <f t="shared" ca="1" si="14"/>
        <v>7.666164245122939</v>
      </c>
      <c r="AP16" s="229">
        <v>500</v>
      </c>
      <c r="AQ16" s="229" t="s">
        <v>568</v>
      </c>
      <c r="AR16" s="242">
        <f t="shared" ref="AR16:BO16" ca="1" si="19">1574.2-556.01*BP16+71.23472*BP16^2+0.319781*BP16^3-0.8503463*BP16^4-0.005050998*BP16^5+0.00835720731*BP16^6</f>
        <v>3388.9047791960302</v>
      </c>
      <c r="AS16" s="242">
        <f t="shared" ca="1" si="19"/>
        <v>3391.1599282916322</v>
      </c>
      <c r="AT16" s="242">
        <f t="shared" ca="1" si="19"/>
        <v>3391.1599282916322</v>
      </c>
      <c r="AU16" s="242">
        <f t="shared" ca="1" si="19"/>
        <v>3393.4162818245422</v>
      </c>
      <c r="AV16" s="242">
        <f t="shared" ca="1" si="19"/>
        <v>3393.4162818245422</v>
      </c>
      <c r="AW16" s="242">
        <f t="shared" ca="1" si="19"/>
        <v>3395.6738402785923</v>
      </c>
      <c r="AX16" s="242">
        <f t="shared" ca="1" si="19"/>
        <v>3395.6738402785923</v>
      </c>
      <c r="AY16" s="242">
        <f t="shared" ca="1" si="19"/>
        <v>3397.9326041377544</v>
      </c>
      <c r="AZ16" s="242">
        <f t="shared" ca="1" si="19"/>
        <v>3397.9326041377544</v>
      </c>
      <c r="BA16" s="242">
        <f t="shared" ca="1" si="19"/>
        <v>3400.19257388612</v>
      </c>
      <c r="BB16" s="242">
        <f t="shared" ca="1" si="19"/>
        <v>3400.19257388612</v>
      </c>
      <c r="BC16" s="242">
        <f t="shared" ca="1" si="19"/>
        <v>3402.4537500079487</v>
      </c>
      <c r="BD16" s="242">
        <f t="shared" ca="1" si="19"/>
        <v>3402.4537500079487</v>
      </c>
      <c r="BE16" s="242">
        <f t="shared" ca="1" si="19"/>
        <v>3404.7161329876171</v>
      </c>
      <c r="BF16" s="242">
        <f t="shared" ca="1" si="19"/>
        <v>3404.7161329876171</v>
      </c>
      <c r="BG16" s="242">
        <f t="shared" ca="1" si="19"/>
        <v>3406.9797233096524</v>
      </c>
      <c r="BH16" s="242">
        <f t="shared" ca="1" si="19"/>
        <v>3406.9797233096524</v>
      </c>
      <c r="BI16" s="242">
        <f t="shared" ca="1" si="19"/>
        <v>3409.2445214587069</v>
      </c>
      <c r="BJ16" s="242">
        <f t="shared" ca="1" si="19"/>
        <v>3409.2445214587069</v>
      </c>
      <c r="BK16" s="242">
        <f t="shared" ca="1" si="19"/>
        <v>3411.5105279195996</v>
      </c>
      <c r="BL16" s="242">
        <f t="shared" ca="1" si="19"/>
        <v>3411.5105279195996</v>
      </c>
      <c r="BM16" s="242">
        <f t="shared" ca="1" si="19"/>
        <v>3413.7777431772483</v>
      </c>
      <c r="BN16" s="242">
        <f t="shared" ca="1" si="19"/>
        <v>3413.7777431772483</v>
      </c>
      <c r="BO16" s="242">
        <f t="shared" ca="1" si="19"/>
        <v>3416.046167716745</v>
      </c>
      <c r="BP16" s="243">
        <f t="shared" ref="BP16:CM16" ca="1" si="20">(Delta_t_Year-1000)/100</f>
        <v>10.232083333333332</v>
      </c>
      <c r="BQ16" s="243">
        <f t="shared" ca="1" si="20"/>
        <v>10.232916666666668</v>
      </c>
      <c r="BR16" s="243">
        <f t="shared" ca="1" si="20"/>
        <v>10.232916666666668</v>
      </c>
      <c r="BS16" s="243">
        <f t="shared" ca="1" si="20"/>
        <v>10.233750000000001</v>
      </c>
      <c r="BT16" s="243">
        <f t="shared" ca="1" si="20"/>
        <v>10.233750000000001</v>
      </c>
      <c r="BU16" s="243">
        <f t="shared" ca="1" si="20"/>
        <v>10.234583333333333</v>
      </c>
      <c r="BV16" s="243">
        <f t="shared" ca="1" si="20"/>
        <v>10.234583333333333</v>
      </c>
      <c r="BW16" s="243">
        <f t="shared" ca="1" si="20"/>
        <v>10.235416666666667</v>
      </c>
      <c r="BX16" s="243">
        <f t="shared" ca="1" si="20"/>
        <v>10.235416666666667</v>
      </c>
      <c r="BY16" s="243">
        <f t="shared" ca="1" si="20"/>
        <v>10.23625</v>
      </c>
      <c r="BZ16" s="243">
        <f t="shared" ca="1" si="20"/>
        <v>10.23625</v>
      </c>
      <c r="CA16" s="243">
        <f t="shared" ca="1" si="20"/>
        <v>10.237083333333333</v>
      </c>
      <c r="CB16" s="243">
        <f t="shared" ca="1" si="20"/>
        <v>10.237083333333333</v>
      </c>
      <c r="CC16" s="243">
        <f t="shared" ca="1" si="20"/>
        <v>10.237916666666667</v>
      </c>
      <c r="CD16" s="243">
        <f t="shared" ca="1" si="20"/>
        <v>10.237916666666667</v>
      </c>
      <c r="CE16" s="243">
        <f t="shared" ca="1" si="20"/>
        <v>10.23875</v>
      </c>
      <c r="CF16" s="243">
        <f t="shared" ca="1" si="20"/>
        <v>10.23875</v>
      </c>
      <c r="CG16" s="243">
        <f t="shared" ca="1" si="20"/>
        <v>10.239583333333332</v>
      </c>
      <c r="CH16" s="243">
        <f t="shared" ca="1" si="20"/>
        <v>10.239583333333332</v>
      </c>
      <c r="CI16" s="243">
        <f t="shared" ca="1" si="20"/>
        <v>10.240416666666668</v>
      </c>
      <c r="CJ16" s="243">
        <f t="shared" ca="1" si="20"/>
        <v>10.240416666666668</v>
      </c>
      <c r="CK16" s="243">
        <f t="shared" ca="1" si="20"/>
        <v>10.241250000000001</v>
      </c>
      <c r="CL16" s="243">
        <f t="shared" ca="1" si="20"/>
        <v>10.241250000000001</v>
      </c>
      <c r="CM16" s="243">
        <f t="shared" ca="1" si="20"/>
        <v>10.242083333333333</v>
      </c>
      <c r="CN16" s="244"/>
      <c r="CO16" s="467"/>
      <c r="CP16" s="467"/>
      <c r="CQ16" s="467"/>
      <c r="CR16" s="467"/>
      <c r="CS16" s="467"/>
      <c r="CT16" s="467"/>
      <c r="CU16" s="467"/>
      <c r="CV16" s="467"/>
      <c r="CW16" s="467"/>
      <c r="CX16" s="467"/>
      <c r="CY16" s="467"/>
      <c r="CZ16" s="467"/>
      <c r="DA16" s="467"/>
      <c r="DB16" s="467"/>
      <c r="DC16" s="467"/>
      <c r="DD16" s="467"/>
    </row>
    <row r="17" spans="2:108" ht="40.35" customHeight="1" x14ac:dyDescent="0.1">
      <c r="B17" s="231"/>
      <c r="D17" s="192" t="str">
        <f t="shared" si="0"/>
        <v>立冬</v>
      </c>
      <c r="E17" s="193">
        <f t="shared" ca="1" si="1"/>
        <v>45238.024621484336</v>
      </c>
      <c r="F17" s="232"/>
      <c r="G17" s="232"/>
      <c r="H17" s="233" t="s">
        <v>44</v>
      </c>
      <c r="I17" s="234">
        <f t="shared" ca="1" si="5"/>
        <v>2.1233095381319549</v>
      </c>
      <c r="J17" s="235">
        <f t="shared" ca="1" si="6"/>
        <v>121.76484053096307</v>
      </c>
      <c r="K17" s="236">
        <f t="shared" ca="1" si="7"/>
        <v>2460070.2598259216</v>
      </c>
      <c r="L17" s="237">
        <f t="shared" ca="1" si="8"/>
        <v>2460070.5957739544</v>
      </c>
      <c r="M17" s="238">
        <f t="shared" ca="1" si="9"/>
        <v>3.4647463005634464E-3</v>
      </c>
      <c r="N17" s="238">
        <f t="shared" ca="1" si="10"/>
        <v>73.4440420345625</v>
      </c>
      <c r="O17" s="239">
        <f t="shared" ca="1" si="11"/>
        <v>45052.09577395441</v>
      </c>
      <c r="P17" s="240">
        <f t="shared" ca="1" si="12"/>
        <v>340.54985121461135</v>
      </c>
      <c r="Q17" s="241">
        <f t="shared" ca="1" si="13"/>
        <v>268.36286880742853</v>
      </c>
      <c r="R17" s="241">
        <f t="shared" ca="1" si="13"/>
        <v>-74.16814471221133</v>
      </c>
      <c r="S17" s="241">
        <f t="shared" ca="1" si="13"/>
        <v>193.73553105739865</v>
      </c>
      <c r="T17" s="241">
        <f t="shared" ca="1" si="13"/>
        <v>22.66508224978018</v>
      </c>
      <c r="U17" s="241">
        <f t="shared" ca="1" si="13"/>
        <v>-128.02109251893694</v>
      </c>
      <c r="V17" s="241">
        <f t="shared" ca="1" si="13"/>
        <v>120.60621652841724</v>
      </c>
      <c r="W17" s="241">
        <f t="shared" ca="1" si="13"/>
        <v>-50.455172844610004</v>
      </c>
      <c r="X17" s="241">
        <f t="shared" ca="1" si="13"/>
        <v>19.269914899772477</v>
      </c>
      <c r="Y17" s="241">
        <f t="shared" ca="1" si="13"/>
        <v>-68.20153017780234</v>
      </c>
      <c r="Z17" s="241">
        <f t="shared" ca="1" si="13"/>
        <v>19.908139183715345</v>
      </c>
      <c r="AA17" s="241">
        <f t="shared" ca="1" si="14"/>
        <v>46.057157652412982</v>
      </c>
      <c r="AB17" s="241">
        <f t="shared" ca="1" si="14"/>
        <v>-48.622885602049209</v>
      </c>
      <c r="AC17" s="241">
        <f t="shared" ca="1" si="14"/>
        <v>37.582872133312847</v>
      </c>
      <c r="AD17" s="241">
        <f t="shared" ca="1" si="14"/>
        <v>-28.628680676905745</v>
      </c>
      <c r="AE17" s="241">
        <f t="shared" ca="1" si="14"/>
        <v>27.570761686849387</v>
      </c>
      <c r="AF17" s="241">
        <f t="shared" ca="1" si="14"/>
        <v>2.1517521320133239</v>
      </c>
      <c r="AG17" s="241">
        <f t="shared" ca="1" si="14"/>
        <v>1.0990838931458953</v>
      </c>
      <c r="AH17" s="241">
        <f t="shared" ca="1" si="14"/>
        <v>-7.5277396276474153</v>
      </c>
      <c r="AI17" s="241">
        <f t="shared" ca="1" si="14"/>
        <v>12.926532949179506</v>
      </c>
      <c r="AJ17" s="241">
        <f t="shared" ca="1" si="14"/>
        <v>-2.4971184228521714</v>
      </c>
      <c r="AK17" s="241">
        <f t="shared" ca="1" si="14"/>
        <v>-11.999870846884871</v>
      </c>
      <c r="AL17" s="241">
        <f t="shared" ca="1" si="14"/>
        <v>-11.13649670050037</v>
      </c>
      <c r="AM17" s="241">
        <f t="shared" ca="1" si="14"/>
        <v>-8.017794400145446</v>
      </c>
      <c r="AN17" s="241">
        <f t="shared" ca="1" si="14"/>
        <v>7.8904645717308046</v>
      </c>
      <c r="AP17" s="229">
        <v>1600</v>
      </c>
      <c r="AQ17" s="229" t="s">
        <v>569</v>
      </c>
      <c r="AR17" s="242">
        <f t="shared" ref="AR17:BO17" ca="1" si="21">120-0.9808*BP17-0.01532*BP17^2+BP17^3/7129</f>
        <v>7593.4905361865531</v>
      </c>
      <c r="AS17" s="242">
        <f t="shared" ca="1" si="21"/>
        <v>7598.6102115152225</v>
      </c>
      <c r="AT17" s="242">
        <f t="shared" ca="1" si="21"/>
        <v>7598.6102115152225</v>
      </c>
      <c r="AU17" s="242">
        <f t="shared" ca="1" si="21"/>
        <v>7603.7321480670489</v>
      </c>
      <c r="AV17" s="242">
        <f t="shared" ca="1" si="21"/>
        <v>7603.7321480670489</v>
      </c>
      <c r="AW17" s="242">
        <f t="shared" ca="1" si="21"/>
        <v>7608.8563463291057</v>
      </c>
      <c r="AX17" s="242">
        <f t="shared" ca="1" si="21"/>
        <v>7608.8563463291057</v>
      </c>
      <c r="AY17" s="242">
        <f t="shared" ca="1" si="21"/>
        <v>7613.9828067884609</v>
      </c>
      <c r="AZ17" s="242">
        <f t="shared" ca="1" si="21"/>
        <v>7613.9828067884609</v>
      </c>
      <c r="BA17" s="242">
        <f t="shared" ca="1" si="21"/>
        <v>7619.1115299321427</v>
      </c>
      <c r="BB17" s="242">
        <f t="shared" ca="1" si="21"/>
        <v>7619.1115299321427</v>
      </c>
      <c r="BC17" s="242">
        <f t="shared" ca="1" si="21"/>
        <v>7624.2425162472209</v>
      </c>
      <c r="BD17" s="242">
        <f t="shared" ca="1" si="21"/>
        <v>7624.2425162472209</v>
      </c>
      <c r="BE17" s="242">
        <f t="shared" ca="1" si="21"/>
        <v>7629.3757662207681</v>
      </c>
      <c r="BF17" s="242">
        <f t="shared" ca="1" si="21"/>
        <v>7629.3757662207681</v>
      </c>
      <c r="BG17" s="242">
        <f t="shared" ca="1" si="21"/>
        <v>7634.5112803398088</v>
      </c>
      <c r="BH17" s="242">
        <f t="shared" ca="1" si="21"/>
        <v>7634.5112803398088</v>
      </c>
      <c r="BI17" s="242">
        <f t="shared" ca="1" si="21"/>
        <v>7639.6490590914145</v>
      </c>
      <c r="BJ17" s="242">
        <f t="shared" ca="1" si="21"/>
        <v>7639.6490590914145</v>
      </c>
      <c r="BK17" s="242">
        <f t="shared" ca="1" si="21"/>
        <v>7644.7891029626553</v>
      </c>
      <c r="BL17" s="242">
        <f t="shared" ca="1" si="21"/>
        <v>7644.7891029626553</v>
      </c>
      <c r="BM17" s="242">
        <f t="shared" ca="1" si="21"/>
        <v>7649.9314124405591</v>
      </c>
      <c r="BN17" s="242">
        <f t="shared" ca="1" si="21"/>
        <v>7649.9314124405591</v>
      </c>
      <c r="BO17" s="242">
        <f t="shared" ca="1" si="21"/>
        <v>7655.075988012195</v>
      </c>
      <c r="BP17" s="243">
        <f t="shared" ref="BP17:CM17" ca="1" si="22">Delta_t_Year-1600</f>
        <v>423.20833333333326</v>
      </c>
      <c r="BQ17" s="243">
        <f t="shared" ca="1" si="22"/>
        <v>423.29166666666674</v>
      </c>
      <c r="BR17" s="243">
        <f t="shared" ca="1" si="22"/>
        <v>423.29166666666674</v>
      </c>
      <c r="BS17" s="243">
        <f t="shared" ca="1" si="22"/>
        <v>423.375</v>
      </c>
      <c r="BT17" s="243">
        <f t="shared" ca="1" si="22"/>
        <v>423.375</v>
      </c>
      <c r="BU17" s="243">
        <f t="shared" ca="1" si="22"/>
        <v>423.45833333333326</v>
      </c>
      <c r="BV17" s="243">
        <f t="shared" ca="1" si="22"/>
        <v>423.45833333333326</v>
      </c>
      <c r="BW17" s="243">
        <f t="shared" ca="1" si="22"/>
        <v>423.54166666666674</v>
      </c>
      <c r="BX17" s="243">
        <f t="shared" ca="1" si="22"/>
        <v>423.54166666666674</v>
      </c>
      <c r="BY17" s="243">
        <f t="shared" ca="1" si="22"/>
        <v>423.625</v>
      </c>
      <c r="BZ17" s="243">
        <f t="shared" ca="1" si="22"/>
        <v>423.625</v>
      </c>
      <c r="CA17" s="243">
        <f t="shared" ca="1" si="22"/>
        <v>423.70833333333326</v>
      </c>
      <c r="CB17" s="243">
        <f t="shared" ca="1" si="22"/>
        <v>423.70833333333326</v>
      </c>
      <c r="CC17" s="243">
        <f t="shared" ca="1" si="22"/>
        <v>423.79166666666674</v>
      </c>
      <c r="CD17" s="243">
        <f t="shared" ca="1" si="22"/>
        <v>423.79166666666674</v>
      </c>
      <c r="CE17" s="243">
        <f t="shared" ca="1" si="22"/>
        <v>423.875</v>
      </c>
      <c r="CF17" s="243">
        <f t="shared" ca="1" si="22"/>
        <v>423.875</v>
      </c>
      <c r="CG17" s="243">
        <f t="shared" ca="1" si="22"/>
        <v>423.95833333333326</v>
      </c>
      <c r="CH17" s="243">
        <f t="shared" ca="1" si="22"/>
        <v>423.95833333333326</v>
      </c>
      <c r="CI17" s="243">
        <f t="shared" ca="1" si="22"/>
        <v>424.04166666666674</v>
      </c>
      <c r="CJ17" s="243">
        <f t="shared" ca="1" si="22"/>
        <v>424.04166666666674</v>
      </c>
      <c r="CK17" s="243">
        <f t="shared" ca="1" si="22"/>
        <v>424.125</v>
      </c>
      <c r="CL17" s="243">
        <f t="shared" ca="1" si="22"/>
        <v>424.125</v>
      </c>
      <c r="CM17" s="243">
        <f t="shared" ca="1" si="22"/>
        <v>424.20833333333326</v>
      </c>
      <c r="CN17" s="244"/>
      <c r="CO17" s="199" t="s">
        <v>570</v>
      </c>
    </row>
    <row r="18" spans="2:108" ht="40.35" customHeight="1" x14ac:dyDescent="0.1">
      <c r="B18" s="231"/>
      <c r="D18" s="192" t="str">
        <f t="shared" si="0"/>
        <v>小雪</v>
      </c>
      <c r="E18" s="193">
        <f t="shared" ca="1" si="1"/>
        <v>45252.91844353592</v>
      </c>
      <c r="F18" s="232"/>
      <c r="G18" s="232"/>
      <c r="H18" s="233" t="s">
        <v>571</v>
      </c>
      <c r="I18" s="234">
        <f t="shared" ca="1" si="5"/>
        <v>2.385108925931104</v>
      </c>
      <c r="J18" s="235">
        <f t="shared" ca="1" si="6"/>
        <v>137.30195847797182</v>
      </c>
      <c r="K18" s="236">
        <f t="shared" ca="1" si="7"/>
        <v>2460085.7969438685</v>
      </c>
      <c r="L18" s="237">
        <f t="shared" ca="1" si="8"/>
        <v>2460086.1306986646</v>
      </c>
      <c r="M18" s="238">
        <f t="shared" ca="1" si="9"/>
        <v>1.271509536249838E-3</v>
      </c>
      <c r="N18" s="238">
        <f t="shared" ca="1" si="10"/>
        <v>73.4440420345625</v>
      </c>
      <c r="O18" s="239">
        <f t="shared" ca="1" si="11"/>
        <v>45067.63069866458</v>
      </c>
      <c r="P18" s="240">
        <f t="shared" ca="1" si="12"/>
        <v>124.12748614063887</v>
      </c>
      <c r="Q18" s="241">
        <f t="shared" ca="1" si="13"/>
        <v>262.53426278771582</v>
      </c>
      <c r="R18" s="241">
        <f t="shared" ca="1" si="13"/>
        <v>-117.74503271839016</v>
      </c>
      <c r="S18" s="241">
        <f t="shared" ca="1" si="13"/>
        <v>193.74234340145739</v>
      </c>
      <c r="T18" s="241">
        <f t="shared" ca="1" si="13"/>
        <v>-51.882393999643497</v>
      </c>
      <c r="U18" s="241">
        <f t="shared" ca="1" si="13"/>
        <v>-150.18554523634049</v>
      </c>
      <c r="V18" s="241">
        <f t="shared" ca="1" si="13"/>
        <v>108.46593951057741</v>
      </c>
      <c r="W18" s="241">
        <f t="shared" ca="1" si="13"/>
        <v>-71.878260286791331</v>
      </c>
      <c r="X18" s="241">
        <f t="shared" ca="1" si="13"/>
        <v>20.874742020015347</v>
      </c>
      <c r="Y18" s="241">
        <f t="shared" ca="1" si="13"/>
        <v>-66.991030250689846</v>
      </c>
      <c r="Z18" s="241">
        <f t="shared" ca="1" si="13"/>
        <v>5.7922703087220349</v>
      </c>
      <c r="AA18" s="241">
        <f t="shared" ca="1" si="14"/>
        <v>46.084133829184807</v>
      </c>
      <c r="AB18" s="241">
        <f t="shared" ca="1" si="14"/>
        <v>-48.418543044904517</v>
      </c>
      <c r="AC18" s="241">
        <f t="shared" ca="1" si="14"/>
        <v>31.204512946651032</v>
      </c>
      <c r="AD18" s="241">
        <f t="shared" ca="1" si="14"/>
        <v>-35.603127449367427</v>
      </c>
      <c r="AE18" s="241">
        <f t="shared" ca="1" si="14"/>
        <v>27.259178768265521</v>
      </c>
      <c r="AF18" s="241">
        <f t="shared" ca="1" si="14"/>
        <v>-6.7053951053591332</v>
      </c>
      <c r="AG18" s="241">
        <f t="shared" ca="1" si="14"/>
        <v>1.6729827764222502</v>
      </c>
      <c r="AH18" s="241">
        <f t="shared" ca="1" si="14"/>
        <v>-13.077498089796618</v>
      </c>
      <c r="AI18" s="241">
        <f t="shared" ca="1" si="14"/>
        <v>13.819504043174803</v>
      </c>
      <c r="AJ18" s="241">
        <f t="shared" ca="1" si="14"/>
        <v>-1.2146471433906241</v>
      </c>
      <c r="AK18" s="241">
        <f t="shared" ca="1" si="14"/>
        <v>-11.651156281511694</v>
      </c>
      <c r="AL18" s="241">
        <f t="shared" ca="1" si="14"/>
        <v>-11.908634246538339</v>
      </c>
      <c r="AM18" s="241">
        <f t="shared" ca="1" si="14"/>
        <v>-8.0545594355511785</v>
      </c>
      <c r="AN18" s="241">
        <f t="shared" ca="1" si="14"/>
        <v>7.9934390367274117</v>
      </c>
      <c r="AP18" s="229">
        <v>1700</v>
      </c>
      <c r="AQ18" s="229" t="s">
        <v>572</v>
      </c>
      <c r="AR18" s="242">
        <f t="shared" ref="AR18:BO18" ca="1" si="23">8.83+0.1603*BP18-0.0059285*BP18^2+0.00013336*BP18^3-BP18^4/1174000</f>
        <v>-5351.2419814370642</v>
      </c>
      <c r="AS18" s="242">
        <f t="shared" ca="1" si="23"/>
        <v>-5357.6544745748743</v>
      </c>
      <c r="AT18" s="242">
        <f t="shared" ca="1" si="23"/>
        <v>-5357.6544745748743</v>
      </c>
      <c r="AU18" s="242">
        <f t="shared" ca="1" si="23"/>
        <v>-5364.0726725317409</v>
      </c>
      <c r="AV18" s="242">
        <f t="shared" ca="1" si="23"/>
        <v>-5364.0726725317409</v>
      </c>
      <c r="AW18" s="242">
        <f t="shared" ca="1" si="23"/>
        <v>-5370.4965786697767</v>
      </c>
      <c r="AX18" s="242">
        <f t="shared" ca="1" si="23"/>
        <v>-5370.4965786697767</v>
      </c>
      <c r="AY18" s="242">
        <f t="shared" ca="1" si="23"/>
        <v>-5376.9261963521003</v>
      </c>
      <c r="AZ18" s="242">
        <f t="shared" ca="1" si="23"/>
        <v>-5376.9261963521003</v>
      </c>
      <c r="BA18" s="242">
        <f t="shared" ca="1" si="23"/>
        <v>-5383.3615289427507</v>
      </c>
      <c r="BB18" s="242">
        <f t="shared" ca="1" si="23"/>
        <v>-5383.3615289427507</v>
      </c>
      <c r="BC18" s="242">
        <f t="shared" ca="1" si="23"/>
        <v>-5389.8025798068129</v>
      </c>
      <c r="BD18" s="242">
        <f t="shared" ca="1" si="23"/>
        <v>-5389.8025798068129</v>
      </c>
      <c r="BE18" s="242">
        <f t="shared" ca="1" si="23"/>
        <v>-5396.2493523103531</v>
      </c>
      <c r="BF18" s="242">
        <f t="shared" ca="1" si="23"/>
        <v>-5396.2493523103531</v>
      </c>
      <c r="BG18" s="242">
        <f t="shared" ca="1" si="23"/>
        <v>-5402.7018498203706</v>
      </c>
      <c r="BH18" s="242">
        <f t="shared" ca="1" si="23"/>
        <v>-5402.7018498203706</v>
      </c>
      <c r="BI18" s="242">
        <f t="shared" ca="1" si="23"/>
        <v>-5409.1600757049109</v>
      </c>
      <c r="BJ18" s="242">
        <f t="shared" ca="1" si="23"/>
        <v>-5409.1600757049109</v>
      </c>
      <c r="BK18" s="242">
        <f t="shared" ca="1" si="23"/>
        <v>-5415.6240333329915</v>
      </c>
      <c r="BL18" s="242">
        <f t="shared" ca="1" si="23"/>
        <v>-5415.6240333329915</v>
      </c>
      <c r="BM18" s="242">
        <f t="shared" ca="1" si="23"/>
        <v>-5422.0937260745795</v>
      </c>
      <c r="BN18" s="242">
        <f t="shared" ca="1" si="23"/>
        <v>-5422.0937260745795</v>
      </c>
      <c r="BO18" s="242">
        <f t="shared" ca="1" si="23"/>
        <v>-5428.5691573006643</v>
      </c>
      <c r="BP18" s="243">
        <f t="shared" ref="BP18:CM18" ca="1" si="24">Delta_t_Year-1700</f>
        <v>323.20833333333326</v>
      </c>
      <c r="BQ18" s="243">
        <f t="shared" ca="1" si="24"/>
        <v>323.29166666666674</v>
      </c>
      <c r="BR18" s="243">
        <f t="shared" ca="1" si="24"/>
        <v>323.29166666666674</v>
      </c>
      <c r="BS18" s="243">
        <f t="shared" ca="1" si="24"/>
        <v>323.375</v>
      </c>
      <c r="BT18" s="243">
        <f t="shared" ca="1" si="24"/>
        <v>323.375</v>
      </c>
      <c r="BU18" s="243">
        <f t="shared" ca="1" si="24"/>
        <v>323.45833333333326</v>
      </c>
      <c r="BV18" s="243">
        <f t="shared" ca="1" si="24"/>
        <v>323.45833333333326</v>
      </c>
      <c r="BW18" s="243">
        <f t="shared" ca="1" si="24"/>
        <v>323.54166666666674</v>
      </c>
      <c r="BX18" s="243">
        <f t="shared" ca="1" si="24"/>
        <v>323.54166666666674</v>
      </c>
      <c r="BY18" s="243">
        <f t="shared" ca="1" si="24"/>
        <v>323.625</v>
      </c>
      <c r="BZ18" s="243">
        <f t="shared" ca="1" si="24"/>
        <v>323.625</v>
      </c>
      <c r="CA18" s="243">
        <f t="shared" ca="1" si="24"/>
        <v>323.70833333333326</v>
      </c>
      <c r="CB18" s="243">
        <f t="shared" ca="1" si="24"/>
        <v>323.70833333333326</v>
      </c>
      <c r="CC18" s="243">
        <f t="shared" ca="1" si="24"/>
        <v>323.79166666666674</v>
      </c>
      <c r="CD18" s="243">
        <f t="shared" ca="1" si="24"/>
        <v>323.79166666666674</v>
      </c>
      <c r="CE18" s="243">
        <f t="shared" ca="1" si="24"/>
        <v>323.875</v>
      </c>
      <c r="CF18" s="243">
        <f t="shared" ca="1" si="24"/>
        <v>323.875</v>
      </c>
      <c r="CG18" s="243">
        <f t="shared" ca="1" si="24"/>
        <v>323.95833333333326</v>
      </c>
      <c r="CH18" s="243">
        <f t="shared" ca="1" si="24"/>
        <v>323.95833333333326</v>
      </c>
      <c r="CI18" s="243">
        <f t="shared" ca="1" si="24"/>
        <v>324.04166666666674</v>
      </c>
      <c r="CJ18" s="243">
        <f t="shared" ca="1" si="24"/>
        <v>324.04166666666674</v>
      </c>
      <c r="CK18" s="243">
        <f t="shared" ca="1" si="24"/>
        <v>324.125</v>
      </c>
      <c r="CL18" s="243">
        <f t="shared" ca="1" si="24"/>
        <v>324.125</v>
      </c>
      <c r="CM18" s="243">
        <f t="shared" ca="1" si="24"/>
        <v>324.20833333333326</v>
      </c>
      <c r="CN18" s="244"/>
    </row>
    <row r="19" spans="2:108" ht="40.35" customHeight="1" x14ac:dyDescent="0.1">
      <c r="B19" s="231"/>
      <c r="D19" s="192" t="str">
        <f t="shared" si="0"/>
        <v>大雪</v>
      </c>
      <c r="E19" s="193">
        <f t="shared" ca="1" si="1"/>
        <v>45267.731099365279</v>
      </c>
      <c r="F19" s="232"/>
      <c r="G19" s="232"/>
      <c r="H19" s="233" t="s">
        <v>573</v>
      </c>
      <c r="I19" s="234">
        <f t="shared" ca="1" si="5"/>
        <v>2.646908313730254</v>
      </c>
      <c r="J19" s="235">
        <f t="shared" ca="1" si="6"/>
        <v>152.93317865483667</v>
      </c>
      <c r="K19" s="236">
        <f t="shared" ca="1" si="7"/>
        <v>2460101.4281640453</v>
      </c>
      <c r="L19" s="237">
        <f t="shared" ca="1" si="8"/>
        <v>2460101.7622886482</v>
      </c>
      <c r="M19" s="238">
        <f t="shared" ca="1" si="9"/>
        <v>1.6418776133313841E-3</v>
      </c>
      <c r="N19" s="238">
        <f t="shared" ca="1" si="10"/>
        <v>73.492554698840237</v>
      </c>
      <c r="O19" s="239">
        <f t="shared" ca="1" si="11"/>
        <v>45083.262288648169</v>
      </c>
      <c r="P19" s="240">
        <f t="shared" ca="1" si="12"/>
        <v>159.45997023493737</v>
      </c>
      <c r="Q19" s="241">
        <f t="shared" ca="1" si="13"/>
        <v>256.61573115456252</v>
      </c>
      <c r="R19" s="241">
        <f t="shared" ca="1" si="13"/>
        <v>-154.49979537488267</v>
      </c>
      <c r="S19" s="241">
        <f t="shared" ca="1" si="13"/>
        <v>193.74919261408598</v>
      </c>
      <c r="T19" s="241">
        <f t="shared" ca="1" si="13"/>
        <v>82.963469966989891</v>
      </c>
      <c r="U19" s="241">
        <f t="shared" ca="1" si="13"/>
        <v>-155.69530564558255</v>
      </c>
      <c r="V19" s="241">
        <f t="shared" ca="1" si="13"/>
        <v>93.200783014465699</v>
      </c>
      <c r="W19" s="241">
        <f t="shared" ca="1" si="13"/>
        <v>-76.392918680484073</v>
      </c>
      <c r="X19" s="241">
        <f t="shared" ca="1" si="13"/>
        <v>22.478593201764156</v>
      </c>
      <c r="Y19" s="241">
        <f t="shared" ca="1" si="13"/>
        <v>-65.468981728929592</v>
      </c>
      <c r="Z19" s="241">
        <f t="shared" ca="1" si="13"/>
        <v>-8.7716312010918287</v>
      </c>
      <c r="AA19" s="241">
        <f t="shared" ca="1" si="14"/>
        <v>46.111215192837108</v>
      </c>
      <c r="AB19" s="241">
        <f t="shared" ca="1" si="14"/>
        <v>-48.198948130072615</v>
      </c>
      <c r="AC19" s="241">
        <f t="shared" ca="1" si="14"/>
        <v>23.239889400931993</v>
      </c>
      <c r="AD19" s="241">
        <f t="shared" ca="1" si="14"/>
        <v>-40.656224125713685</v>
      </c>
      <c r="AE19" s="241">
        <f t="shared" ca="1" si="14"/>
        <v>26.915775896389547</v>
      </c>
      <c r="AF19" s="241">
        <f t="shared" ca="1" si="14"/>
        <v>-13.945461853721705</v>
      </c>
      <c r="AG19" s="241">
        <f t="shared" ca="1" si="14"/>
        <v>2.2484193457268651</v>
      </c>
      <c r="AH19" s="241">
        <f t="shared" ca="1" si="14"/>
        <v>-15.833854886767796</v>
      </c>
      <c r="AI19" s="241">
        <f t="shared" ca="1" si="14"/>
        <v>13.961621987474476</v>
      </c>
      <c r="AJ19" s="241">
        <f t="shared" ca="1" si="14"/>
        <v>8.990446399329631E-2</v>
      </c>
      <c r="AK19" s="241">
        <f t="shared" ca="1" si="14"/>
        <v>-10.642722078602063</v>
      </c>
      <c r="AL19" s="241">
        <f t="shared" ca="1" si="14"/>
        <v>-11.888733779911568</v>
      </c>
      <c r="AM19" s="241">
        <f t="shared" ca="1" si="14"/>
        <v>-8.0908780023225031</v>
      </c>
      <c r="AN19" s="241">
        <f t="shared" ca="1" si="14"/>
        <v>7.9708294837984157</v>
      </c>
      <c r="AP19" s="229">
        <v>1800</v>
      </c>
      <c r="AQ19" s="229" t="s">
        <v>574</v>
      </c>
      <c r="AR19" s="242">
        <f t="shared" ref="AR19:BO19" ca="1" si="25">13.72-0.332447*BP19+0.0068612*BP19^2+0.0041116*BP19^3-0.00037436*BP19^4</f>
        <v>-883241.63601412228</v>
      </c>
      <c r="AS19" s="242">
        <f t="shared" ca="1" si="25"/>
        <v>-884578.6668152106</v>
      </c>
      <c r="AT19" s="242">
        <f t="shared" ca="1" si="25"/>
        <v>-884578.6668152106</v>
      </c>
      <c r="AU19" s="242">
        <f t="shared" ca="1" si="25"/>
        <v>-885917.2147073102</v>
      </c>
      <c r="AV19" s="242">
        <f t="shared" ca="1" si="25"/>
        <v>-885917.2147073102</v>
      </c>
      <c r="AW19" s="242">
        <f t="shared" ca="1" si="25"/>
        <v>-887257.28083735716</v>
      </c>
      <c r="AX19" s="242">
        <f t="shared" ca="1" si="25"/>
        <v>-887257.28083735716</v>
      </c>
      <c r="AY19" s="242">
        <f t="shared" ca="1" si="25"/>
        <v>-888598.86635272112</v>
      </c>
      <c r="AZ19" s="242">
        <f t="shared" ca="1" si="25"/>
        <v>-888598.86635272112</v>
      </c>
      <c r="BA19" s="242">
        <f t="shared" ca="1" si="25"/>
        <v>-889941.97240119451</v>
      </c>
      <c r="BB19" s="242">
        <f t="shared" ca="1" si="25"/>
        <v>-889941.97240119451</v>
      </c>
      <c r="BC19" s="242">
        <f t="shared" ca="1" si="25"/>
        <v>-891286.6001310139</v>
      </c>
      <c r="BD19" s="242">
        <f t="shared" ca="1" si="25"/>
        <v>-891286.6001310139</v>
      </c>
      <c r="BE19" s="242">
        <f t="shared" ca="1" si="25"/>
        <v>-892632.75069084868</v>
      </c>
      <c r="BF19" s="242">
        <f t="shared" ca="1" si="25"/>
        <v>-892632.75069084868</v>
      </c>
      <c r="BG19" s="242">
        <f t="shared" ca="1" si="25"/>
        <v>-893980.42522979074</v>
      </c>
      <c r="BH19" s="242">
        <f t="shared" ca="1" si="25"/>
        <v>-893980.42522979074</v>
      </c>
      <c r="BI19" s="242">
        <f t="shared" ca="1" si="25"/>
        <v>-895329.6248973764</v>
      </c>
      <c r="BJ19" s="242">
        <f t="shared" ca="1" si="25"/>
        <v>-895329.6248973764</v>
      </c>
      <c r="BK19" s="242">
        <f t="shared" ca="1" si="25"/>
        <v>-896680.35084357567</v>
      </c>
      <c r="BL19" s="242">
        <f t="shared" ca="1" si="25"/>
        <v>-896680.35084357567</v>
      </c>
      <c r="BM19" s="242">
        <f t="shared" ca="1" si="25"/>
        <v>-898032.60421877971</v>
      </c>
      <c r="BN19" s="242">
        <f t="shared" ca="1" si="25"/>
        <v>-898032.60421877971</v>
      </c>
      <c r="BO19" s="242">
        <f t="shared" ca="1" si="25"/>
        <v>-899386.38617382525</v>
      </c>
      <c r="BP19" s="243">
        <f t="shared" ref="BP19:CM19" ca="1" si="26">Delta_t_Year-1800</f>
        <v>223.20833333333326</v>
      </c>
      <c r="BQ19" s="243">
        <f t="shared" ca="1" si="26"/>
        <v>223.29166666666674</v>
      </c>
      <c r="BR19" s="243">
        <f t="shared" ca="1" si="26"/>
        <v>223.29166666666674</v>
      </c>
      <c r="BS19" s="243">
        <f t="shared" ca="1" si="26"/>
        <v>223.375</v>
      </c>
      <c r="BT19" s="243">
        <f t="shared" ca="1" si="26"/>
        <v>223.375</v>
      </c>
      <c r="BU19" s="243">
        <f t="shared" ca="1" si="26"/>
        <v>223.45833333333326</v>
      </c>
      <c r="BV19" s="243">
        <f t="shared" ca="1" si="26"/>
        <v>223.45833333333326</v>
      </c>
      <c r="BW19" s="243">
        <f t="shared" ca="1" si="26"/>
        <v>223.54166666666674</v>
      </c>
      <c r="BX19" s="243">
        <f t="shared" ca="1" si="26"/>
        <v>223.54166666666674</v>
      </c>
      <c r="BY19" s="243">
        <f t="shared" ca="1" si="26"/>
        <v>223.625</v>
      </c>
      <c r="BZ19" s="243">
        <f t="shared" ca="1" si="26"/>
        <v>223.625</v>
      </c>
      <c r="CA19" s="243">
        <f t="shared" ca="1" si="26"/>
        <v>223.70833333333326</v>
      </c>
      <c r="CB19" s="243">
        <f t="shared" ca="1" si="26"/>
        <v>223.70833333333326</v>
      </c>
      <c r="CC19" s="243">
        <f t="shared" ca="1" si="26"/>
        <v>223.79166666666674</v>
      </c>
      <c r="CD19" s="243">
        <f t="shared" ca="1" si="26"/>
        <v>223.79166666666674</v>
      </c>
      <c r="CE19" s="243">
        <f t="shared" ca="1" si="26"/>
        <v>223.875</v>
      </c>
      <c r="CF19" s="243">
        <f t="shared" ca="1" si="26"/>
        <v>223.875</v>
      </c>
      <c r="CG19" s="243">
        <f t="shared" ca="1" si="26"/>
        <v>223.95833333333326</v>
      </c>
      <c r="CH19" s="243">
        <f t="shared" ca="1" si="26"/>
        <v>223.95833333333326</v>
      </c>
      <c r="CI19" s="243">
        <f t="shared" ca="1" si="26"/>
        <v>224.04166666666674</v>
      </c>
      <c r="CJ19" s="243">
        <f t="shared" ca="1" si="26"/>
        <v>224.04166666666674</v>
      </c>
      <c r="CK19" s="243">
        <f t="shared" ca="1" si="26"/>
        <v>224.125</v>
      </c>
      <c r="CL19" s="243">
        <f t="shared" ca="1" si="26"/>
        <v>224.125</v>
      </c>
      <c r="CM19" s="243">
        <f t="shared" ca="1" si="26"/>
        <v>224.20833333333326</v>
      </c>
      <c r="CN19" s="244"/>
    </row>
    <row r="20" spans="2:108" ht="40.35" customHeight="1" x14ac:dyDescent="0.1">
      <c r="B20" s="231"/>
      <c r="D20" s="192" t="str">
        <f t="shared" si="0"/>
        <v>冬至</v>
      </c>
      <c r="E20" s="193">
        <f t="shared" ca="1" si="1"/>
        <v>45282.477309463546</v>
      </c>
      <c r="F20" s="232"/>
      <c r="G20" s="232"/>
      <c r="H20" s="233" t="s">
        <v>47</v>
      </c>
      <c r="I20" s="234">
        <f t="shared" ca="1" si="5"/>
        <v>2.9087077015294032</v>
      </c>
      <c r="J20" s="235">
        <f t="shared" ca="1" si="6"/>
        <v>168.62998646128312</v>
      </c>
      <c r="K20" s="236">
        <f t="shared" ca="1" si="7"/>
        <v>2460117.1249718517</v>
      </c>
      <c r="L20" s="237">
        <f t="shared" ca="1" si="8"/>
        <v>2460117.4565789816</v>
      </c>
      <c r="M20" s="238">
        <f t="shared" ca="1" si="9"/>
        <v>-8.75595436791677E-4</v>
      </c>
      <c r="N20" s="238">
        <f t="shared" ca="1" si="10"/>
        <v>73.492554698840237</v>
      </c>
      <c r="O20" s="239">
        <f t="shared" ca="1" si="11"/>
        <v>45098.956578981597</v>
      </c>
      <c r="P20" s="240">
        <f t="shared" ca="1" si="12"/>
        <v>-84.772735706356443</v>
      </c>
      <c r="Q20" s="241">
        <f t="shared" ca="1" si="13"/>
        <v>250.61847372727848</v>
      </c>
      <c r="R20" s="241">
        <f t="shared" ca="1" si="13"/>
        <v>-182.0281580436766</v>
      </c>
      <c r="S20" s="241">
        <f t="shared" ca="1" si="13"/>
        <v>193.75606613328566</v>
      </c>
      <c r="T20" s="241">
        <f t="shared" ca="1" si="13"/>
        <v>-113.23562640799919</v>
      </c>
      <c r="U20" s="241">
        <f t="shared" ca="1" si="13"/>
        <v>-143.66628224243246</v>
      </c>
      <c r="V20" s="241">
        <f t="shared" ca="1" si="13"/>
        <v>75.225220388433854</v>
      </c>
      <c r="W20" s="241">
        <f t="shared" ca="1" si="13"/>
        <v>-62.661298163814095</v>
      </c>
      <c r="X20" s="241">
        <f t="shared" ca="1" si="13"/>
        <v>24.077549582788109</v>
      </c>
      <c r="Y20" s="241">
        <f t="shared" ca="1" si="13"/>
        <v>-63.640464048644404</v>
      </c>
      <c r="Z20" s="241">
        <f t="shared" ca="1" si="13"/>
        <v>-22.838444703255195</v>
      </c>
      <c r="AA20" s="241">
        <f t="shared" ca="1" si="14"/>
        <v>46.138351412855172</v>
      </c>
      <c r="AB20" s="241">
        <f t="shared" ca="1" si="14"/>
        <v>-47.964350290838269</v>
      </c>
      <c r="AC20" s="241">
        <f t="shared" ca="1" si="14"/>
        <v>14.078574532385364</v>
      </c>
      <c r="AD20" s="241">
        <f t="shared" ca="1" si="14"/>
        <v>-43.467872178501459</v>
      </c>
      <c r="AE20" s="241">
        <f t="shared" ca="1" si="14"/>
        <v>26.541100179077855</v>
      </c>
      <c r="AF20" s="241">
        <f t="shared" ca="1" si="14"/>
        <v>-17.716323276668909</v>
      </c>
      <c r="AG20" s="241">
        <f t="shared" ca="1" si="14"/>
        <v>2.8236421076400577</v>
      </c>
      <c r="AH20" s="241">
        <f t="shared" ca="1" si="14"/>
        <v>-15.149545080241673</v>
      </c>
      <c r="AI20" s="241">
        <f t="shared" ca="1" si="14"/>
        <v>13.333274419418434</v>
      </c>
      <c r="AJ20" s="241">
        <f t="shared" ca="1" si="14"/>
        <v>1.39883652835376</v>
      </c>
      <c r="AK20" s="241">
        <f t="shared" ca="1" si="14"/>
        <v>-9.023818511328404</v>
      </c>
      <c r="AL20" s="241">
        <f t="shared" ca="1" si="14"/>
        <v>-11.066074962547683</v>
      </c>
      <c r="AM20" s="241">
        <f t="shared" ca="1" si="14"/>
        <v>-8.1266705257820835</v>
      </c>
      <c r="AN20" s="241">
        <f t="shared" ca="1" si="14"/>
        <v>7.8211037178572749</v>
      </c>
      <c r="AP20" s="229">
        <v>1860</v>
      </c>
      <c r="AQ20" s="229" t="s">
        <v>575</v>
      </c>
      <c r="AR20" s="242">
        <f t="shared" ref="AR20:BO20" ca="1" si="27">7.62+0.5737*BP20-0.251754*BP20^2+0.01680668*BP20^3-0.0004473624*BP20^4+BP20^5/233174</f>
        <v>245672.59532737778</v>
      </c>
      <c r="AS20" s="242">
        <f t="shared" ca="1" si="27"/>
        <v>246398.16448123765</v>
      </c>
      <c r="AT20" s="242">
        <f t="shared" ca="1" si="27"/>
        <v>246398.16448123765</v>
      </c>
      <c r="AU20" s="242">
        <f t="shared" ca="1" si="27"/>
        <v>247125.4439022463</v>
      </c>
      <c r="AV20" s="242">
        <f t="shared" ca="1" si="27"/>
        <v>247125.4439022463</v>
      </c>
      <c r="AW20" s="242">
        <f t="shared" ca="1" si="27"/>
        <v>247854.43660653301</v>
      </c>
      <c r="AX20" s="242">
        <f t="shared" ca="1" si="27"/>
        <v>247854.43660653301</v>
      </c>
      <c r="AY20" s="242">
        <f t="shared" ca="1" si="27"/>
        <v>248585.1456137636</v>
      </c>
      <c r="AZ20" s="242">
        <f t="shared" ca="1" si="27"/>
        <v>248585.1456137636</v>
      </c>
      <c r="BA20" s="242">
        <f t="shared" ca="1" si="27"/>
        <v>249317.57394713705</v>
      </c>
      <c r="BB20" s="242">
        <f t="shared" ca="1" si="27"/>
        <v>249317.57394713705</v>
      </c>
      <c r="BC20" s="242">
        <f t="shared" ca="1" si="27"/>
        <v>250051.72463339963</v>
      </c>
      <c r="BD20" s="242">
        <f t="shared" ca="1" si="27"/>
        <v>250051.72463339963</v>
      </c>
      <c r="BE20" s="242">
        <f t="shared" ca="1" si="27"/>
        <v>250787.60070284037</v>
      </c>
      <c r="BF20" s="242">
        <f t="shared" ca="1" si="27"/>
        <v>250787.60070284037</v>
      </c>
      <c r="BG20" s="242">
        <f t="shared" ca="1" si="27"/>
        <v>251525.20518928787</v>
      </c>
      <c r="BH20" s="242">
        <f t="shared" ca="1" si="27"/>
        <v>251525.20518928787</v>
      </c>
      <c r="BI20" s="242">
        <f t="shared" ca="1" si="27"/>
        <v>252264.54113012375</v>
      </c>
      <c r="BJ20" s="242">
        <f t="shared" ca="1" si="27"/>
        <v>252264.54113012375</v>
      </c>
      <c r="BK20" s="242">
        <f t="shared" ca="1" si="27"/>
        <v>253005.61156627917</v>
      </c>
      <c r="BL20" s="242">
        <f t="shared" ca="1" si="27"/>
        <v>253005.61156627917</v>
      </c>
      <c r="BM20" s="242">
        <f t="shared" ca="1" si="27"/>
        <v>253748.41954223072</v>
      </c>
      <c r="BN20" s="242">
        <f t="shared" ca="1" si="27"/>
        <v>253748.41954223072</v>
      </c>
      <c r="BO20" s="242">
        <f t="shared" ca="1" si="27"/>
        <v>254492.96810601436</v>
      </c>
      <c r="BP20" s="243">
        <f t="shared" ref="BP20:CM20" ca="1" si="28">Delta_t_Year-1860</f>
        <v>163.20833333333326</v>
      </c>
      <c r="BQ20" s="243">
        <f t="shared" ca="1" si="28"/>
        <v>163.29166666666674</v>
      </c>
      <c r="BR20" s="243">
        <f t="shared" ca="1" si="28"/>
        <v>163.29166666666674</v>
      </c>
      <c r="BS20" s="243">
        <f t="shared" ca="1" si="28"/>
        <v>163.375</v>
      </c>
      <c r="BT20" s="243">
        <f t="shared" ca="1" si="28"/>
        <v>163.375</v>
      </c>
      <c r="BU20" s="243">
        <f t="shared" ca="1" si="28"/>
        <v>163.45833333333326</v>
      </c>
      <c r="BV20" s="243">
        <f t="shared" ca="1" si="28"/>
        <v>163.45833333333326</v>
      </c>
      <c r="BW20" s="243">
        <f t="shared" ca="1" si="28"/>
        <v>163.54166666666674</v>
      </c>
      <c r="BX20" s="243">
        <f t="shared" ca="1" si="28"/>
        <v>163.54166666666674</v>
      </c>
      <c r="BY20" s="243">
        <f t="shared" ca="1" si="28"/>
        <v>163.625</v>
      </c>
      <c r="BZ20" s="243">
        <f t="shared" ca="1" si="28"/>
        <v>163.625</v>
      </c>
      <c r="CA20" s="243">
        <f t="shared" ca="1" si="28"/>
        <v>163.70833333333326</v>
      </c>
      <c r="CB20" s="243">
        <f t="shared" ca="1" si="28"/>
        <v>163.70833333333326</v>
      </c>
      <c r="CC20" s="243">
        <f t="shared" ca="1" si="28"/>
        <v>163.79166666666674</v>
      </c>
      <c r="CD20" s="243">
        <f t="shared" ca="1" si="28"/>
        <v>163.79166666666674</v>
      </c>
      <c r="CE20" s="243">
        <f t="shared" ca="1" si="28"/>
        <v>163.875</v>
      </c>
      <c r="CF20" s="243">
        <f t="shared" ca="1" si="28"/>
        <v>163.875</v>
      </c>
      <c r="CG20" s="243">
        <f t="shared" ca="1" si="28"/>
        <v>163.95833333333326</v>
      </c>
      <c r="CH20" s="243">
        <f t="shared" ca="1" si="28"/>
        <v>163.95833333333326</v>
      </c>
      <c r="CI20" s="243">
        <f t="shared" ca="1" si="28"/>
        <v>164.04166666666674</v>
      </c>
      <c r="CJ20" s="243">
        <f t="shared" ca="1" si="28"/>
        <v>164.04166666666674</v>
      </c>
      <c r="CK20" s="243">
        <f t="shared" ca="1" si="28"/>
        <v>164.125</v>
      </c>
      <c r="CL20" s="243">
        <f t="shared" ca="1" si="28"/>
        <v>164.125</v>
      </c>
      <c r="CM20" s="243">
        <f t="shared" ca="1" si="28"/>
        <v>164.20833333333326</v>
      </c>
      <c r="CN20" s="244"/>
      <c r="CO20" s="467" t="s">
        <v>620</v>
      </c>
      <c r="CP20" s="467"/>
      <c r="CQ20" s="467"/>
      <c r="CR20" s="467"/>
      <c r="CS20" s="467"/>
      <c r="CT20" s="467"/>
      <c r="CU20" s="467"/>
      <c r="CV20" s="467"/>
      <c r="CW20" s="467"/>
      <c r="CX20" s="467"/>
      <c r="CY20" s="467"/>
      <c r="CZ20" s="467"/>
      <c r="DA20" s="467"/>
      <c r="DB20" s="467"/>
      <c r="DC20" s="467"/>
      <c r="DD20" s="467"/>
    </row>
    <row r="21" spans="2:108" ht="40.35" customHeight="1" x14ac:dyDescent="0.1">
      <c r="B21" s="231"/>
      <c r="D21" s="192" t="str">
        <f t="shared" si="0"/>
        <v>小寒</v>
      </c>
      <c r="E21" s="193">
        <f t="shared" ca="1" si="1"/>
        <v>45297.200880481396</v>
      </c>
      <c r="F21" s="232"/>
      <c r="G21" s="232"/>
      <c r="H21" s="233" t="s">
        <v>48</v>
      </c>
      <c r="I21" s="234">
        <f t="shared" ca="1" si="5"/>
        <v>3.1126782178510339</v>
      </c>
      <c r="J21" s="235">
        <f t="shared" ca="1" si="6"/>
        <v>184.3588258033387</v>
      </c>
      <c r="K21" s="236">
        <f t="shared" ca="1" si="7"/>
        <v>2460132.8538111937</v>
      </c>
      <c r="L21" s="237">
        <f t="shared" ca="1" si="8"/>
        <v>2460133.1880721413</v>
      </c>
      <c r="M21" s="238">
        <f t="shared" ca="1" si="9"/>
        <v>1.7787844564587133E-3</v>
      </c>
      <c r="N21" s="238">
        <f t="shared" ca="1" si="10"/>
        <v>73.541144808506985</v>
      </c>
      <c r="O21" s="239">
        <f t="shared" ca="1" si="11"/>
        <v>45114.68807214126</v>
      </c>
      <c r="P21" s="240">
        <f t="shared" ca="1" si="12"/>
        <v>172.06449745670977</v>
      </c>
      <c r="Q21" s="241">
        <f t="shared" ca="1" si="13"/>
        <v>244.55607295326135</v>
      </c>
      <c r="R21" s="241">
        <f t="shared" ca="1" si="13"/>
        <v>-198.50628612401633</v>
      </c>
      <c r="S21" s="241">
        <f t="shared" ca="1" si="13"/>
        <v>193.76294922352221</v>
      </c>
      <c r="T21" s="241">
        <f t="shared" ca="1" si="13"/>
        <v>139.87107113454366</v>
      </c>
      <c r="U21" s="241">
        <f t="shared" ca="1" si="13"/>
        <v>-115.32604030854421</v>
      </c>
      <c r="V21" s="241">
        <f t="shared" ca="1" si="13"/>
        <v>55.065860472876537</v>
      </c>
      <c r="W21" s="241">
        <f t="shared" ca="1" si="13"/>
        <v>-33.84646342503919</v>
      </c>
      <c r="X21" s="241">
        <f t="shared" ca="1" si="13"/>
        <v>25.667253919798547</v>
      </c>
      <c r="Y21" s="241">
        <f t="shared" ca="1" si="13"/>
        <v>-61.51500380308336</v>
      </c>
      <c r="Z21" s="241">
        <f t="shared" ca="1" si="13"/>
        <v>-35.475913364944653</v>
      </c>
      <c r="AA21" s="241">
        <f t="shared" ca="1" si="14"/>
        <v>46.165483894575644</v>
      </c>
      <c r="AB21" s="241">
        <f t="shared" ca="1" si="14"/>
        <v>-47.715188351104956</v>
      </c>
      <c r="AC21" s="241">
        <f t="shared" ca="1" si="14"/>
        <v>4.1902031407057203</v>
      </c>
      <c r="AD21" s="241">
        <f t="shared" ca="1" si="14"/>
        <v>-43.853979796694979</v>
      </c>
      <c r="AE21" s="241">
        <f t="shared" ca="1" si="14"/>
        <v>26.13609108726704</v>
      </c>
      <c r="AF21" s="241">
        <f t="shared" ca="1" si="14"/>
        <v>-17.028933093866943</v>
      </c>
      <c r="AG21" s="241">
        <f t="shared" ca="1" si="14"/>
        <v>3.3967216651945074</v>
      </c>
      <c r="AH21" s="241">
        <f t="shared" ca="1" si="14"/>
        <v>-11.144811766348903</v>
      </c>
      <c r="AI21" s="241">
        <f t="shared" ca="1" si="14"/>
        <v>11.963524097639425</v>
      </c>
      <c r="AJ21" s="241">
        <f t="shared" ca="1" si="14"/>
        <v>2.6936701395205236</v>
      </c>
      <c r="AK21" s="241">
        <f t="shared" ca="1" si="14"/>
        <v>-6.8849358593552896</v>
      </c>
      <c r="AL21" s="241">
        <f t="shared" ca="1" si="14"/>
        <v>-9.4907922766453172</v>
      </c>
      <c r="AM21" s="241">
        <f t="shared" ca="1" si="14"/>
        <v>-8.1618511378609409</v>
      </c>
      <c r="AN21" s="241">
        <f t="shared" ca="1" si="14"/>
        <v>7.5457950353096264</v>
      </c>
      <c r="AP21" s="229">
        <v>1900</v>
      </c>
      <c r="AQ21" s="229" t="s">
        <v>576</v>
      </c>
      <c r="AR21" s="242">
        <f t="shared" ref="AR21:BO21" ca="1" si="29">-2.79+1.494119*BP21-0.0598939*BP21^2+0.0061966*BP21^3-0.000197*BP21^4</f>
        <v>-34535.106222217262</v>
      </c>
      <c r="AS21" s="242">
        <f t="shared" ca="1" si="29"/>
        <v>-34635.623137801194</v>
      </c>
      <c r="AT21" s="242">
        <f t="shared" ca="1" si="29"/>
        <v>-34635.623137801194</v>
      </c>
      <c r="AU21" s="242">
        <f t="shared" ca="1" si="29"/>
        <v>-34736.358599425046</v>
      </c>
      <c r="AV21" s="242">
        <f t="shared" ca="1" si="29"/>
        <v>-34736.358599425046</v>
      </c>
      <c r="AW21" s="242">
        <f t="shared" ca="1" si="29"/>
        <v>-34837.312923026839</v>
      </c>
      <c r="AX21" s="242">
        <f t="shared" ca="1" si="29"/>
        <v>-34837.312923026839</v>
      </c>
      <c r="AY21" s="242">
        <f t="shared" ca="1" si="29"/>
        <v>-34938.486424772607</v>
      </c>
      <c r="AZ21" s="242">
        <f t="shared" ca="1" si="29"/>
        <v>-34938.486424772607</v>
      </c>
      <c r="BA21" s="242">
        <f t="shared" ca="1" si="29"/>
        <v>-35039.879421055513</v>
      </c>
      <c r="BB21" s="242">
        <f t="shared" ca="1" si="29"/>
        <v>-35039.879421055513</v>
      </c>
      <c r="BC21" s="242">
        <f t="shared" ca="1" si="29"/>
        <v>-35141.49222849762</v>
      </c>
      <c r="BD21" s="242">
        <f t="shared" ca="1" si="29"/>
        <v>-35141.49222849762</v>
      </c>
      <c r="BE21" s="242">
        <f t="shared" ca="1" si="29"/>
        <v>-35243.325163948961</v>
      </c>
      <c r="BF21" s="242">
        <f t="shared" ca="1" si="29"/>
        <v>-35243.325163948961</v>
      </c>
      <c r="BG21" s="242">
        <f t="shared" ca="1" si="29"/>
        <v>-35345.378544486768</v>
      </c>
      <c r="BH21" s="242">
        <f t="shared" ca="1" si="29"/>
        <v>-35345.378544486768</v>
      </c>
      <c r="BI21" s="242">
        <f t="shared" ca="1" si="29"/>
        <v>-35447.652687417096</v>
      </c>
      <c r="BJ21" s="242">
        <f t="shared" ca="1" si="29"/>
        <v>-35447.652687417096</v>
      </c>
      <c r="BK21" s="242">
        <f t="shared" ca="1" si="29"/>
        <v>-35550.14791027402</v>
      </c>
      <c r="BL21" s="242">
        <f t="shared" ca="1" si="29"/>
        <v>-35550.14791027402</v>
      </c>
      <c r="BM21" s="242">
        <f t="shared" ca="1" si="29"/>
        <v>-35652.864530818799</v>
      </c>
      <c r="BN21" s="242">
        <f t="shared" ca="1" si="29"/>
        <v>-35652.864530818799</v>
      </c>
      <c r="BO21" s="242">
        <f t="shared" ca="1" si="29"/>
        <v>-35755.802867041508</v>
      </c>
      <c r="BP21" s="243">
        <f t="shared" ref="BP21:CM21" ca="1" si="30">Delta_t_Year-1900</f>
        <v>123.20833333333326</v>
      </c>
      <c r="BQ21" s="243">
        <f t="shared" ca="1" si="30"/>
        <v>123.29166666666674</v>
      </c>
      <c r="BR21" s="243">
        <f t="shared" ca="1" si="30"/>
        <v>123.29166666666674</v>
      </c>
      <c r="BS21" s="243">
        <f t="shared" ca="1" si="30"/>
        <v>123.375</v>
      </c>
      <c r="BT21" s="243">
        <f t="shared" ca="1" si="30"/>
        <v>123.375</v>
      </c>
      <c r="BU21" s="243">
        <f t="shared" ca="1" si="30"/>
        <v>123.45833333333326</v>
      </c>
      <c r="BV21" s="243">
        <f t="shared" ca="1" si="30"/>
        <v>123.45833333333326</v>
      </c>
      <c r="BW21" s="243">
        <f t="shared" ca="1" si="30"/>
        <v>123.54166666666674</v>
      </c>
      <c r="BX21" s="243">
        <f t="shared" ca="1" si="30"/>
        <v>123.54166666666674</v>
      </c>
      <c r="BY21" s="243">
        <f t="shared" ca="1" si="30"/>
        <v>123.625</v>
      </c>
      <c r="BZ21" s="243">
        <f t="shared" ca="1" si="30"/>
        <v>123.625</v>
      </c>
      <c r="CA21" s="243">
        <f t="shared" ca="1" si="30"/>
        <v>123.70833333333326</v>
      </c>
      <c r="CB21" s="243">
        <f t="shared" ca="1" si="30"/>
        <v>123.70833333333326</v>
      </c>
      <c r="CC21" s="243">
        <f t="shared" ca="1" si="30"/>
        <v>123.79166666666674</v>
      </c>
      <c r="CD21" s="243">
        <f t="shared" ca="1" si="30"/>
        <v>123.79166666666674</v>
      </c>
      <c r="CE21" s="243">
        <f t="shared" ca="1" si="30"/>
        <v>123.875</v>
      </c>
      <c r="CF21" s="243">
        <f t="shared" ca="1" si="30"/>
        <v>123.875</v>
      </c>
      <c r="CG21" s="243">
        <f t="shared" ca="1" si="30"/>
        <v>123.95833333333326</v>
      </c>
      <c r="CH21" s="243">
        <f t="shared" ca="1" si="30"/>
        <v>123.95833333333326</v>
      </c>
      <c r="CI21" s="243">
        <f t="shared" ca="1" si="30"/>
        <v>124.04166666666674</v>
      </c>
      <c r="CJ21" s="243">
        <f t="shared" ca="1" si="30"/>
        <v>124.04166666666674</v>
      </c>
      <c r="CK21" s="243">
        <f t="shared" ca="1" si="30"/>
        <v>124.125</v>
      </c>
      <c r="CL21" s="243">
        <f t="shared" ca="1" si="30"/>
        <v>124.125</v>
      </c>
      <c r="CM21" s="243">
        <f t="shared" ca="1" si="30"/>
        <v>124.20833333333326</v>
      </c>
      <c r="CN21" s="244"/>
      <c r="CO21" s="467"/>
      <c r="CP21" s="467"/>
      <c r="CQ21" s="467"/>
      <c r="CR21" s="467"/>
      <c r="CS21" s="467"/>
      <c r="CT21" s="467"/>
      <c r="CU21" s="467"/>
      <c r="CV21" s="467"/>
      <c r="CW21" s="467"/>
      <c r="CX21" s="467"/>
      <c r="CY21" s="467"/>
      <c r="CZ21" s="467"/>
      <c r="DA21" s="467"/>
      <c r="DB21" s="467"/>
      <c r="DC21" s="467"/>
      <c r="DD21" s="467"/>
    </row>
    <row r="22" spans="2:108" ht="40.35" customHeight="1" x14ac:dyDescent="0.1">
      <c r="B22" s="231"/>
      <c r="D22" s="192" t="str">
        <f t="shared" si="0"/>
        <v>大寒</v>
      </c>
      <c r="E22" s="193">
        <f t="shared" ca="1" si="1"/>
        <v>45311.921831501648</v>
      </c>
      <c r="F22" s="232"/>
      <c r="G22" s="232"/>
      <c r="H22" s="233" t="s">
        <v>49</v>
      </c>
      <c r="I22" s="234">
        <f t="shared" ca="1" si="5"/>
        <v>2.8508788300518844</v>
      </c>
      <c r="J22" s="235">
        <f t="shared" ca="1" si="6"/>
        <v>200.08364723129841</v>
      </c>
      <c r="K22" s="236">
        <f t="shared" ca="1" si="7"/>
        <v>2460148.5786326216</v>
      </c>
      <c r="L22" s="237">
        <f t="shared" ca="1" si="8"/>
        <v>2460148.910276379</v>
      </c>
      <c r="M22" s="238">
        <f t="shared" ca="1" si="9"/>
        <v>-8.3840530767189455E-4</v>
      </c>
      <c r="N22" s="238">
        <f t="shared" ca="1" si="10"/>
        <v>73.541144808506985</v>
      </c>
      <c r="O22" s="239">
        <f t="shared" ca="1" si="11"/>
        <v>45130.410276378971</v>
      </c>
      <c r="P22" s="240">
        <f t="shared" ca="1" si="12"/>
        <v>-81.215188085241692</v>
      </c>
      <c r="Q22" s="241">
        <f t="shared" ca="1" si="13"/>
        <v>238.44356169848356</v>
      </c>
      <c r="R22" s="241">
        <f t="shared" ca="1" si="13"/>
        <v>-202.86185523786298</v>
      </c>
      <c r="S22" s="241">
        <f t="shared" ca="1" si="13"/>
        <v>193.76982609714838</v>
      </c>
      <c r="T22" s="241">
        <f t="shared" ca="1" si="13"/>
        <v>-160.57511447556095</v>
      </c>
      <c r="U22" s="241">
        <f t="shared" ca="1" si="13"/>
        <v>-73.909444739984735</v>
      </c>
      <c r="V22" s="241">
        <f t="shared" ca="1" si="13"/>
        <v>33.3386173055965</v>
      </c>
      <c r="W22" s="241">
        <f t="shared" ca="1" si="13"/>
        <v>3.1005829892140149</v>
      </c>
      <c r="X22" s="241">
        <f t="shared" ca="1" si="13"/>
        <v>27.243203129697687</v>
      </c>
      <c r="Y22" s="241">
        <f t="shared" ca="1" si="13"/>
        <v>-59.106481065292513</v>
      </c>
      <c r="Z22" s="241">
        <f t="shared" ca="1" si="13"/>
        <v>-45.844857034036572</v>
      </c>
      <c r="AA22" s="241">
        <f t="shared" ca="1" si="14"/>
        <v>46.192550259437994</v>
      </c>
      <c r="AB22" s="241">
        <f t="shared" ca="1" si="14"/>
        <v>-47.452068896406004</v>
      </c>
      <c r="AC22" s="241">
        <f t="shared" ca="1" si="14"/>
        <v>-5.9067451880564015</v>
      </c>
      <c r="AD22" s="241">
        <f t="shared" ca="1" si="14"/>
        <v>-41.785633691924971</v>
      </c>
      <c r="AE22" s="241">
        <f t="shared" ca="1" si="14"/>
        <v>25.702049031847245</v>
      </c>
      <c r="AF22" s="241">
        <f t="shared" ca="1" si="14"/>
        <v>-12.046686983604198</v>
      </c>
      <c r="AG22" s="241">
        <f t="shared" ca="1" si="14"/>
        <v>3.9656626602452518</v>
      </c>
      <c r="AH22" s="241">
        <f t="shared" ca="1" si="14"/>
        <v>-4.6976110282079553</v>
      </c>
      <c r="AI22" s="241">
        <f t="shared" ca="1" si="14"/>
        <v>9.9295781080839909</v>
      </c>
      <c r="AJ22" s="241">
        <f t="shared" ca="1" si="14"/>
        <v>3.9558820629618996</v>
      </c>
      <c r="AK22" s="241">
        <f t="shared" ca="1" si="14"/>
        <v>-4.352074759945471</v>
      </c>
      <c r="AL22" s="241">
        <f t="shared" ca="1" si="14"/>
        <v>-7.2714038219058077</v>
      </c>
      <c r="AM22" s="241">
        <f t="shared" ca="1" si="14"/>
        <v>-8.1963344118373076</v>
      </c>
      <c r="AN22" s="241">
        <f t="shared" ca="1" si="14"/>
        <v>7.1496099066676582</v>
      </c>
      <c r="AP22" s="229">
        <v>1920</v>
      </c>
      <c r="AQ22" s="229" t="s">
        <v>577</v>
      </c>
      <c r="AR22" s="242">
        <f t="shared" ref="AR22:BO22" ca="1" si="31">21.2+0.84493*BP22-0.0761*BP22^2+0.0020936*BP22^3</f>
        <v>1599.4328766586191</v>
      </c>
      <c r="AS22" s="242">
        <f t="shared" ca="1" si="31"/>
        <v>1603.7734720406868</v>
      </c>
      <c r="AT22" s="242">
        <f t="shared" ca="1" si="31"/>
        <v>1603.7734720406868</v>
      </c>
      <c r="AU22" s="242">
        <f t="shared" ca="1" si="31"/>
        <v>1608.1220209546877</v>
      </c>
      <c r="AV22" s="242">
        <f t="shared" ca="1" si="31"/>
        <v>1608.1220209546877</v>
      </c>
      <c r="AW22" s="242">
        <f t="shared" ca="1" si="31"/>
        <v>1612.4785306700774</v>
      </c>
      <c r="AX22" s="242">
        <f t="shared" ca="1" si="31"/>
        <v>1612.4785306700774</v>
      </c>
      <c r="AY22" s="242">
        <f t="shared" ca="1" si="31"/>
        <v>1616.843008456312</v>
      </c>
      <c r="AZ22" s="242">
        <f t="shared" ca="1" si="31"/>
        <v>1616.843008456312</v>
      </c>
      <c r="BA22" s="242">
        <f t="shared" ca="1" si="31"/>
        <v>1621.2154615828126</v>
      </c>
      <c r="BB22" s="242">
        <f t="shared" ca="1" si="31"/>
        <v>1621.2154615828126</v>
      </c>
      <c r="BC22" s="242">
        <f t="shared" ca="1" si="31"/>
        <v>1625.5958973190359</v>
      </c>
      <c r="BD22" s="242">
        <f t="shared" ca="1" si="31"/>
        <v>1625.5958973190359</v>
      </c>
      <c r="BE22" s="242">
        <f t="shared" ca="1" si="31"/>
        <v>1629.9843229344369</v>
      </c>
      <c r="BF22" s="242">
        <f t="shared" ca="1" si="31"/>
        <v>1629.9843229344369</v>
      </c>
      <c r="BG22" s="242">
        <f t="shared" ca="1" si="31"/>
        <v>1634.3807456984377</v>
      </c>
      <c r="BH22" s="242">
        <f t="shared" ca="1" si="31"/>
        <v>1634.3807456984377</v>
      </c>
      <c r="BI22" s="242">
        <f t="shared" ca="1" si="31"/>
        <v>1638.785172880494</v>
      </c>
      <c r="BJ22" s="242">
        <f t="shared" ca="1" si="31"/>
        <v>1638.785172880494</v>
      </c>
      <c r="BK22" s="242">
        <f t="shared" ca="1" si="31"/>
        <v>1643.1976117500622</v>
      </c>
      <c r="BL22" s="242">
        <f t="shared" ca="1" si="31"/>
        <v>1643.1976117500622</v>
      </c>
      <c r="BM22" s="242">
        <f t="shared" ca="1" si="31"/>
        <v>1647.6180695765624</v>
      </c>
      <c r="BN22" s="242">
        <f t="shared" ca="1" si="31"/>
        <v>1647.6180695765624</v>
      </c>
      <c r="BO22" s="242">
        <f t="shared" ca="1" si="31"/>
        <v>1652.0465536294521</v>
      </c>
      <c r="BP22" s="243">
        <f t="shared" ref="BP22:CM22" ca="1" si="32">Delta_t_Year-1920</f>
        <v>103.20833333333326</v>
      </c>
      <c r="BQ22" s="243">
        <f t="shared" ca="1" si="32"/>
        <v>103.29166666666674</v>
      </c>
      <c r="BR22" s="243">
        <f t="shared" ca="1" si="32"/>
        <v>103.29166666666674</v>
      </c>
      <c r="BS22" s="243">
        <f t="shared" ca="1" si="32"/>
        <v>103.375</v>
      </c>
      <c r="BT22" s="243">
        <f t="shared" ca="1" si="32"/>
        <v>103.375</v>
      </c>
      <c r="BU22" s="243">
        <f t="shared" ca="1" si="32"/>
        <v>103.45833333333326</v>
      </c>
      <c r="BV22" s="243">
        <f t="shared" ca="1" si="32"/>
        <v>103.45833333333326</v>
      </c>
      <c r="BW22" s="243">
        <f t="shared" ca="1" si="32"/>
        <v>103.54166666666674</v>
      </c>
      <c r="BX22" s="243">
        <f t="shared" ca="1" si="32"/>
        <v>103.54166666666674</v>
      </c>
      <c r="BY22" s="243">
        <f t="shared" ca="1" si="32"/>
        <v>103.625</v>
      </c>
      <c r="BZ22" s="243">
        <f t="shared" ca="1" si="32"/>
        <v>103.625</v>
      </c>
      <c r="CA22" s="243">
        <f t="shared" ca="1" si="32"/>
        <v>103.70833333333326</v>
      </c>
      <c r="CB22" s="243">
        <f t="shared" ca="1" si="32"/>
        <v>103.70833333333326</v>
      </c>
      <c r="CC22" s="243">
        <f t="shared" ca="1" si="32"/>
        <v>103.79166666666674</v>
      </c>
      <c r="CD22" s="243">
        <f t="shared" ca="1" si="32"/>
        <v>103.79166666666674</v>
      </c>
      <c r="CE22" s="243">
        <f t="shared" ca="1" si="32"/>
        <v>103.875</v>
      </c>
      <c r="CF22" s="243">
        <f t="shared" ca="1" si="32"/>
        <v>103.875</v>
      </c>
      <c r="CG22" s="243">
        <f t="shared" ca="1" si="32"/>
        <v>103.95833333333326</v>
      </c>
      <c r="CH22" s="243">
        <f t="shared" ca="1" si="32"/>
        <v>103.95833333333326</v>
      </c>
      <c r="CI22" s="243">
        <f t="shared" ca="1" si="32"/>
        <v>104.04166666666674</v>
      </c>
      <c r="CJ22" s="243">
        <f t="shared" ca="1" si="32"/>
        <v>104.04166666666674</v>
      </c>
      <c r="CK22" s="243">
        <f t="shared" ca="1" si="32"/>
        <v>104.125</v>
      </c>
      <c r="CL22" s="243">
        <f t="shared" ca="1" si="32"/>
        <v>104.125</v>
      </c>
      <c r="CM22" s="243">
        <f t="shared" ca="1" si="32"/>
        <v>104.20833333333326</v>
      </c>
      <c r="CN22" s="244"/>
      <c r="CO22" s="467"/>
      <c r="CP22" s="467"/>
      <c r="CQ22" s="467"/>
      <c r="CR22" s="467"/>
      <c r="CS22" s="467"/>
      <c r="CT22" s="467"/>
      <c r="CU22" s="467"/>
      <c r="CV22" s="467"/>
      <c r="CW22" s="467"/>
      <c r="CX22" s="467"/>
      <c r="CY22" s="467"/>
      <c r="CZ22" s="467"/>
      <c r="DA22" s="467"/>
      <c r="DB22" s="467"/>
      <c r="DC22" s="467"/>
      <c r="DD22" s="467"/>
    </row>
    <row r="23" spans="2:108" ht="40.35" customHeight="1" x14ac:dyDescent="0.1">
      <c r="B23" s="231"/>
      <c r="D23" s="192" t="str">
        <f t="shared" si="0"/>
        <v>立春</v>
      </c>
      <c r="E23" s="193">
        <f t="shared" ca="1" si="1"/>
        <v>45326.685447454453</v>
      </c>
      <c r="F23" s="232"/>
      <c r="G23" s="232"/>
      <c r="H23" s="233" t="s">
        <v>50</v>
      </c>
      <c r="I23" s="234">
        <f t="shared" ca="1" si="5"/>
        <v>2.5890794422527348</v>
      </c>
      <c r="J23" s="235">
        <f t="shared" ca="1" si="6"/>
        <v>215.76871517705624</v>
      </c>
      <c r="K23" s="236">
        <f t="shared" ca="1" si="7"/>
        <v>2460164.2637005677</v>
      </c>
      <c r="L23" s="237">
        <f t="shared" ca="1" si="8"/>
        <v>2460164.5995703479</v>
      </c>
      <c r="M23" s="238">
        <f t="shared" ca="1" si="9"/>
        <v>3.3881808776637067E-3</v>
      </c>
      <c r="N23" s="238">
        <f t="shared" ca="1" si="10"/>
        <v>73.589812363562501</v>
      </c>
      <c r="O23" s="239">
        <f t="shared" ca="1" si="11"/>
        <v>45146.099570347928</v>
      </c>
      <c r="P23" s="240">
        <f t="shared" ca="1" si="12"/>
        <v>329.39928861387403</v>
      </c>
      <c r="Q23" s="241">
        <f t="shared" ca="1" si="13"/>
        <v>232.29633164753017</v>
      </c>
      <c r="R23" s="241">
        <f t="shared" ca="1" si="13"/>
        <v>-194.87033898039437</v>
      </c>
      <c r="S23" s="241">
        <f t="shared" ca="1" si="13"/>
        <v>193.77668114451177</v>
      </c>
      <c r="T23" s="241">
        <f t="shared" ca="1" si="13"/>
        <v>174.1691015290827</v>
      </c>
      <c r="U23" s="241">
        <f t="shared" ca="1" si="13"/>
        <v>-24.241035609286659</v>
      </c>
      <c r="V23" s="241">
        <f t="shared" ca="1" si="13"/>
        <v>10.717157682592036</v>
      </c>
      <c r="W23" s="241">
        <f t="shared" ca="1" si="13"/>
        <v>39.219183760677105</v>
      </c>
      <c r="X23" s="241">
        <f t="shared" ca="1" si="13"/>
        <v>28.801055662984524</v>
      </c>
      <c r="Y23" s="241">
        <f t="shared" ca="1" si="13"/>
        <v>-56.432603799897606</v>
      </c>
      <c r="Z23" s="241">
        <f t="shared" ca="1" si="13"/>
        <v>-53.272008266601468</v>
      </c>
      <c r="AA23" s="241">
        <f t="shared" ca="1" si="14"/>
        <v>46.21948920992714</v>
      </c>
      <c r="AB23" s="241">
        <f t="shared" ca="1" si="14"/>
        <v>-47.175725326744917</v>
      </c>
      <c r="AC23" s="241">
        <f t="shared" ca="1" si="14"/>
        <v>-15.682231591174416</v>
      </c>
      <c r="AD23" s="241">
        <f t="shared" ca="1" si="14"/>
        <v>-37.39289803592812</v>
      </c>
      <c r="AE23" s="241">
        <f t="shared" ca="1" si="14"/>
        <v>25.240563532141799</v>
      </c>
      <c r="AF23" s="241">
        <f t="shared" ca="1" si="14"/>
        <v>-4.0489563045360031</v>
      </c>
      <c r="AG23" s="241">
        <f t="shared" ca="1" si="14"/>
        <v>4.5285232286405943</v>
      </c>
      <c r="AH23" s="241">
        <f t="shared" ca="1" si="14"/>
        <v>2.7605405923866999</v>
      </c>
      <c r="AI23" s="241">
        <f t="shared" ca="1" si="14"/>
        <v>7.3512604497442684</v>
      </c>
      <c r="AJ23" s="241">
        <f t="shared" ca="1" si="14"/>
        <v>5.1676772287473032</v>
      </c>
      <c r="AK23" s="241">
        <f t="shared" ca="1" si="14"/>
        <v>-1.5770832825842858</v>
      </c>
      <c r="AL23" s="241">
        <f t="shared" ca="1" si="14"/>
        <v>-4.5656263617791719</v>
      </c>
      <c r="AM23" s="241">
        <f t="shared" ca="1" si="14"/>
        <v>-8.2300419593614151</v>
      </c>
      <c r="AN23" s="241">
        <f t="shared" ca="1" si="14"/>
        <v>6.6402724631963022</v>
      </c>
      <c r="AP23" s="229">
        <v>1941</v>
      </c>
      <c r="AQ23" s="229" t="s">
        <v>578</v>
      </c>
      <c r="AR23" s="242">
        <f t="shared" ref="AR23:BO23" ca="1" si="33">29.07+0.407*BP23-BP23^2/260-BP23^3/718</f>
        <v>-508.20592750523855</v>
      </c>
      <c r="AS23" s="242">
        <f t="shared" ca="1" si="33"/>
        <v>-510.0871982365241</v>
      </c>
      <c r="AT23" s="242">
        <f t="shared" ca="1" si="33"/>
        <v>-510.0871982365241</v>
      </c>
      <c r="AU23" s="242">
        <f t="shared" ca="1" si="33"/>
        <v>-511.97277561703186</v>
      </c>
      <c r="AV23" s="242">
        <f t="shared" ca="1" si="33"/>
        <v>-511.97277561703186</v>
      </c>
      <c r="AW23" s="242">
        <f t="shared" ca="1" si="33"/>
        <v>-513.86266448273125</v>
      </c>
      <c r="AX23" s="242">
        <f t="shared" ca="1" si="33"/>
        <v>-513.86266448273125</v>
      </c>
      <c r="AY23" s="242">
        <f t="shared" ca="1" si="33"/>
        <v>-515.75686966959131</v>
      </c>
      <c r="AZ23" s="242">
        <f t="shared" ca="1" si="33"/>
        <v>-515.75686966959131</v>
      </c>
      <c r="BA23" s="242">
        <f t="shared" ca="1" si="33"/>
        <v>-517.65539601356591</v>
      </c>
      <c r="BB23" s="242">
        <f t="shared" ca="1" si="33"/>
        <v>-517.65539601356591</v>
      </c>
      <c r="BC23" s="242">
        <f t="shared" ca="1" si="33"/>
        <v>-519.55824835062447</v>
      </c>
      <c r="BD23" s="242">
        <f t="shared" ca="1" si="33"/>
        <v>-519.55824835062447</v>
      </c>
      <c r="BE23" s="242">
        <f t="shared" ca="1" si="33"/>
        <v>-521.46543151673609</v>
      </c>
      <c r="BF23" s="242">
        <f t="shared" ca="1" si="33"/>
        <v>-521.46543151673609</v>
      </c>
      <c r="BG23" s="242">
        <f t="shared" ca="1" si="33"/>
        <v>-523.37695034785463</v>
      </c>
      <c r="BH23" s="242">
        <f t="shared" ca="1" si="33"/>
        <v>-523.37695034785463</v>
      </c>
      <c r="BI23" s="242">
        <f t="shared" ca="1" si="33"/>
        <v>-525.2928096799493</v>
      </c>
      <c r="BJ23" s="242">
        <f t="shared" ca="1" si="33"/>
        <v>-525.2928096799493</v>
      </c>
      <c r="BK23" s="242">
        <f t="shared" ca="1" si="33"/>
        <v>-527.2130143489893</v>
      </c>
      <c r="BL23" s="242">
        <f t="shared" ca="1" si="33"/>
        <v>-527.2130143489893</v>
      </c>
      <c r="BM23" s="242">
        <f t="shared" ca="1" si="33"/>
        <v>-529.13756919092839</v>
      </c>
      <c r="BN23" s="242">
        <f t="shared" ca="1" si="33"/>
        <v>-529.13756919092839</v>
      </c>
      <c r="BO23" s="242">
        <f t="shared" ca="1" si="33"/>
        <v>-531.06647904173576</v>
      </c>
      <c r="BP23" s="243">
        <f t="shared" ref="BP23:CM23" ca="1" si="34">Delta_t_Year-1950</f>
        <v>73.208333333333258</v>
      </c>
      <c r="BQ23" s="243">
        <f t="shared" ca="1" si="34"/>
        <v>73.291666666666742</v>
      </c>
      <c r="BR23" s="243">
        <f t="shared" ca="1" si="34"/>
        <v>73.291666666666742</v>
      </c>
      <c r="BS23" s="243">
        <f t="shared" ca="1" si="34"/>
        <v>73.375</v>
      </c>
      <c r="BT23" s="243">
        <f t="shared" ca="1" si="34"/>
        <v>73.375</v>
      </c>
      <c r="BU23" s="243">
        <f t="shared" ca="1" si="34"/>
        <v>73.458333333333258</v>
      </c>
      <c r="BV23" s="243">
        <f t="shared" ca="1" si="34"/>
        <v>73.458333333333258</v>
      </c>
      <c r="BW23" s="243">
        <f t="shared" ca="1" si="34"/>
        <v>73.541666666666742</v>
      </c>
      <c r="BX23" s="243">
        <f t="shared" ca="1" si="34"/>
        <v>73.541666666666742</v>
      </c>
      <c r="BY23" s="243">
        <f t="shared" ca="1" si="34"/>
        <v>73.625</v>
      </c>
      <c r="BZ23" s="243">
        <f t="shared" ca="1" si="34"/>
        <v>73.625</v>
      </c>
      <c r="CA23" s="243">
        <f t="shared" ca="1" si="34"/>
        <v>73.708333333333258</v>
      </c>
      <c r="CB23" s="243">
        <f t="shared" ca="1" si="34"/>
        <v>73.708333333333258</v>
      </c>
      <c r="CC23" s="243">
        <f t="shared" ca="1" si="34"/>
        <v>73.791666666666742</v>
      </c>
      <c r="CD23" s="243">
        <f t="shared" ca="1" si="34"/>
        <v>73.791666666666742</v>
      </c>
      <c r="CE23" s="243">
        <f t="shared" ca="1" si="34"/>
        <v>73.875</v>
      </c>
      <c r="CF23" s="243">
        <f t="shared" ca="1" si="34"/>
        <v>73.875</v>
      </c>
      <c r="CG23" s="243">
        <f t="shared" ca="1" si="34"/>
        <v>73.958333333333258</v>
      </c>
      <c r="CH23" s="243">
        <f t="shared" ca="1" si="34"/>
        <v>73.958333333333258</v>
      </c>
      <c r="CI23" s="243">
        <f t="shared" ca="1" si="34"/>
        <v>74.041666666666742</v>
      </c>
      <c r="CJ23" s="243">
        <f t="shared" ca="1" si="34"/>
        <v>74.041666666666742</v>
      </c>
      <c r="CK23" s="243">
        <f t="shared" ca="1" si="34"/>
        <v>74.125</v>
      </c>
      <c r="CL23" s="243">
        <f t="shared" ca="1" si="34"/>
        <v>74.125</v>
      </c>
      <c r="CM23" s="243">
        <f t="shared" ca="1" si="34"/>
        <v>74.208333333333258</v>
      </c>
      <c r="CN23" s="244"/>
    </row>
    <row r="24" spans="2:108" ht="40.35" customHeight="1" x14ac:dyDescent="0.1">
      <c r="B24" s="231"/>
      <c r="D24" s="192" t="str">
        <f t="shared" si="0"/>
        <v>雨水</v>
      </c>
      <c r="E24" s="193">
        <f t="shared" ca="1" si="1"/>
        <v>45341.509246611968</v>
      </c>
      <c r="F24" s="232"/>
      <c r="G24" s="232"/>
      <c r="H24" s="233" t="s">
        <v>579</v>
      </c>
      <c r="I24" s="234">
        <f t="shared" ca="1" si="5"/>
        <v>2.3272800544535852</v>
      </c>
      <c r="J24" s="235">
        <f t="shared" ca="1" si="6"/>
        <v>231.38138225372111</v>
      </c>
      <c r="K24" s="236">
        <f t="shared" ca="1" si="7"/>
        <v>2460179.8763676444</v>
      </c>
      <c r="L24" s="237">
        <f t="shared" ca="1" si="8"/>
        <v>2460180.2094776039</v>
      </c>
      <c r="M24" s="238">
        <f t="shared" ca="1" si="9"/>
        <v>6.2835987768325528E-4</v>
      </c>
      <c r="N24" s="238">
        <f t="shared" ca="1" si="10"/>
        <v>73.589812363562501</v>
      </c>
      <c r="O24" s="239">
        <f t="shared" ca="1" si="11"/>
        <v>45161.709477603901</v>
      </c>
      <c r="P24" s="240">
        <f t="shared" ca="1" si="12"/>
        <v>61.4307463513342</v>
      </c>
      <c r="Q24" s="241">
        <f t="shared" ref="Q24:Z37" ca="1" si="35">Q$11*COS((Q$12+Q$13*二分點_T)*PI()/180)</f>
        <v>226.1289968566995</v>
      </c>
      <c r="R24" s="241">
        <f t="shared" ca="1" si="35"/>
        <v>-175.16077977571481</v>
      </c>
      <c r="S24" s="241">
        <f t="shared" ca="1" si="35"/>
        <v>193.78350014468748</v>
      </c>
      <c r="T24" s="241">
        <f t="shared" ca="1" si="35"/>
        <v>-180.81621904583551</v>
      </c>
      <c r="U24" s="241">
        <f t="shared" ca="1" si="35"/>
        <v>27.924212434883806</v>
      </c>
      <c r="V24" s="241">
        <f t="shared" ca="1" si="35"/>
        <v>-12.103333848876511</v>
      </c>
      <c r="W24" s="241">
        <f t="shared" ca="1" si="35"/>
        <v>65.863956060316639</v>
      </c>
      <c r="X24" s="241">
        <f t="shared" ca="1" si="35"/>
        <v>30.336920121355661</v>
      </c>
      <c r="Y24" s="241">
        <f t="shared" ca="1" si="35"/>
        <v>-53.514011473612861</v>
      </c>
      <c r="Z24" s="241">
        <f t="shared" ca="1" si="35"/>
        <v>-57.304514038230863</v>
      </c>
      <c r="AA24" s="241">
        <f t="shared" ref="AA24:AN37" ca="1" si="36">AA$11*COS((AA$12+AA$13*二分點_T)*PI()/180)</f>
        <v>46.246245271826417</v>
      </c>
      <c r="AB24" s="241">
        <f t="shared" ca="1" si="36"/>
        <v>-46.886961673471468</v>
      </c>
      <c r="AC24" s="241">
        <f t="shared" ca="1" si="36"/>
        <v>-24.632897425272784</v>
      </c>
      <c r="AD24" s="241">
        <f t="shared" ca="1" si="36"/>
        <v>-30.952356126422075</v>
      </c>
      <c r="AE24" s="241">
        <f t="shared" ca="1" si="36"/>
        <v>24.753408507284981</v>
      </c>
      <c r="AF24" s="241">
        <f t="shared" ca="1" si="36"/>
        <v>4.9243645582229405</v>
      </c>
      <c r="AG24" s="241">
        <f t="shared" ca="1" si="36"/>
        <v>5.0835283837415197</v>
      </c>
      <c r="AH24" s="241">
        <f t="shared" ca="1" si="36"/>
        <v>9.5886971986411851</v>
      </c>
      <c r="AI24" s="241">
        <f t="shared" ca="1" si="36"/>
        <v>4.3811707357716774</v>
      </c>
      <c r="AJ24" s="241">
        <f t="shared" ca="1" si="36"/>
        <v>6.31269548681645</v>
      </c>
      <c r="AK24" s="241">
        <f t="shared" ca="1" si="36"/>
        <v>1.2746301137265867</v>
      </c>
      <c r="AL24" s="241">
        <f t="shared" ca="1" si="36"/>
        <v>-1.5657195279810532</v>
      </c>
      <c r="AM24" s="241">
        <f t="shared" ca="1" si="36"/>
        <v>-8.2629081844347283</v>
      </c>
      <c r="AN24" s="241">
        <f t="shared" ca="1" si="36"/>
        <v>6.0281215972120448</v>
      </c>
      <c r="AP24" s="229">
        <v>1961</v>
      </c>
      <c r="AQ24" s="229" t="s">
        <v>580</v>
      </c>
      <c r="AR24" s="242">
        <f t="shared" ref="AR24:BO24" ca="1" si="37">45.45+1.067*BP24-BP24^2/260-BP24^3/718</f>
        <v>-68.092480318431413</v>
      </c>
      <c r="AS24" s="242">
        <f t="shared" ca="1" si="37"/>
        <v>-68.845100060499831</v>
      </c>
      <c r="AT24" s="242">
        <f t="shared" ca="1" si="37"/>
        <v>-68.845100060499831</v>
      </c>
      <c r="AU24" s="242">
        <f t="shared" ca="1" si="37"/>
        <v>-69.600575662564268</v>
      </c>
      <c r="AV24" s="242">
        <f t="shared" ca="1" si="37"/>
        <v>-69.600575662564268</v>
      </c>
      <c r="AW24" s="242">
        <f t="shared" ca="1" si="37"/>
        <v>-70.358911960590916</v>
      </c>
      <c r="AX24" s="242">
        <f t="shared" ca="1" si="37"/>
        <v>-70.358911960590916</v>
      </c>
      <c r="AY24" s="242">
        <f t="shared" ca="1" si="37"/>
        <v>-71.120113790545901</v>
      </c>
      <c r="AZ24" s="242">
        <f t="shared" ca="1" si="37"/>
        <v>-71.120113790545901</v>
      </c>
      <c r="BA24" s="242">
        <f t="shared" ca="1" si="37"/>
        <v>-71.88418598838922</v>
      </c>
      <c r="BB24" s="242">
        <f t="shared" ca="1" si="37"/>
        <v>-71.88418598838922</v>
      </c>
      <c r="BC24" s="242">
        <f t="shared" ca="1" si="37"/>
        <v>-72.651133390086983</v>
      </c>
      <c r="BD24" s="242">
        <f t="shared" ca="1" si="37"/>
        <v>-72.651133390086983</v>
      </c>
      <c r="BE24" s="242">
        <f t="shared" ca="1" si="37"/>
        <v>-73.420960831605498</v>
      </c>
      <c r="BF24" s="242">
        <f t="shared" ca="1" si="37"/>
        <v>-73.420960831605498</v>
      </c>
      <c r="BG24" s="242">
        <f t="shared" ca="1" si="37"/>
        <v>-74.193673148904537</v>
      </c>
      <c r="BH24" s="242">
        <f t="shared" ca="1" si="37"/>
        <v>-74.193673148904537</v>
      </c>
      <c r="BI24" s="242">
        <f t="shared" ca="1" si="37"/>
        <v>-74.969275177950379</v>
      </c>
      <c r="BJ24" s="242">
        <f t="shared" ca="1" si="37"/>
        <v>-74.969275177950379</v>
      </c>
      <c r="BK24" s="242">
        <f t="shared" ca="1" si="37"/>
        <v>-75.74777175470922</v>
      </c>
      <c r="BL24" s="242">
        <f t="shared" ca="1" si="37"/>
        <v>-75.74777175470922</v>
      </c>
      <c r="BM24" s="242">
        <f t="shared" ca="1" si="37"/>
        <v>-76.529167715140858</v>
      </c>
      <c r="BN24" s="242">
        <f t="shared" ca="1" si="37"/>
        <v>-76.529167715140858</v>
      </c>
      <c r="BO24" s="242">
        <f t="shared" ca="1" si="37"/>
        <v>-77.313467895211616</v>
      </c>
      <c r="BP24" s="243">
        <f t="shared" ref="BP24:CM24" ca="1" si="38">Delta_t_Year-1975</f>
        <v>48.208333333333258</v>
      </c>
      <c r="BQ24" s="243">
        <f t="shared" ca="1" si="38"/>
        <v>48.291666666666742</v>
      </c>
      <c r="BR24" s="243">
        <f t="shared" ca="1" si="38"/>
        <v>48.291666666666742</v>
      </c>
      <c r="BS24" s="243">
        <f t="shared" ca="1" si="38"/>
        <v>48.375</v>
      </c>
      <c r="BT24" s="243">
        <f t="shared" ca="1" si="38"/>
        <v>48.375</v>
      </c>
      <c r="BU24" s="243">
        <f t="shared" ca="1" si="38"/>
        <v>48.458333333333258</v>
      </c>
      <c r="BV24" s="243">
        <f t="shared" ca="1" si="38"/>
        <v>48.458333333333258</v>
      </c>
      <c r="BW24" s="243">
        <f t="shared" ca="1" si="38"/>
        <v>48.541666666666742</v>
      </c>
      <c r="BX24" s="243">
        <f t="shared" ca="1" si="38"/>
        <v>48.541666666666742</v>
      </c>
      <c r="BY24" s="243">
        <f t="shared" ca="1" si="38"/>
        <v>48.625</v>
      </c>
      <c r="BZ24" s="243">
        <f t="shared" ca="1" si="38"/>
        <v>48.625</v>
      </c>
      <c r="CA24" s="243">
        <f t="shared" ca="1" si="38"/>
        <v>48.708333333333258</v>
      </c>
      <c r="CB24" s="243">
        <f t="shared" ca="1" si="38"/>
        <v>48.708333333333258</v>
      </c>
      <c r="CC24" s="243">
        <f t="shared" ca="1" si="38"/>
        <v>48.791666666666742</v>
      </c>
      <c r="CD24" s="243">
        <f t="shared" ca="1" si="38"/>
        <v>48.791666666666742</v>
      </c>
      <c r="CE24" s="243">
        <f t="shared" ca="1" si="38"/>
        <v>48.875</v>
      </c>
      <c r="CF24" s="243">
        <f t="shared" ca="1" si="38"/>
        <v>48.875</v>
      </c>
      <c r="CG24" s="243">
        <f t="shared" ca="1" si="38"/>
        <v>48.958333333333258</v>
      </c>
      <c r="CH24" s="243">
        <f t="shared" ca="1" si="38"/>
        <v>48.958333333333258</v>
      </c>
      <c r="CI24" s="243">
        <f t="shared" ca="1" si="38"/>
        <v>49.041666666666742</v>
      </c>
      <c r="CJ24" s="243">
        <f t="shared" ca="1" si="38"/>
        <v>49.041666666666742</v>
      </c>
      <c r="CK24" s="243">
        <f t="shared" ca="1" si="38"/>
        <v>49.125</v>
      </c>
      <c r="CL24" s="243">
        <f t="shared" ca="1" si="38"/>
        <v>49.125</v>
      </c>
      <c r="CM24" s="243">
        <f t="shared" ca="1" si="38"/>
        <v>49.208333333333258</v>
      </c>
      <c r="CN24" s="244"/>
    </row>
    <row r="25" spans="2:108" ht="40.35" customHeight="1" x14ac:dyDescent="0.1">
      <c r="B25" s="231"/>
      <c r="D25" s="192" t="str">
        <f t="shared" si="0"/>
        <v>驚蟄</v>
      </c>
      <c r="E25" s="193">
        <f t="shared" ca="1" si="1"/>
        <v>45356.432420665864</v>
      </c>
      <c r="F25" s="232"/>
      <c r="G25" s="232"/>
      <c r="H25" s="233" t="s">
        <v>52</v>
      </c>
      <c r="I25" s="234">
        <f t="shared" ca="1" si="5"/>
        <v>2.0654806666544356</v>
      </c>
      <c r="J25" s="235">
        <f t="shared" ca="1" si="6"/>
        <v>246.89454441929939</v>
      </c>
      <c r="K25" s="236">
        <f t="shared" ca="1" si="7"/>
        <v>2460195.3895298098</v>
      </c>
      <c r="L25" s="237">
        <f t="shared" ca="1" si="8"/>
        <v>2460195.7271474162</v>
      </c>
      <c r="M25" s="238">
        <f t="shared" ca="1" si="9"/>
        <v>5.1365706728748618E-3</v>
      </c>
      <c r="N25" s="238">
        <f t="shared" ca="1" si="10"/>
        <v>73.6385573640069</v>
      </c>
      <c r="O25" s="239">
        <f t="shared" ca="1" si="11"/>
        <v>45177.227147416212</v>
      </c>
      <c r="P25" s="240">
        <f t="shared" ca="1" si="12"/>
        <v>505.76831218003684</v>
      </c>
      <c r="Q25" s="241">
        <f t="shared" ca="1" si="35"/>
        <v>219.95433344364326</v>
      </c>
      <c r="R25" s="241">
        <f t="shared" ca="1" si="35"/>
        <v>-145.13321347568271</v>
      </c>
      <c r="S25" s="241">
        <f t="shared" ca="1" si="35"/>
        <v>193.79027133208189</v>
      </c>
      <c r="T25" s="241">
        <f t="shared" ca="1" si="35"/>
        <v>181.81570880079698</v>
      </c>
      <c r="U25" s="241">
        <f t="shared" ca="1" si="35"/>
        <v>76.675824181258946</v>
      </c>
      <c r="V25" s="241">
        <f t="shared" ca="1" si="35"/>
        <v>-34.442184876577343</v>
      </c>
      <c r="W25" s="241">
        <f t="shared" ca="1" si="35"/>
        <v>76.880172636888574</v>
      </c>
      <c r="X25" s="241">
        <f t="shared" ca="1" si="35"/>
        <v>31.847594500290686</v>
      </c>
      <c r="Y25" s="241">
        <f t="shared" ca="1" si="35"/>
        <v>-50.373129721916001</v>
      </c>
      <c r="Z25" s="241">
        <f t="shared" ca="1" si="35"/>
        <v>-57.738848032845844</v>
      </c>
      <c r="AA25" s="241">
        <f t="shared" ca="1" si="36"/>
        <v>46.272772926433809</v>
      </c>
      <c r="AB25" s="241">
        <f t="shared" ca="1" si="36"/>
        <v>-46.586587562401654</v>
      </c>
      <c r="AC25" s="241">
        <f t="shared" ca="1" si="36"/>
        <v>-32.315994004273435</v>
      </c>
      <c r="AD25" s="241">
        <f t="shared" ca="1" si="36"/>
        <v>-22.860679888723855</v>
      </c>
      <c r="AE25" s="241">
        <f t="shared" ca="1" si="36"/>
        <v>24.242417280534973</v>
      </c>
      <c r="AF25" s="241">
        <f t="shared" ca="1" si="36"/>
        <v>12.631985941523112</v>
      </c>
      <c r="AG25" s="241">
        <f t="shared" ca="1" si="36"/>
        <v>5.6291647290678233</v>
      </c>
      <c r="AH25" s="241">
        <f t="shared" ca="1" si="36"/>
        <v>14.322950656505325</v>
      </c>
      <c r="AI25" s="241">
        <f t="shared" ca="1" si="36"/>
        <v>1.1920458246780274</v>
      </c>
      <c r="AJ25" s="241">
        <f t="shared" ca="1" si="36"/>
        <v>7.3765611989920519</v>
      </c>
      <c r="AK25" s="241">
        <f t="shared" ca="1" si="36"/>
        <v>4.0371955846308438</v>
      </c>
      <c r="AL25" s="241">
        <f t="shared" ca="1" si="36"/>
        <v>1.5193142988534358</v>
      </c>
      <c r="AM25" s="241">
        <f t="shared" ca="1" si="36"/>
        <v>-8.294884618496063</v>
      </c>
      <c r="AN25" s="241">
        <f t="shared" ca="1" si="36"/>
        <v>5.3255210247739191</v>
      </c>
      <c r="AP25" s="229">
        <v>1986</v>
      </c>
      <c r="AQ25" s="229" t="s">
        <v>581</v>
      </c>
      <c r="AR25" s="242">
        <f t="shared" ref="AR25:BO25" ca="1" si="39">63.86+0.3345*BP25-0.060374*BP25^2+0.0017275*BP25^3+0.000651814*BP25^4+0.00002373599*BP25^5</f>
        <v>409.62096804774075</v>
      </c>
      <c r="AS25" s="242">
        <f t="shared" ca="1" si="39"/>
        <v>415.26899398887906</v>
      </c>
      <c r="AT25" s="242">
        <f t="shared" ca="1" si="39"/>
        <v>415.26899398887906</v>
      </c>
      <c r="AU25" s="242">
        <f t="shared" ca="1" si="39"/>
        <v>420.98898166825825</v>
      </c>
      <c r="AV25" s="242">
        <f t="shared" ca="1" si="39"/>
        <v>420.98898166825825</v>
      </c>
      <c r="AW25" s="242">
        <f t="shared" ca="1" si="39"/>
        <v>426.78159703438075</v>
      </c>
      <c r="AX25" s="242">
        <f t="shared" ca="1" si="39"/>
        <v>426.78159703438075</v>
      </c>
      <c r="AY25" s="242">
        <f t="shared" ca="1" si="39"/>
        <v>432.64751000097885</v>
      </c>
      <c r="AZ25" s="242">
        <f t="shared" ca="1" si="39"/>
        <v>432.64751000097885</v>
      </c>
      <c r="BA25" s="242">
        <f t="shared" ca="1" si="39"/>
        <v>438.5873944584124</v>
      </c>
      <c r="BB25" s="242">
        <f t="shared" ca="1" si="39"/>
        <v>438.5873944584124</v>
      </c>
      <c r="BC25" s="242">
        <f t="shared" ca="1" si="39"/>
        <v>444.6019282852115</v>
      </c>
      <c r="BD25" s="242">
        <f t="shared" ca="1" si="39"/>
        <v>444.6019282852115</v>
      </c>
      <c r="BE25" s="242">
        <f t="shared" ca="1" si="39"/>
        <v>450.69179335947672</v>
      </c>
      <c r="BF25" s="242">
        <f t="shared" ca="1" si="39"/>
        <v>450.69179335947672</v>
      </c>
      <c r="BG25" s="242">
        <f t="shared" ca="1" si="39"/>
        <v>456.85767557027435</v>
      </c>
      <c r="BH25" s="242">
        <f t="shared" ca="1" si="39"/>
        <v>456.85767557027435</v>
      </c>
      <c r="BI25" s="242">
        <f t="shared" ca="1" si="39"/>
        <v>463.100264829183</v>
      </c>
      <c r="BJ25" s="242">
        <f t="shared" ca="1" si="39"/>
        <v>463.100264829183</v>
      </c>
      <c r="BK25" s="242">
        <f t="shared" ca="1" si="39"/>
        <v>469.42025508169195</v>
      </c>
      <c r="BL25" s="242">
        <f t="shared" ca="1" si="39"/>
        <v>469.42025508169195</v>
      </c>
      <c r="BM25" s="242">
        <f t="shared" ca="1" si="39"/>
        <v>475.81834431859494</v>
      </c>
      <c r="BN25" s="242">
        <f t="shared" ca="1" si="39"/>
        <v>475.81834431859494</v>
      </c>
      <c r="BO25" s="242">
        <f t="shared" ca="1" si="39"/>
        <v>482.29523458753988</v>
      </c>
      <c r="BP25" s="243">
        <f t="shared" ref="BP25:BY26" ca="1" si="40">Delta_t_Year-2000</f>
        <v>23.208333333333258</v>
      </c>
      <c r="BQ25" s="243">
        <f t="shared" ca="1" si="40"/>
        <v>23.291666666666742</v>
      </c>
      <c r="BR25" s="243">
        <f t="shared" ca="1" si="40"/>
        <v>23.291666666666742</v>
      </c>
      <c r="BS25" s="243">
        <f t="shared" ca="1" si="40"/>
        <v>23.375</v>
      </c>
      <c r="BT25" s="243">
        <f t="shared" ca="1" si="40"/>
        <v>23.375</v>
      </c>
      <c r="BU25" s="243">
        <f t="shared" ca="1" si="40"/>
        <v>23.458333333333258</v>
      </c>
      <c r="BV25" s="243">
        <f t="shared" ca="1" si="40"/>
        <v>23.458333333333258</v>
      </c>
      <c r="BW25" s="243">
        <f t="shared" ca="1" si="40"/>
        <v>23.541666666666742</v>
      </c>
      <c r="BX25" s="243">
        <f t="shared" ca="1" si="40"/>
        <v>23.541666666666742</v>
      </c>
      <c r="BY25" s="243">
        <f t="shared" ca="1" si="40"/>
        <v>23.625</v>
      </c>
      <c r="BZ25" s="243">
        <f t="shared" ref="BZ25:CM26" ca="1" si="41">Delta_t_Year-2000</f>
        <v>23.625</v>
      </c>
      <c r="CA25" s="243">
        <f t="shared" ca="1" si="41"/>
        <v>23.708333333333258</v>
      </c>
      <c r="CB25" s="243">
        <f t="shared" ca="1" si="41"/>
        <v>23.708333333333258</v>
      </c>
      <c r="CC25" s="243">
        <f t="shared" ca="1" si="41"/>
        <v>23.791666666666742</v>
      </c>
      <c r="CD25" s="243">
        <f t="shared" ca="1" si="41"/>
        <v>23.791666666666742</v>
      </c>
      <c r="CE25" s="243">
        <f t="shared" ca="1" si="41"/>
        <v>23.875</v>
      </c>
      <c r="CF25" s="243">
        <f t="shared" ca="1" si="41"/>
        <v>23.875</v>
      </c>
      <c r="CG25" s="243">
        <f t="shared" ca="1" si="41"/>
        <v>23.958333333333258</v>
      </c>
      <c r="CH25" s="243">
        <f t="shared" ca="1" si="41"/>
        <v>23.958333333333258</v>
      </c>
      <c r="CI25" s="243">
        <f t="shared" ca="1" si="41"/>
        <v>24.041666666666742</v>
      </c>
      <c r="CJ25" s="243">
        <f t="shared" ca="1" si="41"/>
        <v>24.041666666666742</v>
      </c>
      <c r="CK25" s="243">
        <f t="shared" ca="1" si="41"/>
        <v>24.125</v>
      </c>
      <c r="CL25" s="243">
        <f t="shared" ca="1" si="41"/>
        <v>24.125</v>
      </c>
      <c r="CM25" s="243">
        <f t="shared" ca="1" si="41"/>
        <v>24.208333333333258</v>
      </c>
      <c r="CN25" s="244"/>
    </row>
    <row r="26" spans="2:108" ht="40.35" customHeight="1" x14ac:dyDescent="0.1">
      <c r="B26" s="231"/>
      <c r="F26" s="232"/>
      <c r="G26" s="232"/>
      <c r="H26" s="233" t="s">
        <v>53</v>
      </c>
      <c r="I26" s="234">
        <f t="shared" ca="1" si="5"/>
        <v>1.8036812788552865</v>
      </c>
      <c r="J26" s="235">
        <f t="shared" ca="1" si="6"/>
        <v>262.28854604095068</v>
      </c>
      <c r="K26" s="236">
        <f t="shared" ca="1" si="7"/>
        <v>2460210.7835314316</v>
      </c>
      <c r="L26" s="237">
        <f t="shared" ca="1" si="8"/>
        <v>2460211.1181187886</v>
      </c>
      <c r="M26" s="238">
        <f t="shared" ca="1" si="9"/>
        <v>2.1063216444512727E-3</v>
      </c>
      <c r="N26" s="238">
        <f t="shared" ca="1" si="10"/>
        <v>73.6385573640069</v>
      </c>
      <c r="O26" s="239">
        <f t="shared" ca="1" si="11"/>
        <v>45192.618118788581</v>
      </c>
      <c r="P26" s="240">
        <f t="shared" ca="1" si="12"/>
        <v>209.10632266896047</v>
      </c>
      <c r="Q26" s="241">
        <f t="shared" ca="1" si="35"/>
        <v>213.78240146144449</v>
      </c>
      <c r="R26" s="241">
        <f t="shared" ca="1" si="35"/>
        <v>-106.80659910360924</v>
      </c>
      <c r="S26" s="241">
        <f t="shared" ca="1" si="35"/>
        <v>193.79698621895389</v>
      </c>
      <c r="T26" s="241">
        <f t="shared" ca="1" si="35"/>
        <v>-179.09933240868145</v>
      </c>
      <c r="U26" s="241">
        <f t="shared" ca="1" si="35"/>
        <v>116.69527090024677</v>
      </c>
      <c r="V26" s="241">
        <f t="shared" ca="1" si="35"/>
        <v>-55.664488417910391</v>
      </c>
      <c r="W26" s="241">
        <f t="shared" ca="1" si="35"/>
        <v>70.01686174827141</v>
      </c>
      <c r="X26" s="241">
        <f t="shared" ca="1" si="35"/>
        <v>33.330733696724373</v>
      </c>
      <c r="Y26" s="241">
        <f t="shared" ca="1" si="35"/>
        <v>-47.032933097768421</v>
      </c>
      <c r="Z26" s="241">
        <f t="shared" ca="1" si="35"/>
        <v>-54.622267648471436</v>
      </c>
      <c r="AA26" s="241">
        <f t="shared" ca="1" si="36"/>
        <v>46.299039749107074</v>
      </c>
      <c r="AB26" s="241">
        <f t="shared" ca="1" si="36"/>
        <v>-46.275351799573741</v>
      </c>
      <c r="AC26" s="241">
        <f t="shared" ca="1" si="36"/>
        <v>-38.374889831696606</v>
      </c>
      <c r="AD26" s="241">
        <f t="shared" ca="1" si="36"/>
        <v>-13.598995831199094</v>
      </c>
      <c r="AE26" s="241">
        <f t="shared" ca="1" si="36"/>
        <v>23.709352498067666</v>
      </c>
      <c r="AF26" s="241">
        <f t="shared" ca="1" si="36"/>
        <v>17.217333198844855</v>
      </c>
      <c r="AG26" s="241">
        <f t="shared" ca="1" si="36"/>
        <v>6.1642471173428639</v>
      </c>
      <c r="AH26" s="241">
        <f t="shared" ca="1" si="36"/>
        <v>15.999996150200598</v>
      </c>
      <c r="AI26" s="241">
        <f t="shared" ca="1" si="36"/>
        <v>-2.0367324643036682</v>
      </c>
      <c r="AJ26" s="241">
        <f t="shared" ca="1" si="36"/>
        <v>8.3472153095310357</v>
      </c>
      <c r="AK26" s="241">
        <f t="shared" ca="1" si="36"/>
        <v>6.5563480733146777</v>
      </c>
      <c r="AL26" s="241">
        <f t="shared" ca="1" si="36"/>
        <v>4.4818969641137576</v>
      </c>
      <c r="AM26" s="241">
        <f t="shared" ca="1" si="36"/>
        <v>-8.3259424853360731</v>
      </c>
      <c r="AN26" s="241">
        <f t="shared" ca="1" si="36"/>
        <v>4.5461726713470956</v>
      </c>
      <c r="AP26" s="229">
        <v>2005</v>
      </c>
      <c r="AQ26" s="229" t="s">
        <v>582</v>
      </c>
      <c r="AR26" s="242">
        <f t="shared" ref="AR26:BO26" ca="1" si="42">62.92+0.32217*BP26+0.005589*BP26^2</f>
        <v>73.407413578124959</v>
      </c>
      <c r="AS26" s="242">
        <f t="shared" ca="1" si="42"/>
        <v>73.455918453125037</v>
      </c>
      <c r="AT26" s="242">
        <f t="shared" ca="1" si="42"/>
        <v>73.455918453125037</v>
      </c>
      <c r="AU26" s="242">
        <f t="shared" ca="1" si="42"/>
        <v>73.504500953125003</v>
      </c>
      <c r="AV26" s="242">
        <f t="shared" ca="1" si="42"/>
        <v>73.504500953125003</v>
      </c>
      <c r="AW26" s="242">
        <f t="shared" ca="1" si="42"/>
        <v>73.553161078124958</v>
      </c>
      <c r="AX26" s="242">
        <f t="shared" ca="1" si="42"/>
        <v>73.553161078124958</v>
      </c>
      <c r="AY26" s="242">
        <f t="shared" ca="1" si="42"/>
        <v>73.601898828125044</v>
      </c>
      <c r="AZ26" s="242">
        <f t="shared" ca="1" si="42"/>
        <v>73.601898828125044</v>
      </c>
      <c r="BA26" s="242">
        <f t="shared" ca="1" si="42"/>
        <v>73.650714203125005</v>
      </c>
      <c r="BB26" s="242">
        <f t="shared" ca="1" si="42"/>
        <v>73.650714203125005</v>
      </c>
      <c r="BC26" s="242">
        <f t="shared" ca="1" si="42"/>
        <v>73.699607203124955</v>
      </c>
      <c r="BD26" s="242">
        <f t="shared" ca="1" si="42"/>
        <v>73.699607203124955</v>
      </c>
      <c r="BE26" s="242">
        <f t="shared" ca="1" si="42"/>
        <v>73.748577828125036</v>
      </c>
      <c r="BF26" s="242">
        <f t="shared" ca="1" si="42"/>
        <v>73.748577828125036</v>
      </c>
      <c r="BG26" s="242">
        <f t="shared" ca="1" si="42"/>
        <v>73.797626078124992</v>
      </c>
      <c r="BH26" s="242">
        <f t="shared" ca="1" si="42"/>
        <v>73.797626078124992</v>
      </c>
      <c r="BI26" s="242">
        <f t="shared" ca="1" si="42"/>
        <v>73.846751953124965</v>
      </c>
      <c r="BJ26" s="242">
        <f t="shared" ca="1" si="42"/>
        <v>73.846751953124965</v>
      </c>
      <c r="BK26" s="242">
        <f t="shared" ca="1" si="42"/>
        <v>73.895955453125055</v>
      </c>
      <c r="BL26" s="242">
        <f t="shared" ca="1" si="42"/>
        <v>73.895955453125055</v>
      </c>
      <c r="BM26" s="242">
        <f t="shared" ca="1" si="42"/>
        <v>73.945236578125005</v>
      </c>
      <c r="BN26" s="242">
        <f t="shared" ca="1" si="42"/>
        <v>73.945236578125005</v>
      </c>
      <c r="BO26" s="242">
        <f t="shared" ca="1" si="42"/>
        <v>73.994595328124959</v>
      </c>
      <c r="BP26" s="243">
        <f t="shared" ca="1" si="40"/>
        <v>23.208333333333258</v>
      </c>
      <c r="BQ26" s="243">
        <f t="shared" ca="1" si="40"/>
        <v>23.291666666666742</v>
      </c>
      <c r="BR26" s="243">
        <f t="shared" ca="1" si="40"/>
        <v>23.291666666666742</v>
      </c>
      <c r="BS26" s="243">
        <f t="shared" ca="1" si="40"/>
        <v>23.375</v>
      </c>
      <c r="BT26" s="243">
        <f t="shared" ca="1" si="40"/>
        <v>23.375</v>
      </c>
      <c r="BU26" s="243">
        <f t="shared" ca="1" si="40"/>
        <v>23.458333333333258</v>
      </c>
      <c r="BV26" s="243">
        <f t="shared" ca="1" si="40"/>
        <v>23.458333333333258</v>
      </c>
      <c r="BW26" s="243">
        <f t="shared" ca="1" si="40"/>
        <v>23.541666666666742</v>
      </c>
      <c r="BX26" s="243">
        <f t="shared" ca="1" si="40"/>
        <v>23.541666666666742</v>
      </c>
      <c r="BY26" s="243">
        <f t="shared" ca="1" si="40"/>
        <v>23.625</v>
      </c>
      <c r="BZ26" s="243">
        <f t="shared" ca="1" si="41"/>
        <v>23.625</v>
      </c>
      <c r="CA26" s="243">
        <f t="shared" ca="1" si="41"/>
        <v>23.708333333333258</v>
      </c>
      <c r="CB26" s="243">
        <f t="shared" ca="1" si="41"/>
        <v>23.708333333333258</v>
      </c>
      <c r="CC26" s="243">
        <f t="shared" ca="1" si="41"/>
        <v>23.791666666666742</v>
      </c>
      <c r="CD26" s="243">
        <f t="shared" ca="1" si="41"/>
        <v>23.791666666666742</v>
      </c>
      <c r="CE26" s="243">
        <f t="shared" ca="1" si="41"/>
        <v>23.875</v>
      </c>
      <c r="CF26" s="243">
        <f t="shared" ca="1" si="41"/>
        <v>23.875</v>
      </c>
      <c r="CG26" s="243">
        <f t="shared" ca="1" si="41"/>
        <v>23.958333333333258</v>
      </c>
      <c r="CH26" s="243">
        <f t="shared" ca="1" si="41"/>
        <v>23.958333333333258</v>
      </c>
      <c r="CI26" s="243">
        <f t="shared" ca="1" si="41"/>
        <v>24.041666666666742</v>
      </c>
      <c r="CJ26" s="243">
        <f t="shared" ca="1" si="41"/>
        <v>24.041666666666742</v>
      </c>
      <c r="CK26" s="243">
        <f t="shared" ca="1" si="41"/>
        <v>24.125</v>
      </c>
      <c r="CL26" s="243">
        <f t="shared" ca="1" si="41"/>
        <v>24.125</v>
      </c>
      <c r="CM26" s="243">
        <f t="shared" ca="1" si="41"/>
        <v>24.208333333333258</v>
      </c>
      <c r="CN26" s="244"/>
      <c r="CO26" s="199" t="s">
        <v>583</v>
      </c>
    </row>
    <row r="27" spans="2:108" ht="40.35" customHeight="1" x14ac:dyDescent="0.1">
      <c r="B27" s="231"/>
      <c r="F27" s="232"/>
      <c r="G27" s="232"/>
      <c r="H27" s="233" t="s">
        <v>54</v>
      </c>
      <c r="I27" s="234">
        <f t="shared" ca="1" si="5"/>
        <v>1.5418818910561374</v>
      </c>
      <c r="J27" s="235">
        <f t="shared" ca="1" si="6"/>
        <v>277.55239303006999</v>
      </c>
      <c r="K27" s="236">
        <f t="shared" ca="1" si="7"/>
        <v>2460226.0473784204</v>
      </c>
      <c r="L27" s="237">
        <f t="shared" ca="1" si="8"/>
        <v>2460226.3858865802</v>
      </c>
      <c r="M27" s="238">
        <f t="shared" ca="1" si="9"/>
        <v>6.02768963625765E-3</v>
      </c>
      <c r="N27" s="238">
        <f t="shared" ca="1" si="10"/>
        <v>73.687379809840309</v>
      </c>
      <c r="O27" s="239">
        <f t="shared" ca="1" si="11"/>
        <v>45207.885886580218</v>
      </c>
      <c r="P27" s="240">
        <f t="shared" ca="1" si="12"/>
        <v>603.63191140422009</v>
      </c>
      <c r="Q27" s="241">
        <f t="shared" ca="1" si="35"/>
        <v>207.61992336417225</v>
      </c>
      <c r="R27" s="241">
        <f t="shared" ca="1" si="35"/>
        <v>-62.626600377125811</v>
      </c>
      <c r="S27" s="241">
        <f t="shared" ca="1" si="35"/>
        <v>193.80364011329436</v>
      </c>
      <c r="T27" s="241">
        <f t="shared" ca="1" si="35"/>
        <v>174.66602342507784</v>
      </c>
      <c r="U27" s="241">
        <f t="shared" ca="1" si="35"/>
        <v>143.85537658249646</v>
      </c>
      <c r="V27" s="241">
        <f t="shared" ca="1" si="35"/>
        <v>-75.204328416171791</v>
      </c>
      <c r="W27" s="241">
        <f t="shared" ca="1" si="35"/>
        <v>47.255797583399065</v>
      </c>
      <c r="X27" s="241">
        <f t="shared" ca="1" si="35"/>
        <v>34.784934264603848</v>
      </c>
      <c r="Y27" s="241">
        <f t="shared" ca="1" si="35"/>
        <v>-43.515775771292759</v>
      </c>
      <c r="Z27" s="241">
        <f t="shared" ca="1" si="35"/>
        <v>-48.230270112184996</v>
      </c>
      <c r="AA27" s="241">
        <f t="shared" ca="1" si="36"/>
        <v>46.325028329411616</v>
      </c>
      <c r="AB27" s="241">
        <f t="shared" ca="1" si="36"/>
        <v>-45.953881766113838</v>
      </c>
      <c r="AC27" s="241">
        <f t="shared" ca="1" si="36"/>
        <v>-42.554067878075976</v>
      </c>
      <c r="AD27" s="241">
        <f t="shared" ca="1" si="36"/>
        <v>-3.693916939790673</v>
      </c>
      <c r="AE27" s="241">
        <f t="shared" ca="1" si="36"/>
        <v>23.155785875710141</v>
      </c>
      <c r="AF27" s="241">
        <f t="shared" ca="1" si="36"/>
        <v>17.652699237935916</v>
      </c>
      <c r="AG27" s="241">
        <f t="shared" ca="1" si="36"/>
        <v>6.6879524432128443</v>
      </c>
      <c r="AH27" s="241">
        <f t="shared" ca="1" si="36"/>
        <v>14.340905476430894</v>
      </c>
      <c r="AI27" s="241">
        <f t="shared" ca="1" si="36"/>
        <v>-5.1316217549862699</v>
      </c>
      <c r="AJ27" s="241">
        <f t="shared" ca="1" si="36"/>
        <v>9.2150105662953461</v>
      </c>
      <c r="AK27" s="241">
        <f t="shared" ca="1" si="36"/>
        <v>8.6990315320336062</v>
      </c>
      <c r="AL27" s="241">
        <f t="shared" ca="1" si="36"/>
        <v>7.1319066486654066</v>
      </c>
      <c r="AM27" s="241">
        <f t="shared" ca="1" si="36"/>
        <v>-8.3560734074817358</v>
      </c>
      <c r="AN27" s="241">
        <f t="shared" ca="1" si="36"/>
        <v>3.7044323847046088</v>
      </c>
      <c r="AP27" s="229">
        <v>2050</v>
      </c>
      <c r="AQ27" s="229" t="s">
        <v>584</v>
      </c>
      <c r="AR27" s="242">
        <f t="shared" ref="AR27:BO27" ca="1" si="43">-20+32*(($B$1-1820)/100)^2-0.5628*(2150-$B$1)</f>
        <v>40.393199999999965</v>
      </c>
      <c r="AS27" s="242">
        <f t="shared" ca="1" si="43"/>
        <v>40.393199999999965</v>
      </c>
      <c r="AT27" s="242">
        <f t="shared" ca="1" si="43"/>
        <v>40.393199999999965</v>
      </c>
      <c r="AU27" s="242">
        <f t="shared" ca="1" si="43"/>
        <v>40.393199999999965</v>
      </c>
      <c r="AV27" s="242">
        <f t="shared" ca="1" si="43"/>
        <v>40.393199999999965</v>
      </c>
      <c r="AW27" s="242">
        <f t="shared" ca="1" si="43"/>
        <v>40.393199999999965</v>
      </c>
      <c r="AX27" s="242">
        <f t="shared" ca="1" si="43"/>
        <v>40.393199999999965</v>
      </c>
      <c r="AY27" s="242">
        <f t="shared" ca="1" si="43"/>
        <v>40.393199999999965</v>
      </c>
      <c r="AZ27" s="242">
        <f t="shared" ca="1" si="43"/>
        <v>40.393199999999965</v>
      </c>
      <c r="BA27" s="242">
        <f t="shared" ca="1" si="43"/>
        <v>40.393199999999965</v>
      </c>
      <c r="BB27" s="242">
        <f t="shared" ca="1" si="43"/>
        <v>40.393199999999965</v>
      </c>
      <c r="BC27" s="242">
        <f t="shared" ca="1" si="43"/>
        <v>40.393199999999965</v>
      </c>
      <c r="BD27" s="242">
        <f t="shared" ca="1" si="43"/>
        <v>40.393199999999965</v>
      </c>
      <c r="BE27" s="242">
        <f t="shared" ca="1" si="43"/>
        <v>40.393199999999965</v>
      </c>
      <c r="BF27" s="242">
        <f t="shared" ca="1" si="43"/>
        <v>40.393199999999965</v>
      </c>
      <c r="BG27" s="242">
        <f t="shared" ca="1" si="43"/>
        <v>40.393199999999965</v>
      </c>
      <c r="BH27" s="242">
        <f t="shared" ca="1" si="43"/>
        <v>40.393199999999965</v>
      </c>
      <c r="BI27" s="242">
        <f t="shared" ca="1" si="43"/>
        <v>40.393199999999965</v>
      </c>
      <c r="BJ27" s="242">
        <f t="shared" ca="1" si="43"/>
        <v>40.393199999999965</v>
      </c>
      <c r="BK27" s="242">
        <f t="shared" ca="1" si="43"/>
        <v>40.393199999999965</v>
      </c>
      <c r="BL27" s="242">
        <f t="shared" ca="1" si="43"/>
        <v>40.393199999999965</v>
      </c>
      <c r="BM27" s="242">
        <f t="shared" ca="1" si="43"/>
        <v>40.393199999999965</v>
      </c>
      <c r="BN27" s="242">
        <f t="shared" ca="1" si="43"/>
        <v>40.393199999999965</v>
      </c>
      <c r="BO27" s="242">
        <f t="shared" ca="1" si="43"/>
        <v>40.393199999999965</v>
      </c>
      <c r="BP27" s="243"/>
      <c r="BQ27" s="243"/>
      <c r="BR27" s="243"/>
      <c r="BS27" s="243"/>
      <c r="BT27" s="243"/>
      <c r="BU27" s="243"/>
      <c r="BV27" s="243"/>
      <c r="BW27" s="243"/>
      <c r="BX27" s="243"/>
      <c r="BY27" s="243"/>
      <c r="BZ27" s="243"/>
      <c r="CA27" s="243"/>
      <c r="CB27" s="243"/>
      <c r="CC27" s="243"/>
      <c r="CD27" s="243"/>
      <c r="CE27" s="243"/>
      <c r="CF27" s="243"/>
      <c r="CG27" s="243"/>
      <c r="CH27" s="243"/>
      <c r="CI27" s="243"/>
      <c r="CJ27" s="243"/>
      <c r="CK27" s="243"/>
      <c r="CL27" s="243"/>
      <c r="CM27" s="243"/>
      <c r="CN27" s="244"/>
    </row>
    <row r="28" spans="2:108" ht="40.35" customHeight="1" x14ac:dyDescent="0.1">
      <c r="B28" s="231"/>
      <c r="F28" s="232"/>
      <c r="G28" s="232"/>
      <c r="H28" s="233" t="s">
        <v>55</v>
      </c>
      <c r="I28" s="234">
        <f t="shared" ca="1" si="5"/>
        <v>1.2800825032569882</v>
      </c>
      <c r="J28" s="235">
        <f t="shared" ca="1" si="6"/>
        <v>292.68423196732942</v>
      </c>
      <c r="K28" s="236">
        <f t="shared" ca="1" si="7"/>
        <v>2460241.1792173577</v>
      </c>
      <c r="L28" s="237">
        <f t="shared" ca="1" si="8"/>
        <v>2460241.5144331199</v>
      </c>
      <c r="M28" s="238">
        <f t="shared" ca="1" si="9"/>
        <v>2.73529186470733E-3</v>
      </c>
      <c r="N28" s="238">
        <f t="shared" ca="1" si="10"/>
        <v>73.687379809840309</v>
      </c>
      <c r="O28" s="239">
        <f t="shared" ca="1" si="11"/>
        <v>45223.014433119912</v>
      </c>
      <c r="P28" s="240">
        <f t="shared" ca="1" si="12"/>
        <v>276.28498604545371</v>
      </c>
      <c r="Q28" s="241">
        <f t="shared" ca="1" si="35"/>
        <v>201.46995398093165</v>
      </c>
      <c r="R28" s="241">
        <f t="shared" ca="1" si="35"/>
        <v>-15.26458799997148</v>
      </c>
      <c r="S28" s="241">
        <f t="shared" ca="1" si="35"/>
        <v>193.81023231523506</v>
      </c>
      <c r="T28" s="241">
        <f t="shared" ca="1" si="35"/>
        <v>-170.15041333166275</v>
      </c>
      <c r="U28" s="241">
        <f t="shared" ca="1" si="35"/>
        <v>155.60088496500583</v>
      </c>
      <c r="V28" s="241">
        <f t="shared" ca="1" si="35"/>
        <v>-92.578586778297222</v>
      </c>
      <c r="W28" s="241">
        <f t="shared" ca="1" si="35"/>
        <v>14.091402461673622</v>
      </c>
      <c r="X28" s="241">
        <f t="shared" ca="1" si="35"/>
        <v>36.209736988223881</v>
      </c>
      <c r="Y28" s="241">
        <f t="shared" ca="1" si="35"/>
        <v>-39.842423828664053</v>
      </c>
      <c r="Z28" s="241">
        <f t="shared" ca="1" si="35"/>
        <v>-39.027203337871001</v>
      </c>
      <c r="AA28" s="241">
        <f t="shared" ca="1" si="36"/>
        <v>46.350736921326046</v>
      </c>
      <c r="AB28" s="241">
        <f t="shared" ca="1" si="36"/>
        <v>-45.622634363406597</v>
      </c>
      <c r="AC28" s="241">
        <f t="shared" ca="1" si="36"/>
        <v>-44.70374480903876</v>
      </c>
      <c r="AD28" s="241">
        <f t="shared" ca="1" si="36"/>
        <v>6.31931939882484</v>
      </c>
      <c r="AE28" s="241">
        <f t="shared" ca="1" si="36"/>
        <v>22.582999912420604</v>
      </c>
      <c r="AF28" s="241">
        <f t="shared" ca="1" si="36"/>
        <v>13.936938832970123</v>
      </c>
      <c r="AG28" s="241">
        <f t="shared" ca="1" si="36"/>
        <v>7.1998205138887315</v>
      </c>
      <c r="AH28" s="241">
        <f t="shared" ca="1" si="36"/>
        <v>9.7668718441753448</v>
      </c>
      <c r="AI28" s="241">
        <f t="shared" ca="1" si="36"/>
        <v>-7.9350374072643222</v>
      </c>
      <c r="AJ28" s="241">
        <f t="shared" ca="1" si="36"/>
        <v>9.9725904948173216</v>
      </c>
      <c r="AK28" s="241">
        <f t="shared" ca="1" si="36"/>
        <v>10.359800895896225</v>
      </c>
      <c r="AL28" s="241">
        <f t="shared" ca="1" si="36"/>
        <v>9.308902175708889</v>
      </c>
      <c r="AM28" s="241">
        <f t="shared" ca="1" si="36"/>
        <v>-8.3852884055125934</v>
      </c>
      <c r="AN28" s="241">
        <f t="shared" ca="1" si="36"/>
        <v>2.8147146060443462</v>
      </c>
      <c r="AP28" s="229">
        <v>2150</v>
      </c>
      <c r="AQ28" s="229" t="s">
        <v>585</v>
      </c>
      <c r="AR28" s="242">
        <f t="shared" ref="AR28:BO28" ca="1" si="44">-20+32*BP28^2</f>
        <v>112.13960555555545</v>
      </c>
      <c r="AS28" s="242">
        <f t="shared" ca="1" si="44"/>
        <v>112.24800555555564</v>
      </c>
      <c r="AT28" s="242">
        <f t="shared" ca="1" si="44"/>
        <v>112.24800555555564</v>
      </c>
      <c r="AU28" s="242">
        <f t="shared" ca="1" si="44"/>
        <v>112.35645</v>
      </c>
      <c r="AV28" s="242">
        <f t="shared" ca="1" si="44"/>
        <v>112.35645</v>
      </c>
      <c r="AW28" s="242">
        <f t="shared" ca="1" si="44"/>
        <v>112.46493888888878</v>
      </c>
      <c r="AX28" s="242">
        <f t="shared" ca="1" si="44"/>
        <v>112.46493888888878</v>
      </c>
      <c r="AY28" s="242">
        <f t="shared" ca="1" si="44"/>
        <v>112.57347222222231</v>
      </c>
      <c r="AZ28" s="242">
        <f t="shared" ca="1" si="44"/>
        <v>112.57347222222231</v>
      </c>
      <c r="BA28" s="242">
        <f t="shared" ca="1" si="44"/>
        <v>112.68204999999998</v>
      </c>
      <c r="BB28" s="242">
        <f t="shared" ca="1" si="44"/>
        <v>112.68204999999998</v>
      </c>
      <c r="BC28" s="242">
        <f t="shared" ca="1" si="44"/>
        <v>112.7906722222221</v>
      </c>
      <c r="BD28" s="242">
        <f t="shared" ca="1" si="44"/>
        <v>112.7906722222221</v>
      </c>
      <c r="BE28" s="242">
        <f t="shared" ca="1" si="44"/>
        <v>112.89933888888896</v>
      </c>
      <c r="BF28" s="242">
        <f t="shared" ca="1" si="44"/>
        <v>112.89933888888896</v>
      </c>
      <c r="BG28" s="242">
        <f t="shared" ca="1" si="44"/>
        <v>113.00804999999997</v>
      </c>
      <c r="BH28" s="242">
        <f t="shared" ca="1" si="44"/>
        <v>113.00804999999997</v>
      </c>
      <c r="BI28" s="242">
        <f t="shared" ca="1" si="44"/>
        <v>113.11680555555543</v>
      </c>
      <c r="BJ28" s="242">
        <f t="shared" ca="1" si="44"/>
        <v>113.11680555555543</v>
      </c>
      <c r="BK28" s="242">
        <f t="shared" ca="1" si="44"/>
        <v>113.22560555555563</v>
      </c>
      <c r="BL28" s="242">
        <f t="shared" ca="1" si="44"/>
        <v>113.22560555555563</v>
      </c>
      <c r="BM28" s="242">
        <f t="shared" ca="1" si="44"/>
        <v>113.33444999999998</v>
      </c>
      <c r="BN28" s="242">
        <f t="shared" ca="1" si="44"/>
        <v>113.33444999999998</v>
      </c>
      <c r="BO28" s="242">
        <f t="shared" ca="1" si="44"/>
        <v>113.44333888888877</v>
      </c>
      <c r="BP28" s="243">
        <f t="shared" ref="BP28:CM28" ca="1" si="45">(Delta_t_Year-1820)/100</f>
        <v>2.0320833333333326</v>
      </c>
      <c r="BQ28" s="243">
        <f t="shared" ca="1" si="45"/>
        <v>2.0329166666666674</v>
      </c>
      <c r="BR28" s="243">
        <f t="shared" ca="1" si="45"/>
        <v>2.0329166666666674</v>
      </c>
      <c r="BS28" s="243">
        <f t="shared" ca="1" si="45"/>
        <v>2.0337499999999999</v>
      </c>
      <c r="BT28" s="243">
        <f t="shared" ca="1" si="45"/>
        <v>2.0337499999999999</v>
      </c>
      <c r="BU28" s="243">
        <f t="shared" ca="1" si="45"/>
        <v>2.0345833333333325</v>
      </c>
      <c r="BV28" s="243">
        <f t="shared" ca="1" si="45"/>
        <v>2.0345833333333325</v>
      </c>
      <c r="BW28" s="243">
        <f t="shared" ca="1" si="45"/>
        <v>2.0354166666666673</v>
      </c>
      <c r="BX28" s="243">
        <f t="shared" ca="1" si="45"/>
        <v>2.0354166666666673</v>
      </c>
      <c r="BY28" s="243">
        <f t="shared" ca="1" si="45"/>
        <v>2.0362499999999999</v>
      </c>
      <c r="BZ28" s="243">
        <f t="shared" ca="1" si="45"/>
        <v>2.0362499999999999</v>
      </c>
      <c r="CA28" s="243">
        <f t="shared" ca="1" si="45"/>
        <v>2.0370833333333325</v>
      </c>
      <c r="CB28" s="243">
        <f t="shared" ca="1" si="45"/>
        <v>2.0370833333333325</v>
      </c>
      <c r="CC28" s="243">
        <f t="shared" ca="1" si="45"/>
        <v>2.0379166666666673</v>
      </c>
      <c r="CD28" s="243">
        <f t="shared" ca="1" si="45"/>
        <v>2.0379166666666673</v>
      </c>
      <c r="CE28" s="243">
        <f t="shared" ca="1" si="45"/>
        <v>2.0387499999999998</v>
      </c>
      <c r="CF28" s="243">
        <f t="shared" ca="1" si="45"/>
        <v>2.0387499999999998</v>
      </c>
      <c r="CG28" s="243">
        <f t="shared" ca="1" si="45"/>
        <v>2.0395833333333324</v>
      </c>
      <c r="CH28" s="243">
        <f t="shared" ca="1" si="45"/>
        <v>2.0395833333333324</v>
      </c>
      <c r="CI28" s="243">
        <f t="shared" ca="1" si="45"/>
        <v>2.0404166666666672</v>
      </c>
      <c r="CJ28" s="243">
        <f t="shared" ca="1" si="45"/>
        <v>2.0404166666666672</v>
      </c>
      <c r="CK28" s="243">
        <f t="shared" ca="1" si="45"/>
        <v>2.0412499999999998</v>
      </c>
      <c r="CL28" s="243">
        <f t="shared" ca="1" si="45"/>
        <v>2.0412499999999998</v>
      </c>
      <c r="CM28" s="243">
        <f t="shared" ca="1" si="45"/>
        <v>2.0420833333333324</v>
      </c>
      <c r="CN28" s="244"/>
    </row>
    <row r="29" spans="2:108" ht="40.35" customHeight="1" x14ac:dyDescent="0.1">
      <c r="B29" s="231"/>
      <c r="F29" s="232"/>
      <c r="G29" s="232"/>
      <c r="H29" s="233" t="s">
        <v>56</v>
      </c>
      <c r="I29" s="234">
        <f t="shared" ca="1" si="5"/>
        <v>1.0182831154578391</v>
      </c>
      <c r="J29" s="235">
        <f t="shared" ca="1" si="6"/>
        <v>307.6911407730928</v>
      </c>
      <c r="K29" s="236">
        <f t="shared" ca="1" si="7"/>
        <v>2460256.1861261637</v>
      </c>
      <c r="L29" s="237">
        <f t="shared" ca="1" si="8"/>
        <v>2460256.5246214843</v>
      </c>
      <c r="M29" s="238">
        <f t="shared" ca="1" si="9"/>
        <v>6.0154163023747216E-3</v>
      </c>
      <c r="N29" s="238">
        <f t="shared" ca="1" si="10"/>
        <v>73.736279701062486</v>
      </c>
      <c r="O29" s="239">
        <f t="shared" ca="1" si="11"/>
        <v>45238.024621484336</v>
      </c>
      <c r="P29" s="240">
        <f t="shared" ca="1" si="12"/>
        <v>612.42177959585536</v>
      </c>
      <c r="Q29" s="241">
        <f t="shared" ca="1" si="35"/>
        <v>195.33183926284116</v>
      </c>
      <c r="R29" s="241">
        <f t="shared" ca="1" si="35"/>
        <v>32.566313632241872</v>
      </c>
      <c r="S29" s="241">
        <f t="shared" ca="1" si="35"/>
        <v>193.81676601331657</v>
      </c>
      <c r="T29" s="241">
        <f t="shared" ca="1" si="35"/>
        <v>166.60626309089136</v>
      </c>
      <c r="U29" s="241">
        <f t="shared" ca="1" si="35"/>
        <v>151.09572861296445</v>
      </c>
      <c r="V29" s="241">
        <f t="shared" ca="1" si="35"/>
        <v>-107.39178831171152</v>
      </c>
      <c r="W29" s="241">
        <f t="shared" ca="1" si="35"/>
        <v>-21.924780977683437</v>
      </c>
      <c r="X29" s="241">
        <f t="shared" ca="1" si="35"/>
        <v>37.605557199552372</v>
      </c>
      <c r="Y29" s="241">
        <f t="shared" ca="1" si="35"/>
        <v>-36.031378365333239</v>
      </c>
      <c r="Z29" s="241">
        <f t="shared" ca="1" si="35"/>
        <v>-27.618511235723702</v>
      </c>
      <c r="AA29" s="241">
        <f t="shared" ca="1" si="36"/>
        <v>46.37617892067847</v>
      </c>
      <c r="AB29" s="241">
        <f t="shared" ca="1" si="36"/>
        <v>-45.281862161799843</v>
      </c>
      <c r="AC29" s="241">
        <f t="shared" ca="1" si="36"/>
        <v>-44.776021905794003</v>
      </c>
      <c r="AD29" s="241">
        <f t="shared" ca="1" si="36"/>
        <v>15.927746882969824</v>
      </c>
      <c r="AE29" s="241">
        <f t="shared" ca="1" si="36"/>
        <v>21.991919483528701</v>
      </c>
      <c r="AF29" s="241">
        <f t="shared" ca="1" si="36"/>
        <v>7.0282589246310403</v>
      </c>
      <c r="AG29" s="241">
        <f t="shared" ca="1" si="36"/>
        <v>7.6997258478379038</v>
      </c>
      <c r="AH29" s="241">
        <f t="shared" ca="1" si="36"/>
        <v>3.2663323126219392</v>
      </c>
      <c r="AI29" s="241">
        <f t="shared" ca="1" si="36"/>
        <v>-10.312461338608523</v>
      </c>
      <c r="AJ29" s="241">
        <f t="shared" ca="1" si="36"/>
        <v>10.614602614162191</v>
      </c>
      <c r="AK29" s="241">
        <f t="shared" ca="1" si="36"/>
        <v>11.464005850869292</v>
      </c>
      <c r="AL29" s="241">
        <f t="shared" ca="1" si="36"/>
        <v>10.889915122635717</v>
      </c>
      <c r="AM29" s="241">
        <f t="shared" ca="1" si="36"/>
        <v>-8.4136155126163015</v>
      </c>
      <c r="AN29" s="241">
        <f t="shared" ca="1" si="36"/>
        <v>1.8910456333829535</v>
      </c>
      <c r="AP29" s="245">
        <v>7000</v>
      </c>
      <c r="AQ29" s="246" t="s">
        <v>621</v>
      </c>
      <c r="AR29" s="247">
        <f t="shared" ref="AR29:BO29" ca="1" si="46">-0.000012932*(Delta_t_Year_修正值-1955)^2</f>
        <v>-6.0164535951388744E-2</v>
      </c>
      <c r="AS29" s="247">
        <f t="shared" ca="1" si="46"/>
        <v>-6.0311637451389018E-2</v>
      </c>
      <c r="AT29" s="247">
        <f t="shared" ca="1" si="46"/>
        <v>-6.0311637451389018E-2</v>
      </c>
      <c r="AU29" s="247">
        <f t="shared" ca="1" si="46"/>
        <v>-6.0458918562499998E-2</v>
      </c>
      <c r="AV29" s="247">
        <f t="shared" ca="1" si="46"/>
        <v>-6.0458918562499998E-2</v>
      </c>
      <c r="AW29" s="247">
        <f t="shared" ca="1" si="46"/>
        <v>-6.0606379284722081E-2</v>
      </c>
      <c r="AX29" s="247">
        <f t="shared" ca="1" si="46"/>
        <v>-6.0606379284722081E-2</v>
      </c>
      <c r="AY29" s="247">
        <f t="shared" ca="1" si="46"/>
        <v>-6.0754019618055689E-2</v>
      </c>
      <c r="AZ29" s="247">
        <f t="shared" ca="1" si="46"/>
        <v>-6.0754019618055689E-2</v>
      </c>
      <c r="BA29" s="247">
        <f t="shared" ca="1" si="46"/>
        <v>-6.0901839562499997E-2</v>
      </c>
      <c r="BB29" s="247">
        <f t="shared" ca="1" si="46"/>
        <v>-6.0901839562499997E-2</v>
      </c>
      <c r="BC29" s="247">
        <f t="shared" ca="1" si="46"/>
        <v>-6.1049839118055421E-2</v>
      </c>
      <c r="BD29" s="247">
        <f t="shared" ca="1" si="46"/>
        <v>-6.1049839118055421E-2</v>
      </c>
      <c r="BE29" s="247">
        <f t="shared" ca="1" si="46"/>
        <v>-6.1198018284722357E-2</v>
      </c>
      <c r="BF29" s="247">
        <f t="shared" ca="1" si="46"/>
        <v>-6.1198018284722357E-2</v>
      </c>
      <c r="BG29" s="247">
        <f t="shared" ca="1" si="46"/>
        <v>-6.1346377062499999E-2</v>
      </c>
      <c r="BH29" s="247">
        <f t="shared" ca="1" si="46"/>
        <v>-6.1346377062499999E-2</v>
      </c>
      <c r="BI29" s="247">
        <f t="shared" ca="1" si="46"/>
        <v>-6.1494915451388743E-2</v>
      </c>
      <c r="BJ29" s="247">
        <f t="shared" ca="1" si="46"/>
        <v>-6.1494915451388743E-2</v>
      </c>
      <c r="BK29" s="247">
        <f t="shared" ca="1" si="46"/>
        <v>-6.164363345138902E-2</v>
      </c>
      <c r="BL29" s="247">
        <f t="shared" ca="1" si="46"/>
        <v>-6.164363345138902E-2</v>
      </c>
      <c r="BM29" s="247">
        <f t="shared" ca="1" si="46"/>
        <v>-6.1792531062499996E-2</v>
      </c>
      <c r="BN29" s="247">
        <f t="shared" ca="1" si="46"/>
        <v>-6.1792531062499996E-2</v>
      </c>
      <c r="BO29" s="247">
        <f t="shared" ca="1" si="46"/>
        <v>-6.1941608284722081E-2</v>
      </c>
      <c r="CN29" s="248"/>
      <c r="CO29" s="199" t="s">
        <v>622</v>
      </c>
    </row>
    <row r="30" spans="2:108" ht="40.35" customHeight="1" x14ac:dyDescent="0.1">
      <c r="B30" s="231"/>
      <c r="F30" s="232"/>
      <c r="G30" s="232"/>
      <c r="H30" s="233" t="s">
        <v>57</v>
      </c>
      <c r="I30" s="234">
        <f t="shared" ca="1" si="5"/>
        <v>0.7564837276586891</v>
      </c>
      <c r="J30" s="235">
        <f t="shared" ca="1" si="6"/>
        <v>322.58833667669222</v>
      </c>
      <c r="K30" s="236">
        <f t="shared" ca="1" si="7"/>
        <v>2460271.0833220673</v>
      </c>
      <c r="L30" s="237">
        <f t="shared" ca="1" si="8"/>
        <v>2460271.4184435359</v>
      </c>
      <c r="M30" s="238">
        <f t="shared" ca="1" si="9"/>
        <v>2.6415641125061809E-3</v>
      </c>
      <c r="N30" s="238">
        <f t="shared" ca="1" si="10"/>
        <v>73.736279701062486</v>
      </c>
      <c r="O30" s="239">
        <f t="shared" ca="1" si="11"/>
        <v>45252.91844353592</v>
      </c>
      <c r="P30" s="240">
        <f t="shared" ca="1" si="12"/>
        <v>270.73645461892698</v>
      </c>
      <c r="Q30" s="241">
        <f t="shared" ca="1" si="35"/>
        <v>189.20143260960901</v>
      </c>
      <c r="R30" s="241">
        <f t="shared" ca="1" si="35"/>
        <v>78.262314217339679</v>
      </c>
      <c r="S30" s="241">
        <f t="shared" ca="1" si="35"/>
        <v>193.82324792794773</v>
      </c>
      <c r="T30" s="241">
        <f t="shared" ca="1" si="35"/>
        <v>-164.48504946925365</v>
      </c>
      <c r="U30" s="241">
        <f t="shared" ca="1" si="35"/>
        <v>131.16721061512925</v>
      </c>
      <c r="V30" s="241">
        <f t="shared" ca="1" si="35"/>
        <v>-119.3338412304018</v>
      </c>
      <c r="W30" s="241">
        <f t="shared" ca="1" si="35"/>
        <v>-52.938075030894581</v>
      </c>
      <c r="X30" s="241">
        <f t="shared" ca="1" si="35"/>
        <v>38.973558483593898</v>
      </c>
      <c r="Y30" s="241">
        <f t="shared" ca="1" si="35"/>
        <v>-32.098529298991402</v>
      </c>
      <c r="Z30" s="241">
        <f t="shared" ca="1" si="35"/>
        <v>-14.702198864315722</v>
      </c>
      <c r="AA30" s="241">
        <f t="shared" ca="1" si="36"/>
        <v>46.401381366245893</v>
      </c>
      <c r="AB30" s="241">
        <f t="shared" ca="1" si="36"/>
        <v>-44.931596259458331</v>
      </c>
      <c r="AC30" s="241">
        <f t="shared" ca="1" si="36"/>
        <v>-42.815446554526048</v>
      </c>
      <c r="AD30" s="241">
        <f t="shared" ca="1" si="36"/>
        <v>24.663808559224922</v>
      </c>
      <c r="AE30" s="241">
        <f t="shared" ca="1" si="36"/>
        <v>21.383076764278723</v>
      </c>
      <c r="AF30" s="241">
        <f t="shared" ca="1" si="36"/>
        <v>-1.4342694238556244</v>
      </c>
      <c r="AG30" s="241">
        <f t="shared" ca="1" si="36"/>
        <v>8.187826699613483</v>
      </c>
      <c r="AH30" s="241">
        <f t="shared" ca="1" si="36"/>
        <v>-3.8362341374206079</v>
      </c>
      <c r="AI30" s="241">
        <f t="shared" ca="1" si="36"/>
        <v>-12.156591462690743</v>
      </c>
      <c r="AJ30" s="241">
        <f t="shared" ca="1" si="36"/>
        <v>11.137311969009957</v>
      </c>
      <c r="AK30" s="241">
        <f t="shared" ca="1" si="36"/>
        <v>11.968301215371909</v>
      </c>
      <c r="AL30" s="241">
        <f t="shared" ca="1" si="36"/>
        <v>11.793119796199734</v>
      </c>
      <c r="AM30" s="241">
        <f t="shared" ca="1" si="36"/>
        <v>-8.4410964095277023</v>
      </c>
      <c r="AN30" s="241">
        <f t="shared" ca="1" si="36"/>
        <v>0.94679253669903907</v>
      </c>
      <c r="CN30" s="248"/>
    </row>
    <row r="31" spans="2:108" ht="40.35" customHeight="1" x14ac:dyDescent="0.1">
      <c r="B31" s="231"/>
      <c r="F31" s="232"/>
      <c r="G31" s="232"/>
      <c r="H31" s="233" t="s">
        <v>58</v>
      </c>
      <c r="I31" s="234">
        <f t="shared" ca="1" si="5"/>
        <v>0.49468433985953908</v>
      </c>
      <c r="J31" s="235">
        <f t="shared" ca="1" si="6"/>
        <v>337.39793499492981</v>
      </c>
      <c r="K31" s="236">
        <f t="shared" ca="1" si="7"/>
        <v>2460285.8929203856</v>
      </c>
      <c r="L31" s="237">
        <f t="shared" ca="1" si="8"/>
        <v>2460286.2310993653</v>
      </c>
      <c r="M31" s="238">
        <f t="shared" ca="1" si="9"/>
        <v>5.6996426480403909E-3</v>
      </c>
      <c r="N31" s="238">
        <f t="shared" ca="1" si="10"/>
        <v>73.785257037673574</v>
      </c>
      <c r="O31" s="239">
        <f t="shared" ca="1" si="11"/>
        <v>45267.731099365279</v>
      </c>
      <c r="P31" s="240">
        <f t="shared" ca="1" si="12"/>
        <v>587.10095857699253</v>
      </c>
      <c r="Q31" s="241">
        <f t="shared" ca="1" si="35"/>
        <v>183.07152171538942</v>
      </c>
      <c r="R31" s="241">
        <f t="shared" ca="1" si="35"/>
        <v>119.44216726250222</v>
      </c>
      <c r="S31" s="241">
        <f t="shared" ca="1" si="35"/>
        <v>193.8296877611325</v>
      </c>
      <c r="T31" s="241">
        <f t="shared" ca="1" si="35"/>
        <v>163.74341359328471</v>
      </c>
      <c r="U31" s="241">
        <f t="shared" ca="1" si="35"/>
        <v>98.100883028123235</v>
      </c>
      <c r="V31" s="241">
        <f t="shared" ca="1" si="35"/>
        <v>-128.17328771961454</v>
      </c>
      <c r="W31" s="241">
        <f t="shared" ca="1" si="35"/>
        <v>-72.431864167761333</v>
      </c>
      <c r="X31" s="241">
        <f t="shared" ca="1" si="35"/>
        <v>40.31548731952401</v>
      </c>
      <c r="Y31" s="241">
        <f t="shared" ca="1" si="35"/>
        <v>-28.057136927773012</v>
      </c>
      <c r="Z31" s="241">
        <f t="shared" ca="1" si="35"/>
        <v>-1.0247745050292327</v>
      </c>
      <c r="AA31" s="241">
        <f t="shared" ca="1" si="36"/>
        <v>46.426382703576657</v>
      </c>
      <c r="AB31" s="241">
        <f t="shared" ca="1" si="36"/>
        <v>-44.571645616516072</v>
      </c>
      <c r="AC31" s="241">
        <f t="shared" ca="1" si="36"/>
        <v>-38.946982565111398</v>
      </c>
      <c r="AD31" s="241">
        <f t="shared" ca="1" si="36"/>
        <v>32.120870835779328</v>
      </c>
      <c r="AE31" s="241">
        <f t="shared" ca="1" si="36"/>
        <v>20.75660921828927</v>
      </c>
      <c r="AF31" s="241">
        <f t="shared" ca="1" si="36"/>
        <v>-9.5283053162664402</v>
      </c>
      <c r="AG31" s="241">
        <f t="shared" ca="1" si="36"/>
        <v>8.664498503054606</v>
      </c>
      <c r="AH31" s="241">
        <f t="shared" ca="1" si="36"/>
        <v>-10.150067640990448</v>
      </c>
      <c r="AI31" s="241">
        <f t="shared" ca="1" si="36"/>
        <v>-13.389086250359712</v>
      </c>
      <c r="AJ31" s="241">
        <f t="shared" ca="1" si="36"/>
        <v>11.538182944572192</v>
      </c>
      <c r="AK31" s="241">
        <f t="shared" ca="1" si="36"/>
        <v>11.859325353182211</v>
      </c>
      <c r="AL31" s="241">
        <f t="shared" ca="1" si="36"/>
        <v>11.978296815514934</v>
      </c>
      <c r="AM31" s="241">
        <f t="shared" ca="1" si="36"/>
        <v>-8.4677824868179474</v>
      </c>
      <c r="AN31" s="241">
        <f t="shared" ca="1" si="36"/>
        <v>-5.4352806925887726E-3</v>
      </c>
      <c r="CN31" s="248"/>
    </row>
    <row r="32" spans="2:108" ht="40.35" customHeight="1" x14ac:dyDescent="0.1">
      <c r="B32" s="231"/>
      <c r="F32" s="232"/>
      <c r="G32" s="232"/>
      <c r="H32" s="233" t="s">
        <v>586</v>
      </c>
      <c r="I32" s="234">
        <f t="shared" ca="1" si="5"/>
        <v>0.23288495206038995</v>
      </c>
      <c r="J32" s="235">
        <f t="shared" ca="1" si="6"/>
        <v>352.14739174344913</v>
      </c>
      <c r="K32" s="236">
        <f t="shared" ca="1" si="7"/>
        <v>2460300.6423771339</v>
      </c>
      <c r="L32" s="237">
        <f t="shared" ca="1" si="8"/>
        <v>2460300.9773094635</v>
      </c>
      <c r="M32" s="238">
        <f t="shared" ca="1" si="9"/>
        <v>2.4529921643659269E-3</v>
      </c>
      <c r="N32" s="238">
        <f t="shared" ca="1" si="10"/>
        <v>73.785257037673574</v>
      </c>
      <c r="O32" s="239">
        <f t="shared" ca="1" si="11"/>
        <v>45282.477309463546</v>
      </c>
      <c r="P32" s="240">
        <f t="shared" ca="1" si="12"/>
        <v>253.44246567935824</v>
      </c>
      <c r="Q32" s="241">
        <f t="shared" ca="1" si="35"/>
        <v>176.93241495783181</v>
      </c>
      <c r="R32" s="241">
        <f t="shared" ca="1" si="35"/>
        <v>154.02628584814758</v>
      </c>
      <c r="S32" s="241">
        <f t="shared" ca="1" si="35"/>
        <v>193.83609751098638</v>
      </c>
      <c r="T32" s="241">
        <f t="shared" ca="1" si="35"/>
        <v>-164.01020634970425</v>
      </c>
      <c r="U32" s="241">
        <f t="shared" ca="1" si="35"/>
        <v>55.342599712883093</v>
      </c>
      <c r="V32" s="241">
        <f t="shared" ca="1" si="35"/>
        <v>-133.7488163393698</v>
      </c>
      <c r="W32" s="241">
        <f t="shared" ca="1" si="35"/>
        <v>-76.460207527536767</v>
      </c>
      <c r="X32" s="241">
        <f t="shared" ca="1" si="35"/>
        <v>41.633485101952658</v>
      </c>
      <c r="Y32" s="241">
        <f t="shared" ca="1" si="35"/>
        <v>-23.918107833583452</v>
      </c>
      <c r="Z32" s="241">
        <f t="shared" ca="1" si="35"/>
        <v>12.65587829641302</v>
      </c>
      <c r="AA32" s="241">
        <f t="shared" ca="1" si="36"/>
        <v>46.451230045180566</v>
      </c>
      <c r="AB32" s="241">
        <f t="shared" ca="1" si="36"/>
        <v>-44.201611524713535</v>
      </c>
      <c r="AC32" s="241">
        <f t="shared" ca="1" si="36"/>
        <v>-33.363854970714129</v>
      </c>
      <c r="AD32" s="241">
        <f t="shared" ca="1" si="36"/>
        <v>37.962611633683551</v>
      </c>
      <c r="AE32" s="241">
        <f t="shared" ca="1" si="36"/>
        <v>20.112287925538613</v>
      </c>
      <c r="AF32" s="241">
        <f t="shared" ca="1" si="36"/>
        <v>-15.467971239832572</v>
      </c>
      <c r="AG32" s="241">
        <f t="shared" ca="1" si="36"/>
        <v>9.1302585811003354</v>
      </c>
      <c r="AH32" s="241">
        <f t="shared" ca="1" si="36"/>
        <v>-14.473866980889047</v>
      </c>
      <c r="AI32" s="241">
        <f t="shared" ca="1" si="36"/>
        <v>-13.960706758325438</v>
      </c>
      <c r="AJ32" s="241">
        <f t="shared" ca="1" si="36"/>
        <v>11.815489370727896</v>
      </c>
      <c r="AK32" s="241">
        <f t="shared" ca="1" si="36"/>
        <v>11.151421193300965</v>
      </c>
      <c r="AL32" s="241">
        <f t="shared" ca="1" si="36"/>
        <v>11.44522327564033</v>
      </c>
      <c r="AM32" s="241">
        <f t="shared" ca="1" si="36"/>
        <v>-8.4937306869145122</v>
      </c>
      <c r="AN32" s="241">
        <f t="shared" ca="1" si="36"/>
        <v>-0.95373756244500296</v>
      </c>
      <c r="CN32" s="248"/>
    </row>
    <row r="33" spans="2:93" ht="40.35" customHeight="1" x14ac:dyDescent="0.1">
      <c r="B33" s="231"/>
      <c r="F33" s="232"/>
      <c r="G33" s="232"/>
      <c r="H33" s="233" t="s">
        <v>36</v>
      </c>
      <c r="I33" s="234">
        <f t="shared" ca="1" si="5"/>
        <v>-2.8914435738759181E-2</v>
      </c>
      <c r="J33" s="235">
        <f t="shared" ca="1" si="6"/>
        <v>366.86774421484239</v>
      </c>
      <c r="K33" s="236">
        <f t="shared" ca="1" si="7"/>
        <v>2460315.3627296053</v>
      </c>
      <c r="L33" s="237">
        <f t="shared" ca="1" si="8"/>
        <v>2460315.7008804814</v>
      </c>
      <c r="M33" s="238">
        <f t="shared" ca="1" si="9"/>
        <v>5.6721063308114369E-3</v>
      </c>
      <c r="N33" s="238">
        <f t="shared" ca="1" si="10"/>
        <v>73.834311819673673</v>
      </c>
      <c r="O33" s="239">
        <f t="shared" ca="1" si="11"/>
        <v>45297.200880481396</v>
      </c>
      <c r="P33" s="240">
        <f t="shared" ca="1" si="12"/>
        <v>586.54369540015057</v>
      </c>
      <c r="Q33" s="241">
        <f t="shared" ca="1" si="35"/>
        <v>170.77264098416342</v>
      </c>
      <c r="R33" s="241">
        <f t="shared" ca="1" si="35"/>
        <v>180.29092019834974</v>
      </c>
      <c r="S33" s="241">
        <f t="shared" ca="1" si="35"/>
        <v>193.84249070105457</v>
      </c>
      <c r="T33" s="241">
        <f t="shared" ca="1" si="35"/>
        <v>164.75712347081793</v>
      </c>
      <c r="U33" s="241">
        <f t="shared" ca="1" si="35"/>
        <v>7.1525868179592642</v>
      </c>
      <c r="V33" s="241">
        <f t="shared" ca="1" si="35"/>
        <v>-135.96146557034243</v>
      </c>
      <c r="W33" s="241">
        <f t="shared" ca="1" si="35"/>
        <v>-64.313568531758037</v>
      </c>
      <c r="X33" s="241">
        <f t="shared" ca="1" si="35"/>
        <v>42.929891164495587</v>
      </c>
      <c r="Y33" s="241">
        <f t="shared" ca="1" si="35"/>
        <v>-19.690514535755817</v>
      </c>
      <c r="Z33" s="241">
        <f t="shared" ca="1" si="35"/>
        <v>25.600749613598648</v>
      </c>
      <c r="AA33" s="241">
        <f t="shared" ca="1" si="36"/>
        <v>46.475976124930277</v>
      </c>
      <c r="AB33" s="241">
        <f t="shared" ca="1" si="36"/>
        <v>-43.820915399330374</v>
      </c>
      <c r="AC33" s="241">
        <f t="shared" ca="1" si="36"/>
        <v>-26.316841265910387</v>
      </c>
      <c r="AD33" s="241">
        <f t="shared" ca="1" si="36"/>
        <v>41.928447035595468</v>
      </c>
      <c r="AE33" s="241">
        <f t="shared" ca="1" si="36"/>
        <v>19.449572340268052</v>
      </c>
      <c r="AF33" s="241">
        <f t="shared" ca="1" si="36"/>
        <v>-17.965807287204207</v>
      </c>
      <c r="AG33" s="241">
        <f t="shared" ca="1" si="36"/>
        <v>9.5856879080807325</v>
      </c>
      <c r="AH33" s="241">
        <f t="shared" ca="1" si="36"/>
        <v>-15.999965293627621</v>
      </c>
      <c r="AI33" s="241">
        <f t="shared" ca="1" si="36"/>
        <v>-13.850667272326978</v>
      </c>
      <c r="AJ33" s="241">
        <f t="shared" ca="1" si="36"/>
        <v>11.967999907757539</v>
      </c>
      <c r="AK33" s="241">
        <f t="shared" ca="1" si="36"/>
        <v>9.8841100808420297</v>
      </c>
      <c r="AL33" s="241">
        <f t="shared" ca="1" si="36"/>
        <v>10.231011027029624</v>
      </c>
      <c r="AM33" s="241">
        <f t="shared" ca="1" si="36"/>
        <v>-8.5189993976883223</v>
      </c>
      <c r="AN33" s="241">
        <f t="shared" ca="1" si="36"/>
        <v>-1.8867674208481202</v>
      </c>
      <c r="CN33" s="248"/>
      <c r="CO33" s="199" t="s">
        <v>623</v>
      </c>
    </row>
    <row r="34" spans="2:93" ht="40.35" customHeight="1" x14ac:dyDescent="0.1">
      <c r="B34" s="231"/>
      <c r="F34" s="232"/>
      <c r="G34" s="232"/>
      <c r="H34" s="233" t="s">
        <v>37</v>
      </c>
      <c r="I34" s="234">
        <f t="shared" ca="1" si="5"/>
        <v>-0.2907138235379092</v>
      </c>
      <c r="J34" s="235">
        <f t="shared" ca="1" si="6"/>
        <v>381.59173787057074</v>
      </c>
      <c r="K34" s="236">
        <f t="shared" ca="1" si="7"/>
        <v>2460330.086723261</v>
      </c>
      <c r="L34" s="237">
        <f t="shared" ca="1" si="8"/>
        <v>2460330.4218315016</v>
      </c>
      <c r="M34" s="238">
        <f t="shared" ca="1" si="9"/>
        <v>2.6294708255791789E-3</v>
      </c>
      <c r="N34" s="238">
        <f t="shared" ca="1" si="10"/>
        <v>73.834311819673673</v>
      </c>
      <c r="O34" s="239">
        <f t="shared" ca="1" si="11"/>
        <v>45311.921831501648</v>
      </c>
      <c r="P34" s="240">
        <f t="shared" ca="1" si="12"/>
        <v>271.53659608202565</v>
      </c>
      <c r="Q34" s="241">
        <f t="shared" ca="1" si="35"/>
        <v>164.57972376302419</v>
      </c>
      <c r="R34" s="241">
        <f t="shared" ca="1" si="35"/>
        <v>196.90832677137783</v>
      </c>
      <c r="S34" s="241">
        <f t="shared" ca="1" si="35"/>
        <v>193.84888156302284</v>
      </c>
      <c r="T34" s="241">
        <f t="shared" ca="1" si="35"/>
        <v>-165.43024383753078</v>
      </c>
      <c r="U34" s="241">
        <f t="shared" ca="1" si="35"/>
        <v>-41.761032976516546</v>
      </c>
      <c r="V34" s="241">
        <f t="shared" ca="1" si="35"/>
        <v>-134.76935652396131</v>
      </c>
      <c r="W34" s="241">
        <f t="shared" ca="1" si="35"/>
        <v>-38.574021232207357</v>
      </c>
      <c r="X34" s="241">
        <f t="shared" ca="1" si="35"/>
        <v>44.20704718799292</v>
      </c>
      <c r="Y34" s="241">
        <f t="shared" ca="1" si="35"/>
        <v>-15.382301235842641</v>
      </c>
      <c r="Z34" s="241">
        <f t="shared" ca="1" si="35"/>
        <v>37.11488000132865</v>
      </c>
      <c r="AA34" s="241">
        <f t="shared" ca="1" si="36"/>
        <v>46.50067609820578</v>
      </c>
      <c r="AB34" s="241">
        <f t="shared" ca="1" si="36"/>
        <v>-43.428838060929763</v>
      </c>
      <c r="AC34" s="241">
        <f t="shared" ca="1" si="36"/>
        <v>-18.105590127855987</v>
      </c>
      <c r="AD34" s="241">
        <f t="shared" ca="1" si="36"/>
        <v>43.837186805509312</v>
      </c>
      <c r="AE34" s="241">
        <f t="shared" ca="1" si="36"/>
        <v>18.767687322042306</v>
      </c>
      <c r="AF34" s="241">
        <f t="shared" ca="1" si="36"/>
        <v>-16.481820892588082</v>
      </c>
      <c r="AG34" s="241">
        <f t="shared" ca="1" si="36"/>
        <v>10.031354456202676</v>
      </c>
      <c r="AH34" s="241">
        <f t="shared" ca="1" si="36"/>
        <v>-14.444579936362716</v>
      </c>
      <c r="AI34" s="241">
        <f t="shared" ca="1" si="36"/>
        <v>-13.065838703092433</v>
      </c>
      <c r="AJ34" s="241">
        <f t="shared" ca="1" si="36"/>
        <v>11.994771572568613</v>
      </c>
      <c r="AK34" s="241">
        <f t="shared" ca="1" si="36"/>
        <v>8.1197531622284274</v>
      </c>
      <c r="AL34" s="241">
        <f t="shared" ca="1" si="36"/>
        <v>8.4070901322446403</v>
      </c>
      <c r="AM34" s="241">
        <f t="shared" ca="1" si="36"/>
        <v>-8.5436445898539084</v>
      </c>
      <c r="AN34" s="241">
        <f t="shared" ca="1" si="36"/>
        <v>-2.7935146369810435</v>
      </c>
      <c r="CN34" s="248"/>
    </row>
    <row r="35" spans="2:93" ht="40.35" customHeight="1" x14ac:dyDescent="0.1">
      <c r="B35" s="231"/>
      <c r="F35" s="232"/>
      <c r="G35" s="232"/>
      <c r="H35" s="233" t="s">
        <v>38</v>
      </c>
      <c r="I35" s="234">
        <f t="shared" ca="1" si="5"/>
        <v>-0.55251321133705833</v>
      </c>
      <c r="J35" s="235">
        <f t="shared" ca="1" si="6"/>
        <v>396.35190535433526</v>
      </c>
      <c r="K35" s="236">
        <f t="shared" ca="1" si="7"/>
        <v>2460344.8468907448</v>
      </c>
      <c r="L35" s="237">
        <f t="shared" ca="1" si="8"/>
        <v>2460345.1854474545</v>
      </c>
      <c r="M35" s="238">
        <f t="shared" ca="1" si="9"/>
        <v>6.0785087621555677E-3</v>
      </c>
      <c r="N35" s="238">
        <f t="shared" ca="1" si="10"/>
        <v>73.883444047062511</v>
      </c>
      <c r="O35" s="239">
        <f t="shared" ca="1" si="11"/>
        <v>45326.685447454453</v>
      </c>
      <c r="P35" s="240">
        <f t="shared" ca="1" si="12"/>
        <v>625.50383578461185</v>
      </c>
      <c r="Q35" s="241">
        <f t="shared" ca="1" si="35"/>
        <v>158.34100357115724</v>
      </c>
      <c r="R35" s="241">
        <f t="shared" ca="1" si="35"/>
        <v>202.9825855524025</v>
      </c>
      <c r="S35" s="241">
        <f t="shared" ca="1" si="35"/>
        <v>193.85528420149134</v>
      </c>
      <c r="T35" s="241">
        <f t="shared" ca="1" si="35"/>
        <v>165.51291230534645</v>
      </c>
      <c r="U35" s="241">
        <f t="shared" ca="1" si="35"/>
        <v>-86.617566484644215</v>
      </c>
      <c r="V35" s="241">
        <f t="shared" ca="1" si="35"/>
        <v>-130.18608228290185</v>
      </c>
      <c r="W35" s="241">
        <f t="shared" ca="1" si="35"/>
        <v>-4.5947482481148541</v>
      </c>
      <c r="X35" s="241">
        <f t="shared" ca="1" si="35"/>
        <v>45.467110729711862</v>
      </c>
      <c r="Y35" s="241">
        <f t="shared" ca="1" si="35"/>
        <v>-11.001116205190343</v>
      </c>
      <c r="Z35" s="241">
        <f t="shared" ca="1" si="35"/>
        <v>46.570126368497611</v>
      </c>
      <c r="AA35" s="241">
        <f t="shared" ca="1" si="36"/>
        <v>46.525384299656309</v>
      </c>
      <c r="AB35" s="241">
        <f t="shared" ca="1" si="36"/>
        <v>-43.024568843883536</v>
      </c>
      <c r="AC35" s="241">
        <f t="shared" ca="1" si="36"/>
        <v>-9.0716415728400044</v>
      </c>
      <c r="AD35" s="241">
        <f t="shared" ca="1" si="36"/>
        <v>43.590647535636883</v>
      </c>
      <c r="AE35" s="241">
        <f t="shared" ca="1" si="36"/>
        <v>18.065718455065859</v>
      </c>
      <c r="AF35" s="241">
        <f t="shared" ca="1" si="36"/>
        <v>-11.327592882456543</v>
      </c>
      <c r="AG35" s="241">
        <f t="shared" ca="1" si="36"/>
        <v>10.467741616030072</v>
      </c>
      <c r="AH35" s="241">
        <f t="shared" ca="1" si="36"/>
        <v>-10.093102743663577</v>
      </c>
      <c r="AI35" s="241">
        <f t="shared" ca="1" si="36"/>
        <v>-11.640177741335332</v>
      </c>
      <c r="AJ35" s="241">
        <f t="shared" ca="1" si="36"/>
        <v>11.89507117706609</v>
      </c>
      <c r="AK35" s="241">
        <f t="shared" ca="1" si="36"/>
        <v>5.9415238710913698</v>
      </c>
      <c r="AL35" s="241">
        <f t="shared" ca="1" si="36"/>
        <v>6.0761154470253036</v>
      </c>
      <c r="AM35" s="241">
        <f t="shared" ca="1" si="36"/>
        <v>-8.5677163301409784</v>
      </c>
      <c r="AN35" s="241">
        <f t="shared" ca="1" si="36"/>
        <v>-3.6630760103959443</v>
      </c>
      <c r="CN35" s="248"/>
    </row>
    <row r="36" spans="2:93" ht="40.35" customHeight="1" x14ac:dyDescent="0.1">
      <c r="B36" s="231"/>
      <c r="F36" s="232"/>
      <c r="G36" s="232"/>
      <c r="H36" s="233" t="s">
        <v>39</v>
      </c>
      <c r="I36" s="234">
        <f t="shared" ca="1" si="5"/>
        <v>-0.81431259913620746</v>
      </c>
      <c r="J36" s="235">
        <f t="shared" ca="1" si="6"/>
        <v>411.17865124373145</v>
      </c>
      <c r="K36" s="236">
        <f t="shared" ca="1" si="7"/>
        <v>2460359.6736366344</v>
      </c>
      <c r="L36" s="237">
        <f t="shared" ca="1" si="8"/>
        <v>2460360.009246612</v>
      </c>
      <c r="M36" s="238">
        <f t="shared" ca="1" si="9"/>
        <v>3.1317766471142404E-3</v>
      </c>
      <c r="N36" s="238">
        <f t="shared" ca="1" si="10"/>
        <v>73.883444047062511</v>
      </c>
      <c r="O36" s="239">
        <f t="shared" ca="1" si="11"/>
        <v>45341.509246611968</v>
      </c>
      <c r="P36" s="240">
        <f t="shared" ca="1" si="12"/>
        <v>320.52572683884875</v>
      </c>
      <c r="Q36" s="241">
        <f t="shared" ca="1" si="35"/>
        <v>152.04447884896044</v>
      </c>
      <c r="R36" s="241">
        <f t="shared" ca="1" si="35"/>
        <v>198.08718453017019</v>
      </c>
      <c r="S36" s="241">
        <f t="shared" ca="1" si="35"/>
        <v>193.86171176411224</v>
      </c>
      <c r="T36" s="241">
        <f t="shared" ca="1" si="35"/>
        <v>-164.5091068483579</v>
      </c>
      <c r="U36" s="241">
        <f t="shared" ca="1" si="35"/>
        <v>-122.94528901239829</v>
      </c>
      <c r="V36" s="241">
        <f t="shared" ca="1" si="35"/>
        <v>-122.28313306866401</v>
      </c>
      <c r="W36" s="241">
        <f t="shared" ca="1" si="35"/>
        <v>30.508612310832277</v>
      </c>
      <c r="X36" s="241">
        <f t="shared" ca="1" si="35"/>
        <v>46.711884128672679</v>
      </c>
      <c r="Y36" s="241">
        <f t="shared" ca="1" si="35"/>
        <v>-6.5552102083638131</v>
      </c>
      <c r="Z36" s="241">
        <f t="shared" ca="1" si="35"/>
        <v>53.428151584908569</v>
      </c>
      <c r="AA36" s="241">
        <f t="shared" ca="1" si="36"/>
        <v>46.550151048985207</v>
      </c>
      <c r="AB36" s="241">
        <f t="shared" ca="1" si="36"/>
        <v>-42.60726295556379</v>
      </c>
      <c r="AC36" s="241">
        <f t="shared" ca="1" si="36"/>
        <v>0.40789866257422386</v>
      </c>
      <c r="AD36" s="241">
        <f t="shared" ca="1" si="36"/>
        <v>41.178164106540308</v>
      </c>
      <c r="AE36" s="241">
        <f t="shared" ca="1" si="36"/>
        <v>17.342721736945229</v>
      </c>
      <c r="AF36" s="241">
        <f t="shared" ca="1" si="36"/>
        <v>-3.6120995582951783</v>
      </c>
      <c r="AG36" s="241">
        <f t="shared" ca="1" si="36"/>
        <v>10.89518456878262</v>
      </c>
      <c r="AH36" s="241">
        <f t="shared" ca="1" si="36"/>
        <v>-3.7567720865839584</v>
      </c>
      <c r="AI36" s="241">
        <f t="shared" ca="1" si="36"/>
        <v>-9.6344391525300335</v>
      </c>
      <c r="AJ36" s="241">
        <f t="shared" ca="1" si="36"/>
        <v>11.668432760693701</v>
      </c>
      <c r="AK36" s="241">
        <f t="shared" ca="1" si="36"/>
        <v>3.4515224270519287</v>
      </c>
      <c r="AL36" s="241">
        <f t="shared" ca="1" si="36"/>
        <v>3.3686564733349043</v>
      </c>
      <c r="AM36" s="241">
        <f t="shared" ca="1" si="36"/>
        <v>-8.591255769330747</v>
      </c>
      <c r="AN36" s="241">
        <f t="shared" ca="1" si="36"/>
        <v>-4.4844594536279372</v>
      </c>
      <c r="CN36" s="248"/>
    </row>
    <row r="37" spans="2:93" ht="40.35" customHeight="1" x14ac:dyDescent="0.1">
      <c r="B37" s="231"/>
      <c r="F37" s="232"/>
      <c r="G37" s="232"/>
      <c r="H37" s="233" t="s">
        <v>587</v>
      </c>
      <c r="I37" s="234">
        <f t="shared" ca="1" si="5"/>
        <v>-1.0761119869353566</v>
      </c>
      <c r="J37" s="235">
        <f t="shared" ca="1" si="6"/>
        <v>426.09839772578812</v>
      </c>
      <c r="K37" s="236">
        <f t="shared" ca="1" si="7"/>
        <v>2460374.5933831162</v>
      </c>
      <c r="L37" s="237">
        <f t="shared" ca="1" si="8"/>
        <v>2460374.9324206659</v>
      </c>
      <c r="M37" s="238">
        <f t="shared" ca="1" si="9"/>
        <v>6.5599179499143687E-3</v>
      </c>
      <c r="N37" s="238">
        <f t="shared" ca="1" si="10"/>
        <v>73.932653719840232</v>
      </c>
      <c r="O37" s="239">
        <f t="shared" ca="1" si="11"/>
        <v>45356.432420665864</v>
      </c>
      <c r="P37" s="240">
        <f t="shared" ca="1" si="12"/>
        <v>666.69733302116481</v>
      </c>
      <c r="Q37" s="241">
        <f t="shared" ca="1" si="35"/>
        <v>145.6796427213034</v>
      </c>
      <c r="R37" s="241">
        <f t="shared" ca="1" si="35"/>
        <v>182.30544607882237</v>
      </c>
      <c r="S37" s="241">
        <f t="shared" ca="1" si="35"/>
        <v>193.86817564101997</v>
      </c>
      <c r="T37" s="241">
        <f t="shared" ca="1" si="35"/>
        <v>161.86236600353953</v>
      </c>
      <c r="U37" s="241">
        <f t="shared" ca="1" si="35"/>
        <v>-146.9664411543643</v>
      </c>
      <c r="V37" s="241">
        <f t="shared" ca="1" si="35"/>
        <v>-111.19597692707082</v>
      </c>
      <c r="W37" s="241">
        <f t="shared" ca="1" si="35"/>
        <v>59.220147984534329</v>
      </c>
      <c r="X37" s="241">
        <f t="shared" ca="1" si="35"/>
        <v>47.94266485110608</v>
      </c>
      <c r="Y37" s="241">
        <f t="shared" ca="1" si="35"/>
        <v>-2.0543367266193471</v>
      </c>
      <c r="Z37" s="241">
        <f t="shared" ca="1" si="35"/>
        <v>57.265458741066645</v>
      </c>
      <c r="AA37" s="241">
        <f t="shared" ca="1" si="36"/>
        <v>46.575019597062159</v>
      </c>
      <c r="AB37" s="241">
        <f t="shared" ca="1" si="36"/>
        <v>-42.176105292924589</v>
      </c>
      <c r="AC37" s="241">
        <f t="shared" ca="1" si="36"/>
        <v>9.92755374370482</v>
      </c>
      <c r="AD37" s="241">
        <f t="shared" ca="1" si="36"/>
        <v>36.681962162985997</v>
      </c>
      <c r="AE37" s="241">
        <f t="shared" ca="1" si="36"/>
        <v>16.597843265469567</v>
      </c>
      <c r="AF37" s="241">
        <f t="shared" ca="1" si="36"/>
        <v>4.9671365813565886</v>
      </c>
      <c r="AG37" s="241">
        <f t="shared" ca="1" si="36"/>
        <v>11.313817335531859</v>
      </c>
      <c r="AH37" s="241">
        <f t="shared" ca="1" si="36"/>
        <v>3.3569679136472041</v>
      </c>
      <c r="AI37" s="241">
        <f t="shared" ca="1" si="36"/>
        <v>-7.1359137857228845</v>
      </c>
      <c r="AJ37" s="241">
        <f t="shared" ca="1" si="36"/>
        <v>11.314847877579913</v>
      </c>
      <c r="AK37" s="241">
        <f t="shared" ca="1" si="36"/>
        <v>0.76862685936324904</v>
      </c>
      <c r="AL37" s="241">
        <f t="shared" ca="1" si="36"/>
        <v>0.43918757975685729</v>
      </c>
      <c r="AM37" s="241">
        <f t="shared" ca="1" si="36"/>
        <v>-8.6142926977939549</v>
      </c>
      <c r="AN37" s="241">
        <f t="shared" ca="1" si="36"/>
        <v>-5.2464653321898949</v>
      </c>
      <c r="CN37" s="248"/>
      <c r="CO37" s="199" t="s">
        <v>588</v>
      </c>
    </row>
    <row r="38" spans="2:93" ht="40.35" customHeight="1" x14ac:dyDescent="0.1">
      <c r="CN38" s="213"/>
    </row>
    <row r="39" spans="2:93" x14ac:dyDescent="0.1">
      <c r="CN39" s="213"/>
    </row>
    <row r="40" spans="2:93" x14ac:dyDescent="0.1">
      <c r="CN40" s="213"/>
    </row>
    <row r="41" spans="2:93" x14ac:dyDescent="0.1">
      <c r="CO41" s="199" t="s">
        <v>589</v>
      </c>
    </row>
    <row r="46" spans="2:93" x14ac:dyDescent="0.1">
      <c r="CO46" s="199" t="s">
        <v>590</v>
      </c>
    </row>
    <row r="51" spans="12:95" x14ac:dyDescent="0.1">
      <c r="CP51" s="199" t="s">
        <v>624</v>
      </c>
      <c r="CQ51" s="199" t="s">
        <v>625</v>
      </c>
    </row>
    <row r="62" spans="12:95" x14ac:dyDescent="0.1">
      <c r="L62" s="249"/>
      <c r="N62" s="202"/>
    </row>
    <row r="63" spans="12:95" x14ac:dyDescent="0.1">
      <c r="L63" s="249"/>
      <c r="CO63" s="199" t="s">
        <v>591</v>
      </c>
    </row>
    <row r="64" spans="12:95" x14ac:dyDescent="0.1">
      <c r="L64" s="249"/>
    </row>
    <row r="65" spans="12:105" x14ac:dyDescent="0.1">
      <c r="L65" s="249"/>
      <c r="CO65" s="199" t="s">
        <v>592</v>
      </c>
    </row>
    <row r="66" spans="12:105" x14ac:dyDescent="0.1">
      <c r="L66" s="249"/>
    </row>
    <row r="67" spans="12:105" x14ac:dyDescent="0.1">
      <c r="L67" s="249"/>
    </row>
    <row r="68" spans="12:105" x14ac:dyDescent="0.1">
      <c r="L68" s="249"/>
    </row>
    <row r="69" spans="12:105" x14ac:dyDescent="0.1">
      <c r="L69" s="249"/>
    </row>
    <row r="70" spans="12:105" x14ac:dyDescent="0.1">
      <c r="L70" s="249"/>
      <c r="CO70" s="199" t="s">
        <v>626</v>
      </c>
    </row>
    <row r="71" spans="12:105" x14ac:dyDescent="0.1">
      <c r="L71" s="249"/>
    </row>
    <row r="72" spans="12:105" x14ac:dyDescent="0.1">
      <c r="L72" s="249"/>
    </row>
    <row r="73" spans="12:105" x14ac:dyDescent="0.1">
      <c r="L73" s="249"/>
    </row>
    <row r="74" spans="12:105" x14ac:dyDescent="0.1">
      <c r="L74" s="249"/>
    </row>
    <row r="75" spans="12:105" x14ac:dyDescent="0.1">
      <c r="L75" s="249"/>
      <c r="CO75" s="199" t="s">
        <v>627</v>
      </c>
    </row>
    <row r="76" spans="12:105" x14ac:dyDescent="0.1">
      <c r="L76" s="249"/>
      <c r="CO76" s="199" t="s">
        <v>593</v>
      </c>
    </row>
    <row r="77" spans="12:105" ht="20.100000000000001" customHeight="1" x14ac:dyDescent="0.1">
      <c r="L77" s="249"/>
      <c r="CO77" s="467" t="s">
        <v>628</v>
      </c>
      <c r="CP77" s="467"/>
      <c r="CQ77" s="467"/>
      <c r="CR77" s="467"/>
      <c r="CS77" s="467"/>
      <c r="CT77" s="467"/>
      <c r="CU77" s="467"/>
      <c r="CV77" s="467"/>
      <c r="CW77" s="467"/>
      <c r="CX77" s="467"/>
      <c r="CY77" s="467"/>
      <c r="CZ77" s="467"/>
      <c r="DA77" s="467"/>
    </row>
    <row r="78" spans="12:105" ht="20.100000000000001" customHeight="1" x14ac:dyDescent="0.1">
      <c r="L78" s="249"/>
      <c r="CO78" s="467"/>
      <c r="CP78" s="467"/>
      <c r="CQ78" s="467"/>
      <c r="CR78" s="467"/>
      <c r="CS78" s="467"/>
      <c r="CT78" s="467"/>
      <c r="CU78" s="467"/>
      <c r="CV78" s="467"/>
      <c r="CW78" s="467"/>
      <c r="CX78" s="467"/>
      <c r="CY78" s="467"/>
      <c r="CZ78" s="467"/>
      <c r="DA78" s="467"/>
    </row>
    <row r="79" spans="12:105" ht="20.100000000000001" customHeight="1" x14ac:dyDescent="0.1">
      <c r="L79" s="249"/>
      <c r="CO79" s="467"/>
      <c r="CP79" s="467"/>
      <c r="CQ79" s="467"/>
      <c r="CR79" s="467"/>
      <c r="CS79" s="467"/>
      <c r="CT79" s="467"/>
      <c r="CU79" s="467"/>
      <c r="CV79" s="467"/>
      <c r="CW79" s="467"/>
      <c r="CX79" s="467"/>
      <c r="CY79" s="467"/>
      <c r="CZ79" s="467"/>
      <c r="DA79" s="467"/>
    </row>
    <row r="80" spans="12:105" x14ac:dyDescent="0.1">
      <c r="L80" s="249"/>
    </row>
    <row r="81" spans="12:93" x14ac:dyDescent="0.1">
      <c r="L81" s="249"/>
      <c r="CO81" s="199" t="s">
        <v>629</v>
      </c>
    </row>
    <row r="82" spans="12:93" x14ac:dyDescent="0.1">
      <c r="L82" s="249"/>
    </row>
    <row r="83" spans="12:93" x14ac:dyDescent="0.1">
      <c r="L83" s="249"/>
    </row>
  </sheetData>
  <sheetProtection password="DE02" sheet="1" objects="1" scenarios="1" selectLockedCells="1" selectUnlockedCells="1"/>
  <mergeCells count="11">
    <mergeCell ref="G1:L1"/>
    <mergeCell ref="CO1:DC1"/>
    <mergeCell ref="G2:L2"/>
    <mergeCell ref="CO2:DD2"/>
    <mergeCell ref="G3:L3"/>
    <mergeCell ref="G4:L4"/>
    <mergeCell ref="CO77:DA79"/>
    <mergeCell ref="CO8:DD8"/>
    <mergeCell ref="CO12:DD14"/>
    <mergeCell ref="CO15:DD16"/>
    <mergeCell ref="CO20:DD22"/>
  </mergeCells>
  <phoneticPr fontId="26" type="noConversion"/>
  <hyperlinks>
    <hyperlink ref="G3" r:id="rId1" display="http://jieqi.911cha.com/" xr:uid="{00000000-0004-0000-0200-000000000000}"/>
    <hyperlink ref="G2" r:id="rId2" display="天文與曆法" xr:uid="{00000000-0004-0000-0200-000001000000}"/>
    <hyperlink ref="CO1:DC1" r:id="rId3" display="用橢圓軌道公式求出24節氣" xr:uid="{00000000-0004-0000-0200-000002000000}"/>
    <hyperlink ref="G4" r:id="rId4" xr:uid="{00000000-0004-0000-0200-000003000000}"/>
    <hyperlink ref="G7" r:id="rId5" xr:uid="{00000000-0004-0000-0200-000004000000}"/>
  </hyperlinks>
  <pageMargins left="0.23622047244094491" right="0.23622047244094491" top="0.74803149606299213" bottom="0.74803149606299213" header="0.31496062992125984" footer="0.31496062992125984"/>
  <pageSetup paperSize="9" orientation="landscape"/>
  <headerFooter alignWithMargins="0"/>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7030A0"/>
  </sheetPr>
  <dimension ref="A1:DF82"/>
  <sheetViews>
    <sheetView topLeftCell="DG1" zoomScale="70" zoomScaleNormal="70" zoomScalePageLayoutView="70" workbookViewId="0">
      <selection activeCell="P31" sqref="P31"/>
    </sheetView>
  </sheetViews>
  <sheetFormatPr defaultColWidth="9" defaultRowHeight="18" x14ac:dyDescent="0.1"/>
  <cols>
    <col min="1" max="1" width="3" style="186" hidden="1" customWidth="1"/>
    <col min="2" max="2" width="34.625" style="186" hidden="1" customWidth="1"/>
    <col min="3" max="3" width="33.875" style="186" hidden="1" customWidth="1"/>
    <col min="4" max="4" width="12.5" style="186" hidden="1" customWidth="1"/>
    <col min="5" max="5" width="45.625" style="186" hidden="1" customWidth="1"/>
    <col min="6" max="6" width="3" style="186" hidden="1" customWidth="1"/>
    <col min="7" max="7" width="31.625" style="186" hidden="1" customWidth="1"/>
    <col min="8" max="8" width="9.125" style="186" hidden="1" customWidth="1"/>
    <col min="9" max="9" width="32" style="186" hidden="1" customWidth="1"/>
    <col min="10" max="10" width="26.625" style="186" hidden="1" customWidth="1"/>
    <col min="11" max="11" width="29.625" style="186" hidden="1" customWidth="1"/>
    <col min="12" max="12" width="30.625" style="186" hidden="1" customWidth="1"/>
    <col min="13" max="13" width="21.125" style="186" hidden="1" customWidth="1"/>
    <col min="14" max="14" width="24.5" style="186" hidden="1" customWidth="1"/>
    <col min="15" max="15" width="32" style="195" hidden="1" customWidth="1"/>
    <col min="16" max="16" width="27.125" style="186" hidden="1" customWidth="1"/>
    <col min="17" max="40" width="10.625" style="186" hidden="1" customWidth="1"/>
    <col min="41" max="41" width="5.625" style="186" hidden="1" customWidth="1"/>
    <col min="42" max="42" width="10.5" style="186" hidden="1" customWidth="1"/>
    <col min="43" max="43" width="21.125" style="186" hidden="1" customWidth="1"/>
    <col min="44" max="67" width="16.625" style="186" hidden="1" customWidth="1"/>
    <col min="68" max="91" width="12.625" style="186" hidden="1" customWidth="1"/>
    <col min="92" max="92" width="4.125" style="186" hidden="1" customWidth="1"/>
    <col min="93" max="93" width="8.875" style="199" hidden="1" customWidth="1"/>
    <col min="94" max="109" width="0" style="186" hidden="1" customWidth="1"/>
    <col min="110" max="110" width="137.125" style="186" hidden="1" customWidth="1"/>
    <col min="111" max="16384" width="9" style="186"/>
  </cols>
  <sheetData>
    <row r="1" spans="1:108" ht="66.75" customHeight="1" x14ac:dyDescent="0.1">
      <c r="A1" s="184"/>
      <c r="B1" s="185">
        <f ca="1">Program!B2</f>
        <v>2024</v>
      </c>
      <c r="E1" s="187"/>
      <c r="G1" s="468"/>
      <c r="H1" s="468"/>
      <c r="I1" s="468"/>
      <c r="J1" s="468"/>
      <c r="K1" s="468"/>
      <c r="L1" s="468"/>
      <c r="M1" s="188"/>
      <c r="N1" s="188"/>
      <c r="O1" s="189"/>
      <c r="P1" s="189"/>
      <c r="Q1" s="189"/>
      <c r="R1" s="189"/>
      <c r="S1" s="189"/>
      <c r="T1" s="189"/>
      <c r="U1" s="189"/>
      <c r="V1" s="189"/>
      <c r="W1" s="189"/>
      <c r="X1" s="189"/>
      <c r="Y1" s="189"/>
      <c r="Z1" s="189"/>
      <c r="AA1" s="189"/>
      <c r="AB1" s="189"/>
      <c r="AC1" s="189"/>
      <c r="AD1" s="189"/>
      <c r="AE1" s="189"/>
      <c r="AF1" s="189"/>
      <c r="AG1" s="189"/>
      <c r="AH1" s="189"/>
      <c r="AI1" s="189"/>
      <c r="AJ1" s="189"/>
      <c r="AK1" s="189"/>
      <c r="AL1" s="189"/>
      <c r="CO1" s="469" t="s">
        <v>556</v>
      </c>
      <c r="CP1" s="469"/>
      <c r="CQ1" s="469"/>
      <c r="CR1" s="469"/>
      <c r="CS1" s="469"/>
      <c r="CT1" s="469"/>
      <c r="CU1" s="469"/>
      <c r="CV1" s="469"/>
      <c r="CW1" s="469"/>
      <c r="CX1" s="469"/>
      <c r="CY1" s="469"/>
      <c r="CZ1" s="469"/>
      <c r="DA1" s="469"/>
      <c r="DB1" s="469"/>
      <c r="DC1" s="469"/>
    </row>
    <row r="2" spans="1:108" ht="40.35" customHeight="1" x14ac:dyDescent="0.35">
      <c r="B2" s="190">
        <f ca="1">111.25586939-(17.0119934518333*m_1000)-(0.044091890166673*m_1000^2)-(0.000437356166661345*m_1000^3)+(8.16716666602386E-06*m_1000^4)</f>
        <v>76.639479599839262</v>
      </c>
      <c r="C2" s="191" t="s">
        <v>594</v>
      </c>
      <c r="D2" s="192" t="str">
        <f t="shared" ref="D2:D25" si="0">H14</f>
        <v>春分</v>
      </c>
      <c r="E2" s="193">
        <f t="shared" ref="E2:E25" ca="1" si="1">O14</f>
        <v>45371.462851632852</v>
      </c>
      <c r="F2" s="194"/>
      <c r="G2" s="466" t="s">
        <v>595</v>
      </c>
      <c r="H2" s="466"/>
      <c r="I2" s="466"/>
      <c r="J2" s="466"/>
      <c r="K2" s="466"/>
      <c r="L2" s="46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c r="BA2" s="196"/>
      <c r="BB2" s="196"/>
      <c r="BC2" s="196"/>
      <c r="BD2" s="196"/>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6"/>
      <c r="CC2" s="196"/>
      <c r="CD2" s="196"/>
      <c r="CE2" s="196"/>
      <c r="CF2" s="196"/>
      <c r="CG2" s="196"/>
      <c r="CH2" s="196"/>
      <c r="CI2" s="196"/>
      <c r="CJ2" s="196"/>
      <c r="CK2" s="196"/>
      <c r="CL2" s="196"/>
      <c r="CM2" s="196"/>
      <c r="CN2" s="196"/>
      <c r="CO2" s="467" t="s">
        <v>596</v>
      </c>
      <c r="CP2" s="467"/>
      <c r="CQ2" s="467"/>
      <c r="CR2" s="467"/>
      <c r="CS2" s="467"/>
      <c r="CT2" s="467"/>
      <c r="CU2" s="467"/>
      <c r="CV2" s="467"/>
      <c r="CW2" s="467"/>
      <c r="CX2" s="467"/>
      <c r="CY2" s="467"/>
      <c r="CZ2" s="467"/>
      <c r="DA2" s="467"/>
      <c r="DB2" s="467"/>
      <c r="DC2" s="467"/>
      <c r="DD2" s="467"/>
    </row>
    <row r="3" spans="1:108" ht="40.35" customHeight="1" x14ac:dyDescent="0.35">
      <c r="B3" s="197">
        <f ca="1">IF($B$1&gt;=1000,2451623.80984+365242.37404*m_3000+0.05169*m_3000^2-0.00411*m_3000^3-0.00057*m_3000^4,1721139.29189+365242.1374*m_1000+0.06134*m_1000^2+0.00111*m_1000^3-0.00071*m_1000^4)</f>
        <v>2460389.6268466762</v>
      </c>
      <c r="C3" s="198" t="s">
        <v>597</v>
      </c>
      <c r="D3" s="192" t="str">
        <f t="shared" si="0"/>
        <v>清明</v>
      </c>
      <c r="E3" s="193">
        <f t="shared" ca="1" si="1"/>
        <v>45386.6263880888</v>
      </c>
      <c r="G3" s="466" t="s">
        <v>598</v>
      </c>
      <c r="H3" s="466"/>
      <c r="I3" s="466"/>
      <c r="J3" s="466"/>
      <c r="K3" s="466"/>
      <c r="L3" s="466"/>
    </row>
    <row r="4" spans="1:108" ht="40.35" customHeight="1" x14ac:dyDescent="0.35">
      <c r="B4" s="197">
        <f ca="1">IF($B$1&gt;=1000,2451716.56767+365241.62603*m_3000+0.00325*m_3000^2+0.00888*m_3000^3-0.0003*m_3000^4,1721233.25401+365241.72562*m_1000-0.05323*m_1000^2+0.00111*m_1000^3+0.00025*m_1000^4)</f>
        <v>2460482.3666967149</v>
      </c>
      <c r="C4" s="198" t="s">
        <v>599</v>
      </c>
      <c r="D4" s="192" t="str">
        <f t="shared" si="0"/>
        <v>穀雨</v>
      </c>
      <c r="E4" s="193">
        <f t="shared" ca="1" si="1"/>
        <v>45401.916221303865</v>
      </c>
      <c r="G4" s="466" t="s">
        <v>600</v>
      </c>
      <c r="H4" s="466"/>
      <c r="I4" s="466"/>
      <c r="J4" s="466"/>
      <c r="K4" s="466"/>
      <c r="L4" s="466"/>
      <c r="V4" s="200"/>
    </row>
    <row r="5" spans="1:108" ht="40.35" customHeight="1" x14ac:dyDescent="0.35">
      <c r="B5" s="197">
        <f ca="1">IF($B$1&gt;=1000, 2451810.21715+365242.01767*m_3000-0.11575*m_3000^2+0.00337*m_3000^3-0.00078*m_3000^4,1721325.70455+365242.49558*m_1000-0.11677*m_1000^2-0.00297*m_1000^3+0.00074*m_1000^4)</f>
        <v>2460576.0255074538</v>
      </c>
      <c r="C5" s="198" t="s">
        <v>601</v>
      </c>
      <c r="D5" s="192" t="str">
        <f t="shared" si="0"/>
        <v>立夏</v>
      </c>
      <c r="E5" s="193">
        <f t="shared" ca="1" si="1"/>
        <v>45417.339833327103</v>
      </c>
    </row>
    <row r="6" spans="1:108" ht="40.35" customHeight="1" x14ac:dyDescent="0.35">
      <c r="B6" s="197">
        <f ca="1">IF($B$1&gt;=1000,2451900.05952+365242.74049*m_3000-0.06223*m_3000^2-0.00823*m_3000^3+0.00032*m_3000^4,1721414.39987+365242.88257*m_1000-0.00769*m_1000^2-0.00933*m_1000^3-0.00006*m_1000^4)</f>
        <v>2460665.8852558024</v>
      </c>
      <c r="C6" s="198" t="s">
        <v>602</v>
      </c>
      <c r="D6" s="192" t="str">
        <f t="shared" si="0"/>
        <v>小滿</v>
      </c>
      <c r="E6" s="193">
        <f t="shared" ca="1" si="1"/>
        <v>45432.874184390064</v>
      </c>
      <c r="G6" s="201" t="s">
        <v>603</v>
      </c>
      <c r="J6" s="202"/>
      <c r="V6" s="200"/>
    </row>
    <row r="7" spans="1:108" ht="40.35" customHeight="1" x14ac:dyDescent="0.1">
      <c r="B7" s="203">
        <f ca="1">IF($B$1&gt;=1000,2451623.80984+365242.37404*m_3000_1+0.05169*m_3000_1^2-0.00411*m_3000_1^3-0.00057*m_3000_1^4,1721139.29189+365242.1374*m_1000_1+0.06134*m_1000_1^2+0.00111*m_1000_1^3-0.00071*m_1000_1^4)-B3</f>
        <v>365.24237656546757</v>
      </c>
      <c r="C7" s="204" t="s">
        <v>604</v>
      </c>
      <c r="D7" s="192" t="str">
        <f t="shared" si="0"/>
        <v>芒種</v>
      </c>
      <c r="E7" s="193">
        <f t="shared" ca="1" si="1"/>
        <v>45448.506432755385</v>
      </c>
      <c r="G7" s="201" t="s">
        <v>605</v>
      </c>
      <c r="J7" s="205"/>
      <c r="K7" s="206"/>
      <c r="L7" s="206"/>
      <c r="V7" s="207"/>
      <c r="W7" s="207"/>
      <c r="X7" s="207"/>
      <c r="Y7" s="207"/>
      <c r="Z7" s="207"/>
      <c r="AA7" s="207"/>
      <c r="AB7" s="207"/>
      <c r="AC7" s="207"/>
      <c r="AD7" s="207"/>
      <c r="AE7" s="207"/>
      <c r="AF7" s="207"/>
      <c r="AG7" s="207"/>
      <c r="AH7" s="207"/>
      <c r="AI7" s="207"/>
      <c r="AJ7" s="207"/>
      <c r="AK7" s="207"/>
      <c r="AL7" s="207"/>
      <c r="AM7" s="207"/>
      <c r="AN7" s="207"/>
      <c r="AO7" s="207"/>
      <c r="AP7" s="207"/>
      <c r="AQ7" s="207"/>
      <c r="AR7" s="207"/>
      <c r="AS7" s="207"/>
      <c r="AT7" s="207"/>
      <c r="AU7" s="207"/>
      <c r="AV7" s="207"/>
      <c r="AW7" s="207"/>
      <c r="AX7" s="207"/>
      <c r="AY7" s="207"/>
      <c r="AZ7" s="207"/>
      <c r="BA7" s="207"/>
      <c r="BB7" s="207"/>
      <c r="BC7" s="207"/>
      <c r="BD7" s="207"/>
      <c r="BE7" s="207"/>
      <c r="BF7" s="207"/>
      <c r="BG7" s="207"/>
      <c r="BH7" s="207"/>
      <c r="BI7" s="207"/>
      <c r="BJ7" s="207"/>
      <c r="BK7" s="207"/>
      <c r="BL7" s="207"/>
      <c r="BM7" s="207"/>
      <c r="BN7" s="207"/>
      <c r="BO7" s="207"/>
      <c r="BP7" s="207"/>
      <c r="BQ7" s="207"/>
      <c r="BR7" s="207"/>
      <c r="BS7" s="207"/>
      <c r="BT7" s="207"/>
      <c r="BU7" s="207"/>
      <c r="BV7" s="207"/>
      <c r="BW7" s="207"/>
      <c r="BX7" s="207"/>
      <c r="BY7" s="207"/>
      <c r="BZ7" s="207"/>
      <c r="CA7" s="207"/>
      <c r="CB7" s="207"/>
      <c r="CC7" s="207"/>
      <c r="CD7" s="207"/>
      <c r="CE7" s="207"/>
      <c r="CF7" s="207"/>
      <c r="CG7" s="207"/>
      <c r="CH7" s="207"/>
      <c r="CI7" s="207"/>
      <c r="CJ7" s="207"/>
      <c r="CK7" s="207"/>
      <c r="CL7" s="207"/>
      <c r="CM7" s="207"/>
      <c r="CN7" s="207"/>
    </row>
    <row r="8" spans="1:108" ht="40.35" customHeight="1" x14ac:dyDescent="0.3">
      <c r="B8" s="208">
        <f ca="1">B7/2/PI()</f>
        <v>58.130129657025599</v>
      </c>
      <c r="C8" s="209" t="s">
        <v>606</v>
      </c>
      <c r="D8" s="192" t="str">
        <f t="shared" si="0"/>
        <v>夏至</v>
      </c>
      <c r="E8" s="193">
        <f t="shared" ca="1" si="1"/>
        <v>45464.201866140589</v>
      </c>
      <c r="G8" s="201" t="s">
        <v>607</v>
      </c>
      <c r="J8" s="210"/>
      <c r="K8" s="210"/>
      <c r="L8" s="210"/>
      <c r="CO8" s="467" t="s">
        <v>608</v>
      </c>
      <c r="CP8" s="467"/>
      <c r="CQ8" s="467"/>
      <c r="CR8" s="467"/>
      <c r="CS8" s="467"/>
      <c r="CT8" s="467"/>
      <c r="CU8" s="467"/>
      <c r="CV8" s="467"/>
      <c r="CW8" s="467"/>
      <c r="CX8" s="467"/>
      <c r="CY8" s="467"/>
      <c r="CZ8" s="467"/>
      <c r="DA8" s="467"/>
      <c r="DB8" s="467"/>
      <c r="DC8" s="467"/>
      <c r="DD8" s="467"/>
    </row>
    <row r="9" spans="1:108" ht="40.35" customHeight="1" x14ac:dyDescent="0.1">
      <c r="D9" s="192" t="str">
        <f t="shared" si="0"/>
        <v>小暑</v>
      </c>
      <c r="E9" s="193">
        <f t="shared" ca="1" si="1"/>
        <v>45479.93070566142</v>
      </c>
      <c r="G9" s="201" t="s">
        <v>609</v>
      </c>
      <c r="H9" s="211"/>
      <c r="P9" s="212"/>
      <c r="Q9" s="213"/>
      <c r="AP9" s="212"/>
    </row>
    <row r="10" spans="1:108" ht="40.35" customHeight="1" x14ac:dyDescent="0.1">
      <c r="D10" s="192" t="str">
        <f t="shared" si="0"/>
        <v>大暑</v>
      </c>
      <c r="E10" s="193">
        <f t="shared" ca="1" si="1"/>
        <v>45495.656151390169</v>
      </c>
      <c r="G10" s="201" t="s">
        <v>610</v>
      </c>
      <c r="H10" s="211"/>
      <c r="I10" s="214"/>
      <c r="J10" s="214"/>
      <c r="K10" s="214"/>
      <c r="P10" s="215" t="s">
        <v>611</v>
      </c>
      <c r="Q10" s="216">
        <v>1</v>
      </c>
      <c r="R10" s="216">
        <v>2</v>
      </c>
      <c r="S10" s="216">
        <v>3</v>
      </c>
      <c r="T10" s="216">
        <v>4</v>
      </c>
      <c r="U10" s="216">
        <v>5</v>
      </c>
      <c r="V10" s="216">
        <v>6</v>
      </c>
      <c r="W10" s="216">
        <v>7</v>
      </c>
      <c r="X10" s="216">
        <v>8</v>
      </c>
      <c r="Y10" s="216">
        <v>9</v>
      </c>
      <c r="Z10" s="216">
        <v>10</v>
      </c>
      <c r="AA10" s="216">
        <v>11</v>
      </c>
      <c r="AB10" s="216">
        <v>12</v>
      </c>
      <c r="AC10" s="216">
        <v>13</v>
      </c>
      <c r="AD10" s="216">
        <v>14</v>
      </c>
      <c r="AE10" s="216">
        <v>15</v>
      </c>
      <c r="AF10" s="216">
        <v>16</v>
      </c>
      <c r="AG10" s="216">
        <v>17</v>
      </c>
      <c r="AH10" s="216">
        <v>18</v>
      </c>
      <c r="AI10" s="216">
        <v>19</v>
      </c>
      <c r="AJ10" s="216">
        <v>20</v>
      </c>
      <c r="AK10" s="216">
        <v>21</v>
      </c>
      <c r="AL10" s="216">
        <v>22</v>
      </c>
      <c r="AM10" s="216">
        <v>23</v>
      </c>
      <c r="AN10" s="216">
        <v>24</v>
      </c>
      <c r="AO10" s="217"/>
    </row>
    <row r="11" spans="1:108" ht="40.35" customHeight="1" x14ac:dyDescent="0.1">
      <c r="D11" s="192" t="str">
        <f t="shared" si="0"/>
        <v>立秋</v>
      </c>
      <c r="E11" s="193">
        <f t="shared" ca="1" si="1"/>
        <v>45511.340232505463</v>
      </c>
      <c r="G11" s="201" t="s">
        <v>612</v>
      </c>
      <c r="H11" s="211"/>
      <c r="L11" s="218"/>
      <c r="M11" s="218"/>
      <c r="N11" s="218"/>
      <c r="O11" s="218"/>
      <c r="P11" s="215" t="s">
        <v>557</v>
      </c>
      <c r="Q11" s="216">
        <v>485</v>
      </c>
      <c r="R11" s="216">
        <v>203</v>
      </c>
      <c r="S11" s="216">
        <v>199</v>
      </c>
      <c r="T11" s="216">
        <v>182</v>
      </c>
      <c r="U11" s="216">
        <v>156</v>
      </c>
      <c r="V11" s="216">
        <v>136</v>
      </c>
      <c r="W11" s="216">
        <v>77</v>
      </c>
      <c r="X11" s="216">
        <v>74</v>
      </c>
      <c r="Y11" s="216">
        <v>70</v>
      </c>
      <c r="Z11" s="216">
        <v>58</v>
      </c>
      <c r="AA11" s="216">
        <v>52</v>
      </c>
      <c r="AB11" s="216">
        <v>50</v>
      </c>
      <c r="AC11" s="216">
        <v>45</v>
      </c>
      <c r="AD11" s="216">
        <v>44</v>
      </c>
      <c r="AE11" s="216">
        <v>29</v>
      </c>
      <c r="AF11" s="216">
        <v>18</v>
      </c>
      <c r="AG11" s="216">
        <v>17</v>
      </c>
      <c r="AH11" s="216">
        <v>16</v>
      </c>
      <c r="AI11" s="216">
        <v>14</v>
      </c>
      <c r="AJ11" s="216">
        <v>12</v>
      </c>
      <c r="AK11" s="216">
        <v>12</v>
      </c>
      <c r="AL11" s="216">
        <v>12</v>
      </c>
      <c r="AM11" s="216">
        <v>9</v>
      </c>
      <c r="AN11" s="216">
        <v>8</v>
      </c>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row>
    <row r="12" spans="1:108" ht="40.35" customHeight="1" x14ac:dyDescent="0.1">
      <c r="D12" s="192" t="str">
        <f t="shared" si="0"/>
        <v>處暑</v>
      </c>
      <c r="E12" s="193">
        <f t="shared" ca="1" si="1"/>
        <v>45526.955251828302</v>
      </c>
      <c r="G12" s="219"/>
      <c r="O12" s="218"/>
      <c r="P12" s="215" t="s">
        <v>558</v>
      </c>
      <c r="Q12" s="216">
        <v>324.95999999999998</v>
      </c>
      <c r="R12" s="216">
        <v>337.23</v>
      </c>
      <c r="S12" s="216">
        <v>342.08</v>
      </c>
      <c r="T12" s="216">
        <v>27.85</v>
      </c>
      <c r="U12" s="216">
        <v>73.14</v>
      </c>
      <c r="V12" s="216">
        <v>171.52</v>
      </c>
      <c r="W12" s="216">
        <v>222.54</v>
      </c>
      <c r="X12" s="216">
        <v>296.72000000000003</v>
      </c>
      <c r="Y12" s="216">
        <v>243.58</v>
      </c>
      <c r="Z12" s="216">
        <v>119.81</v>
      </c>
      <c r="AA12" s="216">
        <v>297.17</v>
      </c>
      <c r="AB12" s="216">
        <v>21.02</v>
      </c>
      <c r="AC12" s="216">
        <v>247.54</v>
      </c>
      <c r="AD12" s="216">
        <v>325.14999999999998</v>
      </c>
      <c r="AE12" s="216">
        <v>60.93</v>
      </c>
      <c r="AF12" s="216">
        <v>155.12</v>
      </c>
      <c r="AG12" s="216">
        <v>288.79000000000002</v>
      </c>
      <c r="AH12" s="216">
        <v>198.04</v>
      </c>
      <c r="AI12" s="216">
        <v>199.76</v>
      </c>
      <c r="AJ12" s="216">
        <v>95.39</v>
      </c>
      <c r="AK12" s="216">
        <v>287.11</v>
      </c>
      <c r="AL12" s="216">
        <v>320.81</v>
      </c>
      <c r="AM12" s="216">
        <v>227.73</v>
      </c>
      <c r="AN12" s="216">
        <v>15.45</v>
      </c>
      <c r="AQ12" s="220" t="s">
        <v>613</v>
      </c>
      <c r="AR12" s="221">
        <f t="shared" ref="AR12:BO12" ca="1" si="2">Delta_t_Year_修正值</f>
        <v>2024.2083333333333</v>
      </c>
      <c r="AS12" s="221">
        <f t="shared" ca="1" si="2"/>
        <v>2024.2916666666667</v>
      </c>
      <c r="AT12" s="221">
        <f t="shared" ca="1" si="2"/>
        <v>2024.2916666666667</v>
      </c>
      <c r="AU12" s="221">
        <f t="shared" ca="1" si="2"/>
        <v>2024.375</v>
      </c>
      <c r="AV12" s="221">
        <f t="shared" ca="1" si="2"/>
        <v>2024.375</v>
      </c>
      <c r="AW12" s="221">
        <f t="shared" ca="1" si="2"/>
        <v>2024.4583333333333</v>
      </c>
      <c r="AX12" s="221">
        <f t="shared" ca="1" si="2"/>
        <v>2024.4583333333333</v>
      </c>
      <c r="AY12" s="221">
        <f t="shared" ca="1" si="2"/>
        <v>2024.5416666666667</v>
      </c>
      <c r="AZ12" s="221">
        <f t="shared" ca="1" si="2"/>
        <v>2024.5416666666667</v>
      </c>
      <c r="BA12" s="221">
        <f t="shared" ca="1" si="2"/>
        <v>2024.625</v>
      </c>
      <c r="BB12" s="221">
        <f t="shared" ca="1" si="2"/>
        <v>2024.625</v>
      </c>
      <c r="BC12" s="221">
        <f t="shared" ca="1" si="2"/>
        <v>2024.7083333333333</v>
      </c>
      <c r="BD12" s="221">
        <f t="shared" ca="1" si="2"/>
        <v>2024.7083333333333</v>
      </c>
      <c r="BE12" s="221">
        <f t="shared" ca="1" si="2"/>
        <v>2024.7916666666667</v>
      </c>
      <c r="BF12" s="221">
        <f t="shared" ca="1" si="2"/>
        <v>2024.7916666666667</v>
      </c>
      <c r="BG12" s="221">
        <f t="shared" ca="1" si="2"/>
        <v>2024.875</v>
      </c>
      <c r="BH12" s="221">
        <f t="shared" ca="1" si="2"/>
        <v>2024.875</v>
      </c>
      <c r="BI12" s="221">
        <f t="shared" ca="1" si="2"/>
        <v>2024.9583333333333</v>
      </c>
      <c r="BJ12" s="221">
        <f t="shared" ca="1" si="2"/>
        <v>2024.9583333333333</v>
      </c>
      <c r="BK12" s="221">
        <f t="shared" ca="1" si="2"/>
        <v>2025.0416666666667</v>
      </c>
      <c r="BL12" s="221">
        <f t="shared" ca="1" si="2"/>
        <v>2025.0416666666667</v>
      </c>
      <c r="BM12" s="221">
        <f t="shared" ca="1" si="2"/>
        <v>2025.125</v>
      </c>
      <c r="BN12" s="221">
        <f t="shared" ca="1" si="2"/>
        <v>2025.125</v>
      </c>
      <c r="BO12" s="221">
        <f t="shared" ca="1" si="2"/>
        <v>2025.2083333333333</v>
      </c>
      <c r="BP12" s="221">
        <v>7100</v>
      </c>
      <c r="BQ12" s="195"/>
      <c r="BR12" s="195"/>
      <c r="BS12" s="195"/>
      <c r="BT12" s="195"/>
      <c r="BU12" s="195"/>
      <c r="BV12" s="195"/>
      <c r="BW12" s="195"/>
      <c r="BX12" s="195"/>
      <c r="BY12" s="195"/>
      <c r="BZ12" s="195"/>
      <c r="CA12" s="195"/>
      <c r="CB12" s="195"/>
      <c r="CC12" s="195"/>
      <c r="CD12" s="195"/>
      <c r="CE12" s="195"/>
      <c r="CF12" s="195"/>
      <c r="CG12" s="195"/>
      <c r="CH12" s="195"/>
      <c r="CI12" s="195"/>
      <c r="CJ12" s="195"/>
      <c r="CK12" s="195"/>
      <c r="CL12" s="195"/>
      <c r="CM12" s="195"/>
      <c r="CO12" s="467" t="s">
        <v>614</v>
      </c>
      <c r="CP12" s="467"/>
      <c r="CQ12" s="467"/>
      <c r="CR12" s="467"/>
      <c r="CS12" s="467"/>
      <c r="CT12" s="467"/>
      <c r="CU12" s="467"/>
      <c r="CV12" s="467"/>
      <c r="CW12" s="467"/>
      <c r="CX12" s="467"/>
      <c r="CY12" s="467"/>
      <c r="CZ12" s="467"/>
      <c r="DA12" s="467"/>
      <c r="DB12" s="467"/>
      <c r="DC12" s="467"/>
      <c r="DD12" s="467"/>
    </row>
    <row r="13" spans="1:108" ht="40.35" customHeight="1" x14ac:dyDescent="0.1">
      <c r="B13" s="222"/>
      <c r="D13" s="192" t="str">
        <f t="shared" si="0"/>
        <v>白露</v>
      </c>
      <c r="E13" s="193">
        <f t="shared" ca="1" si="1"/>
        <v>45542.466490612831</v>
      </c>
      <c r="G13" s="219"/>
      <c r="H13" s="223"/>
      <c r="I13" s="224" t="s">
        <v>559</v>
      </c>
      <c r="J13" s="224" t="s">
        <v>560</v>
      </c>
      <c r="K13" s="225" t="s">
        <v>615</v>
      </c>
      <c r="L13" s="226" t="s">
        <v>616</v>
      </c>
      <c r="M13" s="225" t="s">
        <v>617</v>
      </c>
      <c r="N13" s="227" t="s">
        <v>618</v>
      </c>
      <c r="O13" s="228" t="s">
        <v>619</v>
      </c>
      <c r="P13" s="215" t="s">
        <v>561</v>
      </c>
      <c r="Q13" s="216">
        <v>1934.136</v>
      </c>
      <c r="R13" s="216">
        <v>32964.466999999997</v>
      </c>
      <c r="S13" s="216">
        <v>20.186</v>
      </c>
      <c r="T13" s="216">
        <v>445267.11200000002</v>
      </c>
      <c r="U13" s="216">
        <v>45036.885999999999</v>
      </c>
      <c r="V13" s="216">
        <v>22518.442999999999</v>
      </c>
      <c r="W13" s="216">
        <v>65928.933999999994</v>
      </c>
      <c r="X13" s="216">
        <v>3034.9059999999999</v>
      </c>
      <c r="Y13" s="216">
        <v>9037.5130000000008</v>
      </c>
      <c r="Z13" s="216">
        <v>33718.146999999997</v>
      </c>
      <c r="AA13" s="216">
        <v>150.678</v>
      </c>
      <c r="AB13" s="216">
        <v>2281.2260000000001</v>
      </c>
      <c r="AC13" s="216">
        <v>29929.562000000002</v>
      </c>
      <c r="AD13" s="216">
        <v>31555.955999999998</v>
      </c>
      <c r="AE13" s="216">
        <v>4443.4170000000004</v>
      </c>
      <c r="AF13" s="216">
        <v>67555.327999999994</v>
      </c>
      <c r="AG13" s="216">
        <v>4562.4520000000002</v>
      </c>
      <c r="AH13" s="216">
        <v>62894.029000000002</v>
      </c>
      <c r="AI13" s="216">
        <v>31436.920999999998</v>
      </c>
      <c r="AJ13" s="216">
        <v>14577.848</v>
      </c>
      <c r="AK13" s="216">
        <v>31931.756000000001</v>
      </c>
      <c r="AL13" s="216">
        <v>34777.258999999998</v>
      </c>
      <c r="AM13" s="216">
        <v>1222.114</v>
      </c>
      <c r="AN13" s="216">
        <v>16859.074000000001</v>
      </c>
      <c r="AP13" s="229" t="s">
        <v>562</v>
      </c>
      <c r="AQ13" s="229" t="s">
        <v>563</v>
      </c>
      <c r="AR13" s="229" t="str">
        <f t="shared" ref="AR13:BO13" si="3">"△t(秒) _ "&amp;COLUMN()-43</f>
        <v>△t(秒) _ 1</v>
      </c>
      <c r="AS13" s="229" t="str">
        <f t="shared" si="3"/>
        <v>△t(秒) _ 2</v>
      </c>
      <c r="AT13" s="229" t="str">
        <f t="shared" si="3"/>
        <v>△t(秒) _ 3</v>
      </c>
      <c r="AU13" s="229" t="str">
        <f t="shared" si="3"/>
        <v>△t(秒) _ 4</v>
      </c>
      <c r="AV13" s="229" t="str">
        <f t="shared" si="3"/>
        <v>△t(秒) _ 5</v>
      </c>
      <c r="AW13" s="229" t="str">
        <f t="shared" si="3"/>
        <v>△t(秒) _ 6</v>
      </c>
      <c r="AX13" s="229" t="str">
        <f t="shared" si="3"/>
        <v>△t(秒) _ 7</v>
      </c>
      <c r="AY13" s="229" t="str">
        <f t="shared" si="3"/>
        <v>△t(秒) _ 8</v>
      </c>
      <c r="AZ13" s="229" t="str">
        <f t="shared" si="3"/>
        <v>△t(秒) _ 9</v>
      </c>
      <c r="BA13" s="229" t="str">
        <f t="shared" si="3"/>
        <v>△t(秒) _ 10</v>
      </c>
      <c r="BB13" s="229" t="str">
        <f t="shared" si="3"/>
        <v>△t(秒) _ 11</v>
      </c>
      <c r="BC13" s="229" t="str">
        <f t="shared" si="3"/>
        <v>△t(秒) _ 12</v>
      </c>
      <c r="BD13" s="229" t="str">
        <f t="shared" si="3"/>
        <v>△t(秒) _ 13</v>
      </c>
      <c r="BE13" s="229" t="str">
        <f t="shared" si="3"/>
        <v>△t(秒) _ 14</v>
      </c>
      <c r="BF13" s="229" t="str">
        <f t="shared" si="3"/>
        <v>△t(秒) _ 15</v>
      </c>
      <c r="BG13" s="229" t="str">
        <f t="shared" si="3"/>
        <v>△t(秒) _ 16</v>
      </c>
      <c r="BH13" s="229" t="str">
        <f t="shared" si="3"/>
        <v>△t(秒) _ 17</v>
      </c>
      <c r="BI13" s="229" t="str">
        <f t="shared" si="3"/>
        <v>△t(秒) _ 18</v>
      </c>
      <c r="BJ13" s="229" t="str">
        <f t="shared" si="3"/>
        <v>△t(秒) _ 19</v>
      </c>
      <c r="BK13" s="229" t="str">
        <f t="shared" si="3"/>
        <v>△t(秒) _ 20</v>
      </c>
      <c r="BL13" s="229" t="str">
        <f t="shared" si="3"/>
        <v>△t(秒) _ 21</v>
      </c>
      <c r="BM13" s="229" t="str">
        <f t="shared" si="3"/>
        <v>△t(秒) _ 22</v>
      </c>
      <c r="BN13" s="229" t="str">
        <f t="shared" si="3"/>
        <v>△t(秒) _ 23</v>
      </c>
      <c r="BO13" s="229" t="str">
        <f t="shared" si="3"/>
        <v>△t(秒) _ 24</v>
      </c>
      <c r="BP13" s="230" t="str">
        <f t="shared" ref="BP13:CM13" si="4">"u &amp; t _ "&amp;COLUMN()-67</f>
        <v>u &amp; t _ 1</v>
      </c>
      <c r="BQ13" s="230" t="str">
        <f t="shared" si="4"/>
        <v>u &amp; t _ 2</v>
      </c>
      <c r="BR13" s="230" t="str">
        <f t="shared" si="4"/>
        <v>u &amp; t _ 3</v>
      </c>
      <c r="BS13" s="230" t="str">
        <f t="shared" si="4"/>
        <v>u &amp; t _ 4</v>
      </c>
      <c r="BT13" s="230" t="str">
        <f t="shared" si="4"/>
        <v>u &amp; t _ 5</v>
      </c>
      <c r="BU13" s="230" t="str">
        <f t="shared" si="4"/>
        <v>u &amp; t _ 6</v>
      </c>
      <c r="BV13" s="230" t="str">
        <f t="shared" si="4"/>
        <v>u &amp; t _ 7</v>
      </c>
      <c r="BW13" s="230" t="str">
        <f t="shared" si="4"/>
        <v>u &amp; t _ 8</v>
      </c>
      <c r="BX13" s="230" t="str">
        <f t="shared" si="4"/>
        <v>u &amp; t _ 9</v>
      </c>
      <c r="BY13" s="230" t="str">
        <f t="shared" si="4"/>
        <v>u &amp; t _ 10</v>
      </c>
      <c r="BZ13" s="230" t="str">
        <f t="shared" si="4"/>
        <v>u &amp; t _ 11</v>
      </c>
      <c r="CA13" s="230" t="str">
        <f t="shared" si="4"/>
        <v>u &amp; t _ 12</v>
      </c>
      <c r="CB13" s="230" t="str">
        <f t="shared" si="4"/>
        <v>u &amp; t _ 13</v>
      </c>
      <c r="CC13" s="230" t="str">
        <f t="shared" si="4"/>
        <v>u &amp; t _ 14</v>
      </c>
      <c r="CD13" s="230" t="str">
        <f t="shared" si="4"/>
        <v>u &amp; t _ 15</v>
      </c>
      <c r="CE13" s="230" t="str">
        <f t="shared" si="4"/>
        <v>u &amp; t _ 16</v>
      </c>
      <c r="CF13" s="230" t="str">
        <f t="shared" si="4"/>
        <v>u &amp; t _ 17</v>
      </c>
      <c r="CG13" s="230" t="str">
        <f t="shared" si="4"/>
        <v>u &amp; t _ 18</v>
      </c>
      <c r="CH13" s="230" t="str">
        <f t="shared" si="4"/>
        <v>u &amp; t _ 19</v>
      </c>
      <c r="CI13" s="230" t="str">
        <f t="shared" si="4"/>
        <v>u &amp; t _ 20</v>
      </c>
      <c r="CJ13" s="230" t="str">
        <f t="shared" si="4"/>
        <v>u &amp; t _ 21</v>
      </c>
      <c r="CK13" s="230" t="str">
        <f t="shared" si="4"/>
        <v>u &amp; t _ 22</v>
      </c>
      <c r="CL13" s="230" t="str">
        <f t="shared" si="4"/>
        <v>u &amp; t _ 23</v>
      </c>
      <c r="CM13" s="230" t="str">
        <f t="shared" si="4"/>
        <v>u &amp; t _ 24</v>
      </c>
      <c r="CO13" s="467"/>
      <c r="CP13" s="467"/>
      <c r="CQ13" s="467"/>
      <c r="CR13" s="467"/>
      <c r="CS13" s="467"/>
      <c r="CT13" s="467"/>
      <c r="CU13" s="467"/>
      <c r="CV13" s="467"/>
      <c r="CW13" s="467"/>
      <c r="CX13" s="467"/>
      <c r="CY13" s="467"/>
      <c r="CZ13" s="467"/>
      <c r="DA13" s="467"/>
      <c r="DB13" s="467"/>
      <c r="DC13" s="467"/>
      <c r="DD13" s="467"/>
    </row>
    <row r="14" spans="1:108" ht="40.35" customHeight="1" x14ac:dyDescent="0.1">
      <c r="B14" s="231"/>
      <c r="D14" s="192" t="str">
        <f t="shared" si="0"/>
        <v>秋分</v>
      </c>
      <c r="E14" s="193">
        <f t="shared" ca="1" si="1"/>
        <v>45557.863673381507</v>
      </c>
      <c r="F14" s="232"/>
      <c r="G14" s="232"/>
      <c r="H14" s="233" t="s">
        <v>41</v>
      </c>
      <c r="I14" s="234">
        <f t="shared" ref="I14:I37" ca="1" si="5">IF(AND(th_δ&gt;PI(),th_δ&lt;=(3*PI())),2*PI()-th_δ,IF(th_δ&gt;(3*PI()),4*PI()-th_δ,th_δ))</f>
        <v>1.3376112560322215</v>
      </c>
      <c r="J14" s="235">
        <f t="shared" ref="J14:J37" ca="1" si="6">IF(m_flag=1,$B$7-callp,IF(m_flag=2,2*$B$7-callp,callp))</f>
        <v>75.872227261032194</v>
      </c>
      <c r="K14" s="236">
        <f t="shared" ref="K14:K37" ca="1" si="7">$B$3+J14-$J$14</f>
        <v>2460389.6268466762</v>
      </c>
      <c r="L14" s="237">
        <f t="shared" ref="L14:L37" ca="1" si="8">K14+M14-N14/86400+1/3</f>
        <v>2460389.9628516329</v>
      </c>
      <c r="M14" s="238">
        <f t="shared" ref="M14:M37" ca="1" si="9">二分點_偏移量</f>
        <v>3.5273252982363696E-3</v>
      </c>
      <c r="N14" s="238">
        <f t="shared" ref="N14:N37" ca="1" si="10">IF(OR(二分點_Year&lt;1955,二分點_Year&gt;=2005),二分點_△t_原始值+OFFSET($AQ$29,0,ROW()-13),二分點_△t_原始值)</f>
        <v>73.932653719840232</v>
      </c>
      <c r="O14" s="239">
        <f t="shared" ref="O14:O37" ca="1" si="11">IF(Date_y&gt;=1900,DATE(Date_y,Date_m,Date_d)+MOD(Date_d,1),Date_y&amp;"-"&amp;TEXT(Date_m,"00")&amp;"-"&amp;TEXT(INT(Date_d),"00")&amp;"     "&amp;TEXT(MOD(Date_d,1),"hh:mm:ss"))</f>
        <v>45371.462851632852</v>
      </c>
      <c r="P14" s="240">
        <f t="shared" ref="P14:P37" ca="1" si="12">SUM(Q14:AN14)</f>
        <v>355.5933026313532</v>
      </c>
      <c r="Q14" s="241">
        <f t="shared" ref="Q14:Z23" ca="1" si="13">Q$11*COS((Q$12+Q$13*二分點_T)*PI()/180)</f>
        <v>139.23828103245327</v>
      </c>
      <c r="R14" s="241">
        <f t="shared" ca="1" si="13"/>
        <v>156.26905968987211</v>
      </c>
      <c r="S14" s="241">
        <f t="shared" ca="1" si="13"/>
        <v>193.87468472387008</v>
      </c>
      <c r="T14" s="241">
        <f t="shared" ca="1" si="13"/>
        <v>-156.85350614724749</v>
      </c>
      <c r="U14" s="241">
        <f t="shared" ca="1" si="13"/>
        <v>-155.9734498316611</v>
      </c>
      <c r="V14" s="241">
        <f t="shared" ca="1" si="13"/>
        <v>-97.132652535241618</v>
      </c>
      <c r="W14" s="241">
        <f t="shared" ca="1" si="13"/>
        <v>75.148063015845622</v>
      </c>
      <c r="X14" s="241">
        <f t="shared" ca="1" si="13"/>
        <v>49.160124156258227</v>
      </c>
      <c r="Y14" s="241">
        <f t="shared" ca="1" si="13"/>
        <v>2.489417094975154</v>
      </c>
      <c r="Z14" s="241">
        <f t="shared" ca="1" si="13"/>
        <v>57.800811362565454</v>
      </c>
      <c r="AA14" s="241">
        <f t="shared" ref="AA14:AN23" ca="1" si="14">AA$11*COS((AA$12+AA$13*二分點_T)*PI()/180)</f>
        <v>46.600023328590972</v>
      </c>
      <c r="AB14" s="241">
        <f t="shared" ca="1" si="14"/>
        <v>-41.730378274314653</v>
      </c>
      <c r="AC14" s="241">
        <f t="shared" ca="1" si="14"/>
        <v>19.063238796782027</v>
      </c>
      <c r="AD14" s="241">
        <f t="shared" ca="1" si="14"/>
        <v>30.282310905492082</v>
      </c>
      <c r="AE14" s="241">
        <f t="shared" ca="1" si="14"/>
        <v>15.830443368303278</v>
      </c>
      <c r="AF14" s="241">
        <f t="shared" ca="1" si="14"/>
        <v>12.464043204712848</v>
      </c>
      <c r="AG14" s="241">
        <f t="shared" ca="1" si="14"/>
        <v>11.723533395763162</v>
      </c>
      <c r="AH14" s="241">
        <f t="shared" ca="1" si="14"/>
        <v>9.8501521610335168</v>
      </c>
      <c r="AI14" s="241">
        <f t="shared" ca="1" si="14"/>
        <v>-4.25766128372591</v>
      </c>
      <c r="AJ14" s="241">
        <f t="shared" ca="1" si="14"/>
        <v>10.835073445246707</v>
      </c>
      <c r="AK14" s="241">
        <f t="shared" ca="1" si="14"/>
        <v>-1.9744722800491679</v>
      </c>
      <c r="AL14" s="241">
        <f t="shared" ca="1" si="14"/>
        <v>-2.5393098648717456</v>
      </c>
      <c r="AM14" s="241">
        <f t="shared" ca="1" si="14"/>
        <v>-8.6368437726507281</v>
      </c>
      <c r="AN14" s="241">
        <f t="shared" ca="1" si="14"/>
        <v>-5.9376830606488316</v>
      </c>
      <c r="AP14" s="229">
        <v>-9999</v>
      </c>
      <c r="AQ14" s="229" t="s">
        <v>564</v>
      </c>
      <c r="AR14" s="242">
        <f t="shared" ref="AR14:BO14" ca="1" si="15">-20+32*BP14^2</f>
        <v>113.44333888888877</v>
      </c>
      <c r="AS14" s="242">
        <f t="shared" ca="1" si="15"/>
        <v>113.55227222222234</v>
      </c>
      <c r="AT14" s="242">
        <f t="shared" ca="1" si="15"/>
        <v>113.55227222222234</v>
      </c>
      <c r="AU14" s="242">
        <f t="shared" ca="1" si="15"/>
        <v>113.66125000000002</v>
      </c>
      <c r="AV14" s="242">
        <f t="shared" ca="1" si="15"/>
        <v>113.66125000000002</v>
      </c>
      <c r="AW14" s="242">
        <f t="shared" ca="1" si="15"/>
        <v>113.77027222222213</v>
      </c>
      <c r="AX14" s="242">
        <f t="shared" ca="1" si="15"/>
        <v>113.77027222222213</v>
      </c>
      <c r="AY14" s="242">
        <f t="shared" ca="1" si="15"/>
        <v>113.87933888888901</v>
      </c>
      <c r="AZ14" s="242">
        <f t="shared" ca="1" si="15"/>
        <v>113.87933888888901</v>
      </c>
      <c r="BA14" s="242">
        <f t="shared" ca="1" si="15"/>
        <v>113.98845000000003</v>
      </c>
      <c r="BB14" s="242">
        <f t="shared" ca="1" si="15"/>
        <v>113.98845000000003</v>
      </c>
      <c r="BC14" s="242">
        <f t="shared" ca="1" si="15"/>
        <v>114.09760555555548</v>
      </c>
      <c r="BD14" s="242">
        <f t="shared" ca="1" si="15"/>
        <v>114.09760555555548</v>
      </c>
      <c r="BE14" s="242">
        <f t="shared" ca="1" si="15"/>
        <v>114.20680555555566</v>
      </c>
      <c r="BF14" s="242">
        <f t="shared" ca="1" si="15"/>
        <v>114.20680555555566</v>
      </c>
      <c r="BG14" s="242">
        <f t="shared" ca="1" si="15"/>
        <v>114.31605000000002</v>
      </c>
      <c r="BH14" s="242">
        <f t="shared" ca="1" si="15"/>
        <v>114.31605000000002</v>
      </c>
      <c r="BI14" s="242">
        <f t="shared" ca="1" si="15"/>
        <v>114.4253388888888</v>
      </c>
      <c r="BJ14" s="242">
        <f t="shared" ca="1" si="15"/>
        <v>114.4253388888888</v>
      </c>
      <c r="BK14" s="242">
        <f t="shared" ca="1" si="15"/>
        <v>114.53467222222233</v>
      </c>
      <c r="BL14" s="242">
        <f t="shared" ca="1" si="15"/>
        <v>114.53467222222233</v>
      </c>
      <c r="BM14" s="242">
        <f t="shared" ca="1" si="15"/>
        <v>114.64404999999999</v>
      </c>
      <c r="BN14" s="242">
        <f t="shared" ca="1" si="15"/>
        <v>114.64404999999999</v>
      </c>
      <c r="BO14" s="242">
        <f t="shared" ca="1" si="15"/>
        <v>114.75347222222211</v>
      </c>
      <c r="BP14" s="243">
        <f t="shared" ref="BP14:CM14" ca="1" si="16">(Delta_t_Year-1820)/100</f>
        <v>2.0420833333333324</v>
      </c>
      <c r="BQ14" s="243">
        <f t="shared" ca="1" si="16"/>
        <v>2.0429166666666676</v>
      </c>
      <c r="BR14" s="243">
        <f t="shared" ca="1" si="16"/>
        <v>2.0429166666666676</v>
      </c>
      <c r="BS14" s="243">
        <f t="shared" ca="1" si="16"/>
        <v>2.0437500000000002</v>
      </c>
      <c r="BT14" s="243">
        <f t="shared" ca="1" si="16"/>
        <v>2.0437500000000002</v>
      </c>
      <c r="BU14" s="243">
        <f t="shared" ca="1" si="16"/>
        <v>2.0445833333333328</v>
      </c>
      <c r="BV14" s="243">
        <f t="shared" ca="1" si="16"/>
        <v>2.0445833333333328</v>
      </c>
      <c r="BW14" s="243">
        <f t="shared" ca="1" si="16"/>
        <v>2.0454166666666675</v>
      </c>
      <c r="BX14" s="243">
        <f t="shared" ca="1" si="16"/>
        <v>2.0454166666666675</v>
      </c>
      <c r="BY14" s="243">
        <f t="shared" ca="1" si="16"/>
        <v>2.0462500000000001</v>
      </c>
      <c r="BZ14" s="243">
        <f t="shared" ca="1" si="16"/>
        <v>2.0462500000000001</v>
      </c>
      <c r="CA14" s="243">
        <f t="shared" ca="1" si="16"/>
        <v>2.0470833333333327</v>
      </c>
      <c r="CB14" s="243">
        <f t="shared" ca="1" si="16"/>
        <v>2.0470833333333327</v>
      </c>
      <c r="CC14" s="243">
        <f t="shared" ca="1" si="16"/>
        <v>2.0479166666666675</v>
      </c>
      <c r="CD14" s="243">
        <f t="shared" ca="1" si="16"/>
        <v>2.0479166666666675</v>
      </c>
      <c r="CE14" s="243">
        <f t="shared" ca="1" si="16"/>
        <v>2.0487500000000001</v>
      </c>
      <c r="CF14" s="243">
        <f t="shared" ca="1" si="16"/>
        <v>2.0487500000000001</v>
      </c>
      <c r="CG14" s="243">
        <f t="shared" ca="1" si="16"/>
        <v>2.0495833333333326</v>
      </c>
      <c r="CH14" s="243">
        <f t="shared" ca="1" si="16"/>
        <v>2.0495833333333326</v>
      </c>
      <c r="CI14" s="243">
        <f t="shared" ca="1" si="16"/>
        <v>2.0504166666666674</v>
      </c>
      <c r="CJ14" s="243">
        <f t="shared" ca="1" si="16"/>
        <v>2.0504166666666674</v>
      </c>
      <c r="CK14" s="243">
        <f t="shared" ca="1" si="16"/>
        <v>2.05125</v>
      </c>
      <c r="CL14" s="243">
        <f t="shared" ca="1" si="16"/>
        <v>2.05125</v>
      </c>
      <c r="CM14" s="243">
        <f t="shared" ca="1" si="16"/>
        <v>2.0520833333333326</v>
      </c>
      <c r="CN14" s="244"/>
      <c r="CO14" s="467"/>
      <c r="CP14" s="467"/>
      <c r="CQ14" s="467"/>
      <c r="CR14" s="467"/>
      <c r="CS14" s="467"/>
      <c r="CT14" s="467"/>
      <c r="CU14" s="467"/>
      <c r="CV14" s="467"/>
      <c r="CW14" s="467"/>
      <c r="CX14" s="467"/>
      <c r="CY14" s="467"/>
      <c r="CZ14" s="467"/>
      <c r="DA14" s="467"/>
      <c r="DB14" s="467"/>
      <c r="DC14" s="467"/>
      <c r="DD14" s="467"/>
    </row>
    <row r="15" spans="1:108" ht="40.35" customHeight="1" x14ac:dyDescent="0.1">
      <c r="B15" s="231"/>
      <c r="D15" s="192" t="str">
        <f t="shared" si="0"/>
        <v>寒露</v>
      </c>
      <c r="E15" s="193">
        <f t="shared" ca="1" si="1"/>
        <v>45573.124760338105</v>
      </c>
      <c r="F15" s="232"/>
      <c r="G15" s="232"/>
      <c r="H15" s="233" t="s">
        <v>42</v>
      </c>
      <c r="I15" s="234">
        <f t="shared" ca="1" si="5"/>
        <v>1.5994106438313709</v>
      </c>
      <c r="J15" s="235">
        <f t="shared" ca="1" si="6"/>
        <v>91.032771594785586</v>
      </c>
      <c r="K15" s="236">
        <f t="shared" ca="1" si="7"/>
        <v>2460404.7873910102</v>
      </c>
      <c r="L15" s="237">
        <f t="shared" ca="1" si="8"/>
        <v>2460405.1263880888</v>
      </c>
      <c r="M15" s="238">
        <f t="shared" ca="1" si="9"/>
        <v>6.520017517360783E-3</v>
      </c>
      <c r="N15" s="238">
        <f t="shared" ca="1" si="10"/>
        <v>73.981940838006992</v>
      </c>
      <c r="O15" s="239">
        <f t="shared" ca="1" si="11"/>
        <v>45386.6263880888</v>
      </c>
      <c r="P15" s="240">
        <f t="shared" ca="1" si="12"/>
        <v>651.61482741081431</v>
      </c>
      <c r="Q15" s="241">
        <f t="shared" ca="1" si="13"/>
        <v>132.7152517361564</v>
      </c>
      <c r="R15" s="241">
        <f t="shared" ca="1" si="13"/>
        <v>121.18468915221911</v>
      </c>
      <c r="S15" s="241">
        <f t="shared" ca="1" si="13"/>
        <v>193.88124470066811</v>
      </c>
      <c r="T15" s="241">
        <f t="shared" ca="1" si="13"/>
        <v>148.54541948251853</v>
      </c>
      <c r="U15" s="241">
        <f t="shared" ca="1" si="13"/>
        <v>-148.66766362896746</v>
      </c>
      <c r="V15" s="241">
        <f t="shared" ca="1" si="13"/>
        <v>-80.383172338735619</v>
      </c>
      <c r="W15" s="241">
        <f t="shared" ca="1" si="13"/>
        <v>74.454400486577796</v>
      </c>
      <c r="X15" s="241">
        <f t="shared" ca="1" si="13"/>
        <v>50.364210454228875</v>
      </c>
      <c r="Y15" s="241">
        <f t="shared" ca="1" si="13"/>
        <v>7.0609031710091994</v>
      </c>
      <c r="Z15" s="241">
        <f t="shared" ca="1" si="13"/>
        <v>54.923460572012594</v>
      </c>
      <c r="AA15" s="241">
        <f t="shared" ca="1" si="14"/>
        <v>46.625183128988304</v>
      </c>
      <c r="AB15" s="241">
        <f t="shared" ca="1" si="14"/>
        <v>-41.269534748378781</v>
      </c>
      <c r="AC15" s="241">
        <f t="shared" ca="1" si="14"/>
        <v>27.38602428171259</v>
      </c>
      <c r="AD15" s="241">
        <f t="shared" ca="1" si="14"/>
        <v>22.260501520860775</v>
      </c>
      <c r="AE15" s="241">
        <f t="shared" ca="1" si="14"/>
        <v>15.040225598769565</v>
      </c>
      <c r="AF15" s="241">
        <f t="shared" ca="1" si="14"/>
        <v>17.105815948981114</v>
      </c>
      <c r="AG15" s="241">
        <f t="shared" ca="1" si="14"/>
        <v>12.123959115145263</v>
      </c>
      <c r="AH15" s="241">
        <f t="shared" ca="1" si="14"/>
        <v>14.393370614972136</v>
      </c>
      <c r="AI15" s="241">
        <f t="shared" ca="1" si="14"/>
        <v>-1.1365524753929734</v>
      </c>
      <c r="AJ15" s="241">
        <f t="shared" ca="1" si="14"/>
        <v>10.231034319459786</v>
      </c>
      <c r="AK15" s="241">
        <f t="shared" ca="1" si="14"/>
        <v>-4.6356035955951942</v>
      </c>
      <c r="AL15" s="241">
        <f t="shared" ca="1" si="14"/>
        <v>-5.3828025715644845</v>
      </c>
      <c r="AM15" s="241">
        <f t="shared" ca="1" si="14"/>
        <v>-8.6589113227693311</v>
      </c>
      <c r="AN15" s="241">
        <f t="shared" ca="1" si="14"/>
        <v>-6.5466261920620079</v>
      </c>
      <c r="AP15" s="229">
        <v>-500</v>
      </c>
      <c r="AQ15" s="229" t="s">
        <v>565</v>
      </c>
      <c r="AR15" s="242">
        <f t="shared" ref="AR15:BO15" ca="1" si="17">10583.6-1014.41*BP15+33.78311*BP15^2-5.952053*BP15^3-0.1798452*BP15^4+0.022174192*BP15^5+0.0090316521*BP15^6</f>
        <v>620984.63341434253</v>
      </c>
      <c r="AS15" s="242">
        <f t="shared" ca="1" si="17"/>
        <v>621142.85320014064</v>
      </c>
      <c r="AT15" s="242">
        <f t="shared" ca="1" si="17"/>
        <v>621142.85320014064</v>
      </c>
      <c r="AU15" s="242">
        <f t="shared" ca="1" si="17"/>
        <v>621301.1060663613</v>
      </c>
      <c r="AV15" s="242">
        <f t="shared" ca="1" si="17"/>
        <v>621301.1060663613</v>
      </c>
      <c r="AW15" s="242">
        <f t="shared" ca="1" si="17"/>
        <v>621459.39201845147</v>
      </c>
      <c r="AX15" s="242">
        <f t="shared" ca="1" si="17"/>
        <v>621459.39201845147</v>
      </c>
      <c r="AY15" s="242">
        <f t="shared" ca="1" si="17"/>
        <v>621617.71106185997</v>
      </c>
      <c r="AZ15" s="242">
        <f t="shared" ca="1" si="17"/>
        <v>621617.71106185997</v>
      </c>
      <c r="BA15" s="242">
        <f t="shared" ca="1" si="17"/>
        <v>621776.06320203363</v>
      </c>
      <c r="BB15" s="242">
        <f t="shared" ca="1" si="17"/>
        <v>621776.06320203363</v>
      </c>
      <c r="BC15" s="242">
        <f t="shared" ca="1" si="17"/>
        <v>621934.44844442315</v>
      </c>
      <c r="BD15" s="242">
        <f t="shared" ca="1" si="17"/>
        <v>621934.44844442315</v>
      </c>
      <c r="BE15" s="242">
        <f t="shared" ca="1" si="17"/>
        <v>622092.86679447861</v>
      </c>
      <c r="BF15" s="242">
        <f t="shared" ca="1" si="17"/>
        <v>622092.86679447861</v>
      </c>
      <c r="BG15" s="242">
        <f t="shared" ca="1" si="17"/>
        <v>622251.31825764943</v>
      </c>
      <c r="BH15" s="242">
        <f t="shared" ca="1" si="17"/>
        <v>622251.31825764943</v>
      </c>
      <c r="BI15" s="242">
        <f t="shared" ca="1" si="17"/>
        <v>622409.80283938744</v>
      </c>
      <c r="BJ15" s="242">
        <f t="shared" ca="1" si="17"/>
        <v>622409.80283938744</v>
      </c>
      <c r="BK15" s="242">
        <f t="shared" ca="1" si="17"/>
        <v>622568.32054514415</v>
      </c>
      <c r="BL15" s="242">
        <f t="shared" ca="1" si="17"/>
        <v>622568.32054514415</v>
      </c>
      <c r="BM15" s="242">
        <f t="shared" ca="1" si="17"/>
        <v>622726.87138037279</v>
      </c>
      <c r="BN15" s="242">
        <f t="shared" ca="1" si="17"/>
        <v>622726.87138037279</v>
      </c>
      <c r="BO15" s="242">
        <f t="shared" ca="1" si="17"/>
        <v>622885.45535052649</v>
      </c>
      <c r="BP15" s="243">
        <f t="shared" ref="BP15:CM15" ca="1" si="18">Delta_t_Year/100</f>
        <v>20.242083333333333</v>
      </c>
      <c r="BQ15" s="243">
        <f t="shared" ca="1" si="18"/>
        <v>20.242916666666666</v>
      </c>
      <c r="BR15" s="243">
        <f t="shared" ca="1" si="18"/>
        <v>20.242916666666666</v>
      </c>
      <c r="BS15" s="243">
        <f t="shared" ca="1" si="18"/>
        <v>20.243749999999999</v>
      </c>
      <c r="BT15" s="243">
        <f t="shared" ca="1" si="18"/>
        <v>20.243749999999999</v>
      </c>
      <c r="BU15" s="243">
        <f t="shared" ca="1" si="18"/>
        <v>20.244583333333331</v>
      </c>
      <c r="BV15" s="243">
        <f t="shared" ca="1" si="18"/>
        <v>20.244583333333331</v>
      </c>
      <c r="BW15" s="243">
        <f t="shared" ca="1" si="18"/>
        <v>20.245416666666667</v>
      </c>
      <c r="BX15" s="243">
        <f t="shared" ca="1" si="18"/>
        <v>20.245416666666667</v>
      </c>
      <c r="BY15" s="243">
        <f t="shared" ca="1" si="18"/>
        <v>20.24625</v>
      </c>
      <c r="BZ15" s="243">
        <f t="shared" ca="1" si="18"/>
        <v>20.24625</v>
      </c>
      <c r="CA15" s="243">
        <f t="shared" ca="1" si="18"/>
        <v>20.247083333333332</v>
      </c>
      <c r="CB15" s="243">
        <f t="shared" ca="1" si="18"/>
        <v>20.247083333333332</v>
      </c>
      <c r="CC15" s="243">
        <f t="shared" ca="1" si="18"/>
        <v>20.247916666666669</v>
      </c>
      <c r="CD15" s="243">
        <f t="shared" ca="1" si="18"/>
        <v>20.247916666666669</v>
      </c>
      <c r="CE15" s="243">
        <f t="shared" ca="1" si="18"/>
        <v>20.248750000000001</v>
      </c>
      <c r="CF15" s="243">
        <f t="shared" ca="1" si="18"/>
        <v>20.248750000000001</v>
      </c>
      <c r="CG15" s="243">
        <f t="shared" ca="1" si="18"/>
        <v>20.249583333333334</v>
      </c>
      <c r="CH15" s="243">
        <f t="shared" ca="1" si="18"/>
        <v>20.249583333333334</v>
      </c>
      <c r="CI15" s="243">
        <f t="shared" ca="1" si="18"/>
        <v>20.250416666666666</v>
      </c>
      <c r="CJ15" s="243">
        <f t="shared" ca="1" si="18"/>
        <v>20.250416666666666</v>
      </c>
      <c r="CK15" s="243">
        <f t="shared" ca="1" si="18"/>
        <v>20.251249999999999</v>
      </c>
      <c r="CL15" s="243">
        <f t="shared" ca="1" si="18"/>
        <v>20.251249999999999</v>
      </c>
      <c r="CM15" s="243">
        <f t="shared" ca="1" si="18"/>
        <v>20.252083333333331</v>
      </c>
      <c r="CN15" s="244"/>
      <c r="CO15" s="467" t="s">
        <v>566</v>
      </c>
      <c r="CP15" s="467"/>
      <c r="CQ15" s="467"/>
      <c r="CR15" s="467"/>
      <c r="CS15" s="467"/>
      <c r="CT15" s="467"/>
      <c r="CU15" s="467"/>
      <c r="CV15" s="467"/>
      <c r="CW15" s="467"/>
      <c r="CX15" s="467"/>
      <c r="CY15" s="467"/>
      <c r="CZ15" s="467"/>
      <c r="DA15" s="467"/>
      <c r="DB15" s="467"/>
      <c r="DC15" s="467"/>
      <c r="DD15" s="467"/>
    </row>
    <row r="16" spans="1:108" ht="40.35" customHeight="1" x14ac:dyDescent="0.1">
      <c r="B16" s="231"/>
      <c r="D16" s="192" t="str">
        <f t="shared" si="0"/>
        <v>霜降</v>
      </c>
      <c r="E16" s="193">
        <f t="shared" ca="1" si="1"/>
        <v>45588.259837157559</v>
      </c>
      <c r="F16" s="232"/>
      <c r="G16" s="232"/>
      <c r="H16" s="233" t="s">
        <v>567</v>
      </c>
      <c r="I16" s="234">
        <f t="shared" ca="1" si="5"/>
        <v>1.8612100316305202</v>
      </c>
      <c r="J16" s="235">
        <f t="shared" ca="1" si="6"/>
        <v>106.32569623144782</v>
      </c>
      <c r="K16" s="236">
        <f t="shared" ca="1" si="7"/>
        <v>2460420.0803156467</v>
      </c>
      <c r="L16" s="237">
        <f t="shared" ca="1" si="8"/>
        <v>2460420.4162213039</v>
      </c>
      <c r="M16" s="238">
        <f t="shared" ca="1" si="9"/>
        <v>3.4285960298246856E-3</v>
      </c>
      <c r="N16" s="238">
        <f t="shared" ca="1" si="10"/>
        <v>73.981940838006992</v>
      </c>
      <c r="O16" s="239">
        <f t="shared" ca="1" si="11"/>
        <v>45401.916221303865</v>
      </c>
      <c r="P16" s="240">
        <f t="shared" ca="1" si="12"/>
        <v>339.70865481415888</v>
      </c>
      <c r="Q16" s="241">
        <f t="shared" ca="1" si="13"/>
        <v>126.10887052088957</v>
      </c>
      <c r="R16" s="241">
        <f t="shared" ca="1" si="13"/>
        <v>78.832144257836362</v>
      </c>
      <c r="S16" s="241">
        <f t="shared" ca="1" si="13"/>
        <v>193.88785775793622</v>
      </c>
      <c r="T16" s="241">
        <f t="shared" ca="1" si="13"/>
        <v>-135.82972051933737</v>
      </c>
      <c r="U16" s="241">
        <f t="shared" ca="1" si="13"/>
        <v>-125.41246998441414</v>
      </c>
      <c r="V16" s="241">
        <f t="shared" ca="1" si="13"/>
        <v>-61.32641012921605</v>
      </c>
      <c r="W16" s="241">
        <f t="shared" ca="1" si="13"/>
        <v>56.880958038703334</v>
      </c>
      <c r="X16" s="241">
        <f t="shared" ca="1" si="13"/>
        <v>51.554144841432112</v>
      </c>
      <c r="Y16" s="241">
        <f t="shared" ca="1" si="13"/>
        <v>11.641596362697085</v>
      </c>
      <c r="Z16" s="241">
        <f t="shared" ca="1" si="13"/>
        <v>48.718257963563566</v>
      </c>
      <c r="AA16" s="241">
        <f t="shared" ca="1" si="14"/>
        <v>46.65050633717938</v>
      </c>
      <c r="AB16" s="241">
        <f t="shared" ca="1" si="14"/>
        <v>-40.793248566436318</v>
      </c>
      <c r="AC16" s="241">
        <f t="shared" ca="1" si="14"/>
        <v>34.481190609127133</v>
      </c>
      <c r="AD16" s="241">
        <f t="shared" ca="1" si="14"/>
        <v>12.996537891829602</v>
      </c>
      <c r="AE16" s="241">
        <f t="shared" ca="1" si="14"/>
        <v>14.22732234421083</v>
      </c>
      <c r="AF16" s="241">
        <f t="shared" ca="1" si="14"/>
        <v>17.718309479971168</v>
      </c>
      <c r="AG16" s="241">
        <f t="shared" ca="1" si="14"/>
        <v>12.514462504641978</v>
      </c>
      <c r="AH16" s="241">
        <f t="shared" ca="1" si="14"/>
        <v>15.999534136828018</v>
      </c>
      <c r="AI16" s="241">
        <f t="shared" ca="1" si="14"/>
        <v>2.0707890061780381</v>
      </c>
      <c r="AJ16" s="241">
        <f t="shared" ca="1" si="14"/>
        <v>9.50624553020217</v>
      </c>
      <c r="AK16" s="241">
        <f t="shared" ca="1" si="14"/>
        <v>-7.0693803749520825</v>
      </c>
      <c r="AL16" s="241">
        <f t="shared" ca="1" si="14"/>
        <v>-7.9063098849164977</v>
      </c>
      <c r="AM16" s="241">
        <f t="shared" ca="1" si="14"/>
        <v>-8.6804839283790969</v>
      </c>
      <c r="AN16" s="241">
        <f t="shared" ca="1" si="14"/>
        <v>-7.0620493814162417</v>
      </c>
      <c r="AP16" s="229">
        <v>500</v>
      </c>
      <c r="AQ16" s="229" t="s">
        <v>568</v>
      </c>
      <c r="AR16" s="242">
        <f t="shared" ref="AR16:BO16" ca="1" si="19">1574.2-556.01*BP16+71.23472*BP16^2+0.319781*BP16^3-0.8503463*BP16^4-0.005050998*BP16^5+0.00835720731*BP16^6</f>
        <v>3416.046167716745</v>
      </c>
      <c r="AS16" s="242">
        <f t="shared" ca="1" si="19"/>
        <v>3418.3158020233132</v>
      </c>
      <c r="AT16" s="242">
        <f t="shared" ca="1" si="19"/>
        <v>3418.3158020233132</v>
      </c>
      <c r="AU16" s="242">
        <f t="shared" ca="1" si="19"/>
        <v>3420.5866465823055</v>
      </c>
      <c r="AV16" s="242">
        <f t="shared" ca="1" si="19"/>
        <v>3420.5866465823055</v>
      </c>
      <c r="AW16" s="242">
        <f t="shared" ca="1" si="19"/>
        <v>3422.8587018792186</v>
      </c>
      <c r="AX16" s="242">
        <f t="shared" ca="1" si="19"/>
        <v>3422.8587018792186</v>
      </c>
      <c r="AY16" s="242">
        <f t="shared" ca="1" si="19"/>
        <v>3425.1319683996962</v>
      </c>
      <c r="AZ16" s="242">
        <f t="shared" ca="1" si="19"/>
        <v>3425.1319683996962</v>
      </c>
      <c r="BA16" s="242">
        <f t="shared" ca="1" si="19"/>
        <v>3427.4064466295094</v>
      </c>
      <c r="BB16" s="242">
        <f t="shared" ca="1" si="19"/>
        <v>3427.4064466295094</v>
      </c>
      <c r="BC16" s="242">
        <f t="shared" ca="1" si="19"/>
        <v>3429.6821370545749</v>
      </c>
      <c r="BD16" s="242">
        <f t="shared" ca="1" si="19"/>
        <v>3429.6821370545749</v>
      </c>
      <c r="BE16" s="242">
        <f t="shared" ca="1" si="19"/>
        <v>3431.9590401609594</v>
      </c>
      <c r="BF16" s="242">
        <f t="shared" ca="1" si="19"/>
        <v>3431.9590401609594</v>
      </c>
      <c r="BG16" s="242">
        <f t="shared" ca="1" si="19"/>
        <v>3434.2371564348359</v>
      </c>
      <c r="BH16" s="242">
        <f t="shared" ca="1" si="19"/>
        <v>3434.2371564348359</v>
      </c>
      <c r="BI16" s="242">
        <f t="shared" ca="1" si="19"/>
        <v>3436.5164863625578</v>
      </c>
      <c r="BJ16" s="242">
        <f t="shared" ca="1" si="19"/>
        <v>3436.5164863625578</v>
      </c>
      <c r="BK16" s="242">
        <f t="shared" ca="1" si="19"/>
        <v>3438.7970304306073</v>
      </c>
      <c r="BL16" s="242">
        <f t="shared" ca="1" si="19"/>
        <v>3438.7970304306073</v>
      </c>
      <c r="BM16" s="242">
        <f t="shared" ca="1" si="19"/>
        <v>3441.0787891255732</v>
      </c>
      <c r="BN16" s="242">
        <f t="shared" ca="1" si="19"/>
        <v>3441.0787891255732</v>
      </c>
      <c r="BO16" s="242">
        <f t="shared" ca="1" si="19"/>
        <v>3443.3617629342198</v>
      </c>
      <c r="BP16" s="243">
        <f t="shared" ref="BP16:CM16" ca="1" si="20">(Delta_t_Year-1000)/100</f>
        <v>10.242083333333333</v>
      </c>
      <c r="BQ16" s="243">
        <f t="shared" ca="1" si="20"/>
        <v>10.242916666666668</v>
      </c>
      <c r="BR16" s="243">
        <f t="shared" ca="1" si="20"/>
        <v>10.242916666666668</v>
      </c>
      <c r="BS16" s="243">
        <f t="shared" ca="1" si="20"/>
        <v>10.24375</v>
      </c>
      <c r="BT16" s="243">
        <f t="shared" ca="1" si="20"/>
        <v>10.24375</v>
      </c>
      <c r="BU16" s="243">
        <f t="shared" ca="1" si="20"/>
        <v>10.244583333333333</v>
      </c>
      <c r="BV16" s="243">
        <f t="shared" ca="1" si="20"/>
        <v>10.244583333333333</v>
      </c>
      <c r="BW16" s="243">
        <f t="shared" ca="1" si="20"/>
        <v>10.245416666666667</v>
      </c>
      <c r="BX16" s="243">
        <f t="shared" ca="1" si="20"/>
        <v>10.245416666666667</v>
      </c>
      <c r="BY16" s="243">
        <f t="shared" ca="1" si="20"/>
        <v>10.24625</v>
      </c>
      <c r="BZ16" s="243">
        <f t="shared" ca="1" si="20"/>
        <v>10.24625</v>
      </c>
      <c r="CA16" s="243">
        <f t="shared" ca="1" si="20"/>
        <v>10.247083333333332</v>
      </c>
      <c r="CB16" s="243">
        <f t="shared" ca="1" si="20"/>
        <v>10.247083333333332</v>
      </c>
      <c r="CC16" s="243">
        <f t="shared" ca="1" si="20"/>
        <v>10.247916666666667</v>
      </c>
      <c r="CD16" s="243">
        <f t="shared" ca="1" si="20"/>
        <v>10.247916666666667</v>
      </c>
      <c r="CE16" s="243">
        <f t="shared" ca="1" si="20"/>
        <v>10.248749999999999</v>
      </c>
      <c r="CF16" s="243">
        <f t="shared" ca="1" si="20"/>
        <v>10.248749999999999</v>
      </c>
      <c r="CG16" s="243">
        <f t="shared" ca="1" si="20"/>
        <v>10.249583333333332</v>
      </c>
      <c r="CH16" s="243">
        <f t="shared" ca="1" si="20"/>
        <v>10.249583333333332</v>
      </c>
      <c r="CI16" s="243">
        <f t="shared" ca="1" si="20"/>
        <v>10.250416666666668</v>
      </c>
      <c r="CJ16" s="243">
        <f t="shared" ca="1" si="20"/>
        <v>10.250416666666668</v>
      </c>
      <c r="CK16" s="243">
        <f t="shared" ca="1" si="20"/>
        <v>10.251250000000001</v>
      </c>
      <c r="CL16" s="243">
        <f t="shared" ca="1" si="20"/>
        <v>10.251250000000001</v>
      </c>
      <c r="CM16" s="243">
        <f t="shared" ca="1" si="20"/>
        <v>10.252083333333333</v>
      </c>
      <c r="CN16" s="244"/>
      <c r="CO16" s="467"/>
      <c r="CP16" s="467"/>
      <c r="CQ16" s="467"/>
      <c r="CR16" s="467"/>
      <c r="CS16" s="467"/>
      <c r="CT16" s="467"/>
      <c r="CU16" s="467"/>
      <c r="CV16" s="467"/>
      <c r="CW16" s="467"/>
      <c r="CX16" s="467"/>
      <c r="CY16" s="467"/>
      <c r="CZ16" s="467"/>
      <c r="DA16" s="467"/>
      <c r="DB16" s="467"/>
      <c r="DC16" s="467"/>
      <c r="DD16" s="467"/>
    </row>
    <row r="17" spans="2:108" ht="40.35" customHeight="1" x14ac:dyDescent="0.1">
      <c r="B17" s="231"/>
      <c r="D17" s="192" t="str">
        <f t="shared" si="0"/>
        <v>立冬</v>
      </c>
      <c r="E17" s="193">
        <f t="shared" ca="1" si="1"/>
        <v>45603.263399427757</v>
      </c>
      <c r="F17" s="232"/>
      <c r="G17" s="232"/>
      <c r="H17" s="233" t="s">
        <v>44</v>
      </c>
      <c r="I17" s="234">
        <f t="shared" ca="1" si="5"/>
        <v>2.1230094194296698</v>
      </c>
      <c r="J17" s="235">
        <f t="shared" ca="1" si="6"/>
        <v>121.74713448234779</v>
      </c>
      <c r="K17" s="236">
        <f t="shared" ca="1" si="7"/>
        <v>2460435.5017538979</v>
      </c>
      <c r="L17" s="237">
        <f t="shared" ca="1" si="8"/>
        <v>2460435.8398333271</v>
      </c>
      <c r="M17" s="238">
        <f t="shared" ca="1" si="9"/>
        <v>5.6029393175762504E-3</v>
      </c>
      <c r="N17" s="238">
        <f t="shared" ca="1" si="10"/>
        <v>74.031305401562506</v>
      </c>
      <c r="O17" s="239">
        <f t="shared" ca="1" si="11"/>
        <v>45417.339833327103</v>
      </c>
      <c r="P17" s="240">
        <f t="shared" ca="1" si="12"/>
        <v>550.71665517745282</v>
      </c>
      <c r="Q17" s="241">
        <f t="shared" ca="1" si="13"/>
        <v>119.42146579894877</v>
      </c>
      <c r="R17" s="241">
        <f t="shared" ca="1" si="13"/>
        <v>31.521211534838571</v>
      </c>
      <c r="S17" s="241">
        <f t="shared" ca="1" si="13"/>
        <v>193.89452211552336</v>
      </c>
      <c r="T17" s="241">
        <f t="shared" ca="1" si="13"/>
        <v>117.65145986049315</v>
      </c>
      <c r="U17" s="241">
        <f t="shared" ca="1" si="13"/>
        <v>-88.340022050897304</v>
      </c>
      <c r="V17" s="241">
        <f t="shared" ca="1" si="13"/>
        <v>-40.433211195684763</v>
      </c>
      <c r="W17" s="241">
        <f t="shared" ca="1" si="13"/>
        <v>26.064752875660623</v>
      </c>
      <c r="X17" s="241">
        <f t="shared" ca="1" si="13"/>
        <v>52.728400013345926</v>
      </c>
      <c r="Y17" s="241">
        <f t="shared" ca="1" si="13"/>
        <v>16.209327036699126</v>
      </c>
      <c r="Z17" s="241">
        <f t="shared" ca="1" si="13"/>
        <v>39.482261280314731</v>
      </c>
      <c r="AA17" s="241">
        <f t="shared" ca="1" si="14"/>
        <v>46.675985072862474</v>
      </c>
      <c r="AB17" s="241">
        <f t="shared" ca="1" si="14"/>
        <v>-40.301480742739329</v>
      </c>
      <c r="AC17" s="241">
        <f t="shared" ca="1" si="14"/>
        <v>39.971534154085212</v>
      </c>
      <c r="AD17" s="241">
        <f t="shared" ca="1" si="14"/>
        <v>2.9594574596088048</v>
      </c>
      <c r="AE17" s="241">
        <f t="shared" ca="1" si="14"/>
        <v>13.392401324724243</v>
      </c>
      <c r="AF17" s="241">
        <f t="shared" ca="1" si="14"/>
        <v>14.053109764435334</v>
      </c>
      <c r="AG17" s="241">
        <f t="shared" ca="1" si="14"/>
        <v>12.894160551723514</v>
      </c>
      <c r="AH17" s="241">
        <f t="shared" ca="1" si="14"/>
        <v>14.257106902708642</v>
      </c>
      <c r="AI17" s="241">
        <f t="shared" ca="1" si="14"/>
        <v>5.1944304674912658</v>
      </c>
      <c r="AJ17" s="241">
        <f t="shared" ca="1" si="14"/>
        <v>8.6662489867371786</v>
      </c>
      <c r="AK17" s="241">
        <f t="shared" ca="1" si="14"/>
        <v>-9.1352459731719229</v>
      </c>
      <c r="AL17" s="241">
        <f t="shared" ca="1" si="14"/>
        <v>-9.9363057055853794</v>
      </c>
      <c r="AM17" s="241">
        <f t="shared" ca="1" si="14"/>
        <v>-8.7015367216879973</v>
      </c>
      <c r="AN17" s="241">
        <f t="shared" ca="1" si="14"/>
        <v>-7.4733776329815091</v>
      </c>
      <c r="AP17" s="229">
        <v>1600</v>
      </c>
      <c r="AQ17" s="229" t="s">
        <v>569</v>
      </c>
      <c r="AR17" s="242">
        <f t="shared" ref="AR17:BO17" ca="1" si="21">120-0.9808*BP17-0.01532*BP17^2+BP17^3/7129</f>
        <v>7655.075988012195</v>
      </c>
      <c r="AS17" s="242">
        <f t="shared" ca="1" si="21"/>
        <v>7660.2228301646355</v>
      </c>
      <c r="AT17" s="242">
        <f t="shared" ca="1" si="21"/>
        <v>7660.2228301646355</v>
      </c>
      <c r="AU17" s="242">
        <f t="shared" ca="1" si="21"/>
        <v>7665.371939384906</v>
      </c>
      <c r="AV17" s="242">
        <f t="shared" ca="1" si="21"/>
        <v>7665.371939384906</v>
      </c>
      <c r="AW17" s="242">
        <f t="shared" ca="1" si="21"/>
        <v>7670.5233161600772</v>
      </c>
      <c r="AX17" s="242">
        <f t="shared" ca="1" si="21"/>
        <v>7670.5233161600772</v>
      </c>
      <c r="AY17" s="242">
        <f t="shared" ca="1" si="21"/>
        <v>7675.67696097722</v>
      </c>
      <c r="AZ17" s="242">
        <f t="shared" ca="1" si="21"/>
        <v>7675.67696097722</v>
      </c>
      <c r="BA17" s="242">
        <f t="shared" ca="1" si="21"/>
        <v>7680.8328743233624</v>
      </c>
      <c r="BB17" s="242">
        <f t="shared" ca="1" si="21"/>
        <v>7680.8328743233624</v>
      </c>
      <c r="BC17" s="242">
        <f t="shared" ca="1" si="21"/>
        <v>7685.9910566855724</v>
      </c>
      <c r="BD17" s="242">
        <f t="shared" ca="1" si="21"/>
        <v>7685.9910566855724</v>
      </c>
      <c r="BE17" s="242">
        <f t="shared" ca="1" si="21"/>
        <v>7691.15150855092</v>
      </c>
      <c r="BF17" s="242">
        <f t="shared" ca="1" si="21"/>
        <v>7691.15150855092</v>
      </c>
      <c r="BG17" s="242">
        <f t="shared" ca="1" si="21"/>
        <v>7696.3142304064377</v>
      </c>
      <c r="BH17" s="242">
        <f t="shared" ca="1" si="21"/>
        <v>7696.3142304064377</v>
      </c>
      <c r="BI17" s="242">
        <f t="shared" ca="1" si="21"/>
        <v>7701.4792227391908</v>
      </c>
      <c r="BJ17" s="242">
        <f t="shared" ca="1" si="21"/>
        <v>7701.4792227391908</v>
      </c>
      <c r="BK17" s="242">
        <f t="shared" ca="1" si="21"/>
        <v>7706.6464860362512</v>
      </c>
      <c r="BL17" s="242">
        <f t="shared" ca="1" si="21"/>
        <v>7706.6464860362512</v>
      </c>
      <c r="BM17" s="242">
        <f t="shared" ca="1" si="21"/>
        <v>7711.8160207846468</v>
      </c>
      <c r="BN17" s="242">
        <f t="shared" ca="1" si="21"/>
        <v>7711.8160207846468</v>
      </c>
      <c r="BO17" s="242">
        <f t="shared" ca="1" si="21"/>
        <v>7716.9878274714465</v>
      </c>
      <c r="BP17" s="243">
        <f t="shared" ref="BP17:CM17" ca="1" si="22">Delta_t_Year-1600</f>
        <v>424.20833333333326</v>
      </c>
      <c r="BQ17" s="243">
        <f t="shared" ca="1" si="22"/>
        <v>424.29166666666674</v>
      </c>
      <c r="BR17" s="243">
        <f t="shared" ca="1" si="22"/>
        <v>424.29166666666674</v>
      </c>
      <c r="BS17" s="243">
        <f t="shared" ca="1" si="22"/>
        <v>424.375</v>
      </c>
      <c r="BT17" s="243">
        <f t="shared" ca="1" si="22"/>
        <v>424.375</v>
      </c>
      <c r="BU17" s="243">
        <f t="shared" ca="1" si="22"/>
        <v>424.45833333333326</v>
      </c>
      <c r="BV17" s="243">
        <f t="shared" ca="1" si="22"/>
        <v>424.45833333333326</v>
      </c>
      <c r="BW17" s="243">
        <f t="shared" ca="1" si="22"/>
        <v>424.54166666666674</v>
      </c>
      <c r="BX17" s="243">
        <f t="shared" ca="1" si="22"/>
        <v>424.54166666666674</v>
      </c>
      <c r="BY17" s="243">
        <f t="shared" ca="1" si="22"/>
        <v>424.625</v>
      </c>
      <c r="BZ17" s="243">
        <f t="shared" ca="1" si="22"/>
        <v>424.625</v>
      </c>
      <c r="CA17" s="243">
        <f t="shared" ca="1" si="22"/>
        <v>424.70833333333326</v>
      </c>
      <c r="CB17" s="243">
        <f t="shared" ca="1" si="22"/>
        <v>424.70833333333326</v>
      </c>
      <c r="CC17" s="243">
        <f t="shared" ca="1" si="22"/>
        <v>424.79166666666674</v>
      </c>
      <c r="CD17" s="243">
        <f t="shared" ca="1" si="22"/>
        <v>424.79166666666674</v>
      </c>
      <c r="CE17" s="243">
        <f t="shared" ca="1" si="22"/>
        <v>424.875</v>
      </c>
      <c r="CF17" s="243">
        <f t="shared" ca="1" si="22"/>
        <v>424.875</v>
      </c>
      <c r="CG17" s="243">
        <f t="shared" ca="1" si="22"/>
        <v>424.95833333333326</v>
      </c>
      <c r="CH17" s="243">
        <f t="shared" ca="1" si="22"/>
        <v>424.95833333333326</v>
      </c>
      <c r="CI17" s="243">
        <f t="shared" ca="1" si="22"/>
        <v>425.04166666666674</v>
      </c>
      <c r="CJ17" s="243">
        <f t="shared" ca="1" si="22"/>
        <v>425.04166666666674</v>
      </c>
      <c r="CK17" s="243">
        <f t="shared" ca="1" si="22"/>
        <v>425.125</v>
      </c>
      <c r="CL17" s="243">
        <f t="shared" ca="1" si="22"/>
        <v>425.125</v>
      </c>
      <c r="CM17" s="243">
        <f t="shared" ca="1" si="22"/>
        <v>425.20833333333326</v>
      </c>
      <c r="CN17" s="244"/>
      <c r="CO17" s="199" t="s">
        <v>570</v>
      </c>
    </row>
    <row r="18" spans="2:108" ht="40.35" customHeight="1" x14ac:dyDescent="0.1">
      <c r="B18" s="231"/>
      <c r="D18" s="192" t="str">
        <f t="shared" si="0"/>
        <v>小雪</v>
      </c>
      <c r="E18" s="193">
        <f t="shared" ca="1" si="1"/>
        <v>45618.16366945859</v>
      </c>
      <c r="F18" s="232"/>
      <c r="G18" s="232"/>
      <c r="H18" s="233" t="s">
        <v>571</v>
      </c>
      <c r="I18" s="234">
        <f t="shared" ca="1" si="5"/>
        <v>2.3848088072288194</v>
      </c>
      <c r="J18" s="235">
        <f t="shared" ca="1" si="6"/>
        <v>137.28412275244369</v>
      </c>
      <c r="K18" s="236">
        <f t="shared" ca="1" si="7"/>
        <v>2460451.0387421679</v>
      </c>
      <c r="L18" s="237">
        <f t="shared" ca="1" si="8"/>
        <v>2460451.3741843901</v>
      </c>
      <c r="M18" s="238">
        <f t="shared" ca="1" si="9"/>
        <v>2.9657324832473735E-3</v>
      </c>
      <c r="N18" s="238">
        <f t="shared" ca="1" si="10"/>
        <v>74.031305401562506</v>
      </c>
      <c r="O18" s="239">
        <f t="shared" ca="1" si="11"/>
        <v>45432.874184390064</v>
      </c>
      <c r="P18" s="240">
        <f t="shared" ca="1" si="12"/>
        <v>289.52279952755208</v>
      </c>
      <c r="Q18" s="241">
        <f t="shared" ca="1" si="13"/>
        <v>112.65942467065518</v>
      </c>
      <c r="R18" s="241">
        <f t="shared" ca="1" si="13"/>
        <v>-18.008678798363857</v>
      </c>
      <c r="S18" s="241">
        <f t="shared" ca="1" si="13"/>
        <v>193.90123206925907</v>
      </c>
      <c r="T18" s="241">
        <f t="shared" ca="1" si="13"/>
        <v>-93.371671381696885</v>
      </c>
      <c r="U18" s="241">
        <f t="shared" ca="1" si="13"/>
        <v>-41.252445118503523</v>
      </c>
      <c r="V18" s="241">
        <f t="shared" ca="1" si="13"/>
        <v>-18.261645150423494</v>
      </c>
      <c r="W18" s="241">
        <f t="shared" ca="1" si="13"/>
        <v>-11.061045871578894</v>
      </c>
      <c r="X18" s="241">
        <f t="shared" ca="1" si="13"/>
        <v>53.884783190528566</v>
      </c>
      <c r="Y18" s="241">
        <f t="shared" ca="1" si="13"/>
        <v>20.738556081694146</v>
      </c>
      <c r="Z18" s="241">
        <f t="shared" ca="1" si="13"/>
        <v>27.726434038012126</v>
      </c>
      <c r="AA18" s="241">
        <f t="shared" ca="1" si="14"/>
        <v>46.701596521315189</v>
      </c>
      <c r="AB18" s="241">
        <f t="shared" ca="1" si="14"/>
        <v>-39.794511601648033</v>
      </c>
      <c r="AC18" s="241">
        <f t="shared" ca="1" si="14"/>
        <v>43.544213280839998</v>
      </c>
      <c r="AD18" s="241">
        <f t="shared" ca="1" si="14"/>
        <v>-7.3125410560906232</v>
      </c>
      <c r="AE18" s="241">
        <f t="shared" ca="1" si="14"/>
        <v>12.5367074476334</v>
      </c>
      <c r="AF18" s="241">
        <f t="shared" ca="1" si="14"/>
        <v>6.9146046893348236</v>
      </c>
      <c r="AG18" s="241">
        <f t="shared" ca="1" si="14"/>
        <v>13.261964546042851</v>
      </c>
      <c r="AH18" s="241">
        <f t="shared" ca="1" si="14"/>
        <v>9.4618719584817672</v>
      </c>
      <c r="AI18" s="241">
        <f t="shared" ca="1" si="14"/>
        <v>8.0604303967199193</v>
      </c>
      <c r="AJ18" s="241">
        <f t="shared" ca="1" si="14"/>
        <v>7.7189458994791407</v>
      </c>
      <c r="AK18" s="241">
        <f t="shared" ca="1" si="14"/>
        <v>-10.707197628881303</v>
      </c>
      <c r="AL18" s="241">
        <f t="shared" ca="1" si="14"/>
        <v>-11.324917123386326</v>
      </c>
      <c r="AM18" s="241">
        <f t="shared" ca="1" si="14"/>
        <v>-8.7220335706922452</v>
      </c>
      <c r="AN18" s="241">
        <f t="shared" ca="1" si="14"/>
        <v>-7.7712779611789129</v>
      </c>
      <c r="AP18" s="229">
        <v>1700</v>
      </c>
      <c r="AQ18" s="229" t="s">
        <v>572</v>
      </c>
      <c r="AR18" s="242">
        <f t="shared" ref="AR18:BO18" ca="1" si="23">8.83+0.1603*BP18-0.0059285*BP18^2+0.00013336*BP18^3-BP18^4/1174000</f>
        <v>-5428.5691573006643</v>
      </c>
      <c r="AS18" s="242">
        <f t="shared" ca="1" si="23"/>
        <v>-5435.0503303832375</v>
      </c>
      <c r="AT18" s="242">
        <f t="shared" ca="1" si="23"/>
        <v>-5435.0503303832375</v>
      </c>
      <c r="AU18" s="242">
        <f t="shared" ca="1" si="23"/>
        <v>-5441.5372486952074</v>
      </c>
      <c r="AV18" s="242">
        <f t="shared" ca="1" si="23"/>
        <v>-5441.5372486952074</v>
      </c>
      <c r="AW18" s="242">
        <f t="shared" ca="1" si="23"/>
        <v>-5448.029915610532</v>
      </c>
      <c r="AX18" s="242">
        <f t="shared" ca="1" si="23"/>
        <v>-5448.029915610532</v>
      </c>
      <c r="AY18" s="242">
        <f t="shared" ca="1" si="23"/>
        <v>-5454.5283345041562</v>
      </c>
      <c r="AZ18" s="242">
        <f t="shared" ca="1" si="23"/>
        <v>-5454.5283345041562</v>
      </c>
      <c r="BA18" s="242">
        <f t="shared" ca="1" si="23"/>
        <v>-5461.032508751945</v>
      </c>
      <c r="BB18" s="242">
        <f t="shared" ca="1" si="23"/>
        <v>-5461.032508751945</v>
      </c>
      <c r="BC18" s="242">
        <f t="shared" ca="1" si="23"/>
        <v>-5467.5424417308204</v>
      </c>
      <c r="BD18" s="242">
        <f t="shared" ca="1" si="23"/>
        <v>-5467.5424417308204</v>
      </c>
      <c r="BE18" s="242">
        <f t="shared" ca="1" si="23"/>
        <v>-5474.0581368186731</v>
      </c>
      <c r="BF18" s="242">
        <f t="shared" ca="1" si="23"/>
        <v>-5474.0581368186731</v>
      </c>
      <c r="BG18" s="242">
        <f t="shared" ca="1" si="23"/>
        <v>-5480.5795973943405</v>
      </c>
      <c r="BH18" s="242">
        <f t="shared" ca="1" si="23"/>
        <v>-5480.5795973943405</v>
      </c>
      <c r="BI18" s="242">
        <f t="shared" ca="1" si="23"/>
        <v>-5487.1068268376885</v>
      </c>
      <c r="BJ18" s="242">
        <f t="shared" ca="1" si="23"/>
        <v>-5487.1068268376885</v>
      </c>
      <c r="BK18" s="242">
        <f t="shared" ca="1" si="23"/>
        <v>-5493.6398285295763</v>
      </c>
      <c r="BL18" s="242">
        <f t="shared" ca="1" si="23"/>
        <v>-5493.6398285295763</v>
      </c>
      <c r="BM18" s="242">
        <f t="shared" ca="1" si="23"/>
        <v>-5500.1786058517891</v>
      </c>
      <c r="BN18" s="242">
        <f t="shared" ca="1" si="23"/>
        <v>-5500.1786058517891</v>
      </c>
      <c r="BO18" s="242">
        <f t="shared" ca="1" si="23"/>
        <v>-5506.7231621871579</v>
      </c>
      <c r="BP18" s="243">
        <f t="shared" ref="BP18:CM18" ca="1" si="24">Delta_t_Year-1700</f>
        <v>324.20833333333326</v>
      </c>
      <c r="BQ18" s="243">
        <f t="shared" ca="1" si="24"/>
        <v>324.29166666666674</v>
      </c>
      <c r="BR18" s="243">
        <f t="shared" ca="1" si="24"/>
        <v>324.29166666666674</v>
      </c>
      <c r="BS18" s="243">
        <f t="shared" ca="1" si="24"/>
        <v>324.375</v>
      </c>
      <c r="BT18" s="243">
        <f t="shared" ca="1" si="24"/>
        <v>324.375</v>
      </c>
      <c r="BU18" s="243">
        <f t="shared" ca="1" si="24"/>
        <v>324.45833333333326</v>
      </c>
      <c r="BV18" s="243">
        <f t="shared" ca="1" si="24"/>
        <v>324.45833333333326</v>
      </c>
      <c r="BW18" s="243">
        <f t="shared" ca="1" si="24"/>
        <v>324.54166666666674</v>
      </c>
      <c r="BX18" s="243">
        <f t="shared" ca="1" si="24"/>
        <v>324.54166666666674</v>
      </c>
      <c r="BY18" s="243">
        <f t="shared" ca="1" si="24"/>
        <v>324.625</v>
      </c>
      <c r="BZ18" s="243">
        <f t="shared" ca="1" si="24"/>
        <v>324.625</v>
      </c>
      <c r="CA18" s="243">
        <f t="shared" ca="1" si="24"/>
        <v>324.70833333333326</v>
      </c>
      <c r="CB18" s="243">
        <f t="shared" ca="1" si="24"/>
        <v>324.70833333333326</v>
      </c>
      <c r="CC18" s="243">
        <f t="shared" ca="1" si="24"/>
        <v>324.79166666666674</v>
      </c>
      <c r="CD18" s="243">
        <f t="shared" ca="1" si="24"/>
        <v>324.79166666666674</v>
      </c>
      <c r="CE18" s="243">
        <f t="shared" ca="1" si="24"/>
        <v>324.875</v>
      </c>
      <c r="CF18" s="243">
        <f t="shared" ca="1" si="24"/>
        <v>324.875</v>
      </c>
      <c r="CG18" s="243">
        <f t="shared" ca="1" si="24"/>
        <v>324.95833333333326</v>
      </c>
      <c r="CH18" s="243">
        <f t="shared" ca="1" si="24"/>
        <v>324.95833333333326</v>
      </c>
      <c r="CI18" s="243">
        <f t="shared" ca="1" si="24"/>
        <v>325.04166666666674</v>
      </c>
      <c r="CJ18" s="243">
        <f t="shared" ca="1" si="24"/>
        <v>325.04166666666674</v>
      </c>
      <c r="CK18" s="243">
        <f t="shared" ca="1" si="24"/>
        <v>325.125</v>
      </c>
      <c r="CL18" s="243">
        <f t="shared" ca="1" si="24"/>
        <v>325.125</v>
      </c>
      <c r="CM18" s="243">
        <f t="shared" ca="1" si="24"/>
        <v>325.20833333333326</v>
      </c>
      <c r="CN18" s="244"/>
    </row>
    <row r="19" spans="2:108" ht="40.35" customHeight="1" x14ac:dyDescent="0.1">
      <c r="B19" s="231"/>
      <c r="D19" s="192" t="str">
        <f t="shared" si="0"/>
        <v>大雪</v>
      </c>
      <c r="E19" s="193">
        <f t="shared" ca="1" si="1"/>
        <v>45632.969744416419</v>
      </c>
      <c r="F19" s="232"/>
      <c r="G19" s="232"/>
      <c r="H19" s="233" t="s">
        <v>573</v>
      </c>
      <c r="I19" s="234">
        <f t="shared" ca="1" si="5"/>
        <v>2.6466081950279685</v>
      </c>
      <c r="J19" s="235">
        <f t="shared" ca="1" si="6"/>
        <v>152.91523974936339</v>
      </c>
      <c r="K19" s="236">
        <f t="shared" ca="1" si="7"/>
        <v>2460466.6698591649</v>
      </c>
      <c r="L19" s="237">
        <f t="shared" ca="1" si="8"/>
        <v>2460467.0064327554</v>
      </c>
      <c r="M19" s="238">
        <f t="shared" ca="1" si="9"/>
        <v>4.0976728970409286E-3</v>
      </c>
      <c r="N19" s="238">
        <f t="shared" ca="1" si="10"/>
        <v>74.080747410506916</v>
      </c>
      <c r="O19" s="239">
        <f t="shared" ca="1" si="11"/>
        <v>45448.506432755385</v>
      </c>
      <c r="P19" s="240">
        <f t="shared" ca="1" si="12"/>
        <v>397.96958980193511</v>
      </c>
      <c r="Q19" s="241">
        <f t="shared" ca="1" si="13"/>
        <v>105.83297834278547</v>
      </c>
      <c r="R19" s="241">
        <f t="shared" ca="1" si="13"/>
        <v>-66.74961492375806</v>
      </c>
      <c r="S19" s="241">
        <f t="shared" ca="1" si="13"/>
        <v>193.90797827966975</v>
      </c>
      <c r="T19" s="241">
        <f t="shared" ca="1" si="13"/>
        <v>63.174819461821237</v>
      </c>
      <c r="U19" s="241">
        <f t="shared" ca="1" si="13"/>
        <v>10.719662058917642</v>
      </c>
      <c r="V19" s="241">
        <f t="shared" ca="1" si="13"/>
        <v>4.5568228808251474</v>
      </c>
      <c r="W19" s="241">
        <f t="shared" ca="1" si="13"/>
        <v>-45.773083339211254</v>
      </c>
      <c r="X19" s="241">
        <f t="shared" ca="1" si="13"/>
        <v>55.020566287051281</v>
      </c>
      <c r="Y19" s="241">
        <f t="shared" ca="1" si="13"/>
        <v>25.201004038014577</v>
      </c>
      <c r="Z19" s="241">
        <f t="shared" ca="1" si="13"/>
        <v>14.156856913311074</v>
      </c>
      <c r="AA19" s="241">
        <f t="shared" ca="1" si="14"/>
        <v>46.727304157069995</v>
      </c>
      <c r="AB19" s="241">
        <f t="shared" ca="1" si="14"/>
        <v>-39.272952906109197</v>
      </c>
      <c r="AC19" s="241">
        <f t="shared" ca="1" si="14"/>
        <v>44.977669879146802</v>
      </c>
      <c r="AD19" s="241">
        <f t="shared" ca="1" si="14"/>
        <v>-17.242481479809516</v>
      </c>
      <c r="AE19" s="241">
        <f t="shared" ca="1" si="14"/>
        <v>11.66206490484783</v>
      </c>
      <c r="AF19" s="241">
        <f t="shared" ca="1" si="14"/>
        <v>-1.9814938689207298</v>
      </c>
      <c r="AG19" s="241">
        <f t="shared" ca="1" si="14"/>
        <v>13.61664248800842</v>
      </c>
      <c r="AH19" s="241">
        <f t="shared" ca="1" si="14"/>
        <v>2.5961756845351558</v>
      </c>
      <c r="AI19" s="241">
        <f t="shared" ca="1" si="14"/>
        <v>10.502437752103763</v>
      </c>
      <c r="AJ19" s="241">
        <f t="shared" ca="1" si="14"/>
        <v>6.6747760912857661</v>
      </c>
      <c r="AK19" s="241">
        <f t="shared" ca="1" si="14"/>
        <v>-11.684134412131584</v>
      </c>
      <c r="AL19" s="241">
        <f t="shared" ca="1" si="14"/>
        <v>-11.964200000023574</v>
      </c>
      <c r="AM19" s="241">
        <f t="shared" ca="1" si="14"/>
        <v>-8.741930019427631</v>
      </c>
      <c r="AN19" s="241">
        <f t="shared" ca="1" si="14"/>
        <v>-7.9482784680673522</v>
      </c>
      <c r="AP19" s="229">
        <v>1800</v>
      </c>
      <c r="AQ19" s="229" t="s">
        <v>574</v>
      </c>
      <c r="AR19" s="242">
        <f t="shared" ref="AR19:BO19" ca="1" si="25">13.72-0.332447*BP19+0.0068612*BP19^2+0.0041116*BP19^3-0.00037436*BP19^4</f>
        <v>-899386.38617382525</v>
      </c>
      <c r="AS19" s="242">
        <f t="shared" ca="1" si="25"/>
        <v>-900741.69785998098</v>
      </c>
      <c r="AT19" s="242">
        <f t="shared" ca="1" si="25"/>
        <v>-900741.69785998098</v>
      </c>
      <c r="AU19" s="242">
        <f t="shared" ca="1" si="25"/>
        <v>-902098.54042893928</v>
      </c>
      <c r="AV19" s="242">
        <f t="shared" ca="1" si="25"/>
        <v>-902098.54042893928</v>
      </c>
      <c r="AW19" s="242">
        <f t="shared" ca="1" si="25"/>
        <v>-903456.91503283568</v>
      </c>
      <c r="AX19" s="242">
        <f t="shared" ca="1" si="25"/>
        <v>-903456.91503283568</v>
      </c>
      <c r="AY19" s="242">
        <f t="shared" ca="1" si="25"/>
        <v>-904816.82282424008</v>
      </c>
      <c r="AZ19" s="242">
        <f t="shared" ca="1" si="25"/>
        <v>-904816.82282424008</v>
      </c>
      <c r="BA19" s="242">
        <f t="shared" ca="1" si="25"/>
        <v>-906178.26495614299</v>
      </c>
      <c r="BB19" s="242">
        <f t="shared" ca="1" si="25"/>
        <v>-906178.26495614299</v>
      </c>
      <c r="BC19" s="242">
        <f t="shared" ca="1" si="25"/>
        <v>-907541.242581981</v>
      </c>
      <c r="BD19" s="242">
        <f t="shared" ca="1" si="25"/>
        <v>-907541.242581981</v>
      </c>
      <c r="BE19" s="242">
        <f t="shared" ca="1" si="25"/>
        <v>-908905.75685562321</v>
      </c>
      <c r="BF19" s="242">
        <f t="shared" ca="1" si="25"/>
        <v>-908905.75685562321</v>
      </c>
      <c r="BG19" s="242">
        <f t="shared" ca="1" si="25"/>
        <v>-910271.80893136095</v>
      </c>
      <c r="BH19" s="242">
        <f t="shared" ca="1" si="25"/>
        <v>-910271.80893136095</v>
      </c>
      <c r="BI19" s="242">
        <f t="shared" ca="1" si="25"/>
        <v>-911639.39996392978</v>
      </c>
      <c r="BJ19" s="242">
        <f t="shared" ca="1" si="25"/>
        <v>-911639.39996392978</v>
      </c>
      <c r="BK19" s="242">
        <f t="shared" ca="1" si="25"/>
        <v>-913008.53110849892</v>
      </c>
      <c r="BL19" s="242">
        <f t="shared" ca="1" si="25"/>
        <v>-913008.53110849892</v>
      </c>
      <c r="BM19" s="242">
        <f t="shared" ca="1" si="25"/>
        <v>-914379.20352065936</v>
      </c>
      <c r="BN19" s="242">
        <f t="shared" ca="1" si="25"/>
        <v>-914379.20352065936</v>
      </c>
      <c r="BO19" s="242">
        <f t="shared" ca="1" si="25"/>
        <v>-915751.4183564469</v>
      </c>
      <c r="BP19" s="243">
        <f t="shared" ref="BP19:CM19" ca="1" si="26">Delta_t_Year-1800</f>
        <v>224.20833333333326</v>
      </c>
      <c r="BQ19" s="243">
        <f t="shared" ca="1" si="26"/>
        <v>224.29166666666674</v>
      </c>
      <c r="BR19" s="243">
        <f t="shared" ca="1" si="26"/>
        <v>224.29166666666674</v>
      </c>
      <c r="BS19" s="243">
        <f t="shared" ca="1" si="26"/>
        <v>224.375</v>
      </c>
      <c r="BT19" s="243">
        <f t="shared" ca="1" si="26"/>
        <v>224.375</v>
      </c>
      <c r="BU19" s="243">
        <f t="shared" ca="1" si="26"/>
        <v>224.45833333333326</v>
      </c>
      <c r="BV19" s="243">
        <f t="shared" ca="1" si="26"/>
        <v>224.45833333333326</v>
      </c>
      <c r="BW19" s="243">
        <f t="shared" ca="1" si="26"/>
        <v>224.54166666666674</v>
      </c>
      <c r="BX19" s="243">
        <f t="shared" ca="1" si="26"/>
        <v>224.54166666666674</v>
      </c>
      <c r="BY19" s="243">
        <f t="shared" ca="1" si="26"/>
        <v>224.625</v>
      </c>
      <c r="BZ19" s="243">
        <f t="shared" ca="1" si="26"/>
        <v>224.625</v>
      </c>
      <c r="CA19" s="243">
        <f t="shared" ca="1" si="26"/>
        <v>224.70833333333326</v>
      </c>
      <c r="CB19" s="243">
        <f t="shared" ca="1" si="26"/>
        <v>224.70833333333326</v>
      </c>
      <c r="CC19" s="243">
        <f t="shared" ca="1" si="26"/>
        <v>224.79166666666674</v>
      </c>
      <c r="CD19" s="243">
        <f t="shared" ca="1" si="26"/>
        <v>224.79166666666674</v>
      </c>
      <c r="CE19" s="243">
        <f t="shared" ca="1" si="26"/>
        <v>224.875</v>
      </c>
      <c r="CF19" s="243">
        <f t="shared" ca="1" si="26"/>
        <v>224.875</v>
      </c>
      <c r="CG19" s="243">
        <f t="shared" ca="1" si="26"/>
        <v>224.95833333333326</v>
      </c>
      <c r="CH19" s="243">
        <f t="shared" ca="1" si="26"/>
        <v>224.95833333333326</v>
      </c>
      <c r="CI19" s="243">
        <f t="shared" ca="1" si="26"/>
        <v>225.04166666666674</v>
      </c>
      <c r="CJ19" s="243">
        <f t="shared" ca="1" si="26"/>
        <v>225.04166666666674</v>
      </c>
      <c r="CK19" s="243">
        <f t="shared" ca="1" si="26"/>
        <v>225.125</v>
      </c>
      <c r="CL19" s="243">
        <f t="shared" ca="1" si="26"/>
        <v>225.125</v>
      </c>
      <c r="CM19" s="243">
        <f t="shared" ca="1" si="26"/>
        <v>225.20833333333326</v>
      </c>
      <c r="CN19" s="244"/>
    </row>
    <row r="20" spans="2:108" ht="40.35" customHeight="1" x14ac:dyDescent="0.1">
      <c r="B20" s="231"/>
      <c r="D20" s="192" t="str">
        <f t="shared" si="0"/>
        <v>冬至</v>
      </c>
      <c r="E20" s="193">
        <f t="shared" ca="1" si="1"/>
        <v>45647.722314842977</v>
      </c>
      <c r="F20" s="232"/>
      <c r="G20" s="232"/>
      <c r="H20" s="233" t="s">
        <v>47</v>
      </c>
      <c r="I20" s="234">
        <f t="shared" ca="1" si="5"/>
        <v>2.9084075828271181</v>
      </c>
      <c r="J20" s="235">
        <f t="shared" ca="1" si="6"/>
        <v>168.61197867143736</v>
      </c>
      <c r="K20" s="236">
        <f t="shared" ca="1" si="7"/>
        <v>2460482.3665980869</v>
      </c>
      <c r="L20" s="237">
        <f t="shared" ca="1" si="8"/>
        <v>2460482.7018661406</v>
      </c>
      <c r="M20" s="238">
        <f t="shared" ca="1" si="9"/>
        <v>2.7921360629383184E-3</v>
      </c>
      <c r="N20" s="238">
        <f t="shared" ca="1" si="10"/>
        <v>74.080747410506916</v>
      </c>
      <c r="O20" s="239">
        <f t="shared" ca="1" si="11"/>
        <v>45464.201866140589</v>
      </c>
      <c r="P20" s="240">
        <f t="shared" ca="1" si="12"/>
        <v>270.32742893322586</v>
      </c>
      <c r="Q20" s="241">
        <f t="shared" ca="1" si="13"/>
        <v>98.955648973453236</v>
      </c>
      <c r="R20" s="241">
        <f t="shared" ca="1" si="13"/>
        <v>-111.63962126947666</v>
      </c>
      <c r="S20" s="241">
        <f t="shared" ca="1" si="13"/>
        <v>193.91474837586028</v>
      </c>
      <c r="T20" s="241">
        <f t="shared" ca="1" si="13"/>
        <v>-28.332747106889421</v>
      </c>
      <c r="U20" s="241">
        <f t="shared" ca="1" si="13"/>
        <v>61.692543019807246</v>
      </c>
      <c r="V20" s="241">
        <f t="shared" ca="1" si="13"/>
        <v>27.340760245773875</v>
      </c>
      <c r="W20" s="241">
        <f t="shared" ca="1" si="13"/>
        <v>-69.675694292602202</v>
      </c>
      <c r="X20" s="241">
        <f t="shared" ca="1" si="13"/>
        <v>56.132666836466463</v>
      </c>
      <c r="Y20" s="241">
        <f t="shared" ca="1" si="13"/>
        <v>29.56664382182684</v>
      </c>
      <c r="Z20" s="241">
        <f t="shared" ca="1" si="13"/>
        <v>-0.36724914737028119</v>
      </c>
      <c r="AA20" s="241">
        <f t="shared" ca="1" si="14"/>
        <v>46.753060157527386</v>
      </c>
      <c r="AB20" s="241">
        <f t="shared" ca="1" si="14"/>
        <v>-38.737731125238071</v>
      </c>
      <c r="AC20" s="241">
        <f t="shared" ca="1" si="14"/>
        <v>44.164621009741012</v>
      </c>
      <c r="AD20" s="241">
        <f t="shared" ca="1" si="14"/>
        <v>-26.25390712863787</v>
      </c>
      <c r="AE20" s="241">
        <f t="shared" ca="1" si="14"/>
        <v>10.770826143016354</v>
      </c>
      <c r="AF20" s="241">
        <f t="shared" ca="1" si="14"/>
        <v>-10.414823061893683</v>
      </c>
      <c r="AG20" s="241">
        <f t="shared" ca="1" si="14"/>
        <v>13.956897441009708</v>
      </c>
      <c r="AH20" s="241">
        <f t="shared" ca="1" si="14"/>
        <v>-4.8620707255855864</v>
      </c>
      <c r="AI20" s="241">
        <f t="shared" ca="1" si="14"/>
        <v>12.374500146354647</v>
      </c>
      <c r="AJ20" s="241">
        <f t="shared" ca="1" si="14"/>
        <v>5.5466840556307533</v>
      </c>
      <c r="AK20" s="241">
        <f t="shared" ca="1" si="14"/>
        <v>-11.999451874996485</v>
      </c>
      <c r="AL20" s="241">
        <f t="shared" ca="1" si="14"/>
        <v>-11.798341715353917</v>
      </c>
      <c r="AM20" s="241">
        <f t="shared" ca="1" si="14"/>
        <v>-8.7611769805691342</v>
      </c>
      <c r="AN20" s="241">
        <f t="shared" ca="1" si="14"/>
        <v>-7.9993568646286972</v>
      </c>
      <c r="AP20" s="229">
        <v>1860</v>
      </c>
      <c r="AQ20" s="229" t="s">
        <v>575</v>
      </c>
      <c r="AR20" s="242">
        <f t="shared" ref="AR20:BO20" ca="1" si="27">7.62+0.5737*BP20-0.251754*BP20^2+0.01680668*BP20^3-0.0004473624*BP20^4+BP20^5/233174</f>
        <v>254492.96810601436</v>
      </c>
      <c r="AS20" s="242">
        <f t="shared" ca="1" si="27"/>
        <v>255239.26030922163</v>
      </c>
      <c r="AT20" s="242">
        <f t="shared" ca="1" si="27"/>
        <v>255239.26030922163</v>
      </c>
      <c r="AU20" s="242">
        <f t="shared" ca="1" si="27"/>
        <v>255987.29920699584</v>
      </c>
      <c r="AV20" s="242">
        <f t="shared" ca="1" si="27"/>
        <v>255987.29920699584</v>
      </c>
      <c r="AW20" s="242">
        <f t="shared" ca="1" si="27"/>
        <v>256737.08785804576</v>
      </c>
      <c r="AX20" s="242">
        <f t="shared" ca="1" si="27"/>
        <v>256737.08785804576</v>
      </c>
      <c r="AY20" s="242">
        <f t="shared" ca="1" si="27"/>
        <v>257488.62932464239</v>
      </c>
      <c r="AZ20" s="242">
        <f t="shared" ca="1" si="27"/>
        <v>257488.62932464239</v>
      </c>
      <c r="BA20" s="242">
        <f t="shared" ca="1" si="27"/>
        <v>258241.9266726138</v>
      </c>
      <c r="BB20" s="242">
        <f t="shared" ca="1" si="27"/>
        <v>258241.9266726138</v>
      </c>
      <c r="BC20" s="242">
        <f t="shared" ca="1" si="27"/>
        <v>258996.98297136059</v>
      </c>
      <c r="BD20" s="242">
        <f t="shared" ca="1" si="27"/>
        <v>258996.98297136059</v>
      </c>
      <c r="BE20" s="242">
        <f t="shared" ca="1" si="27"/>
        <v>259753.80129385137</v>
      </c>
      <c r="BF20" s="242">
        <f t="shared" ca="1" si="27"/>
        <v>259753.80129385137</v>
      </c>
      <c r="BG20" s="242">
        <f t="shared" ca="1" si="27"/>
        <v>260512.38471661805</v>
      </c>
      <c r="BH20" s="242">
        <f t="shared" ca="1" si="27"/>
        <v>260512.38471661805</v>
      </c>
      <c r="BI20" s="242">
        <f t="shared" ca="1" si="27"/>
        <v>261272.73631977162</v>
      </c>
      <c r="BJ20" s="242">
        <f t="shared" ca="1" si="27"/>
        <v>261272.73631977162</v>
      </c>
      <c r="BK20" s="242">
        <f t="shared" ca="1" si="27"/>
        <v>262034.85918699665</v>
      </c>
      <c r="BL20" s="242">
        <f t="shared" ca="1" si="27"/>
        <v>262034.85918699665</v>
      </c>
      <c r="BM20" s="242">
        <f t="shared" ca="1" si="27"/>
        <v>262798.75640554802</v>
      </c>
      <c r="BN20" s="242">
        <f t="shared" ca="1" si="27"/>
        <v>262798.75640554802</v>
      </c>
      <c r="BO20" s="242">
        <f t="shared" ca="1" si="27"/>
        <v>263564.43106626498</v>
      </c>
      <c r="BP20" s="243">
        <f t="shared" ref="BP20:CM20" ca="1" si="28">Delta_t_Year-1860</f>
        <v>164.20833333333326</v>
      </c>
      <c r="BQ20" s="243">
        <f t="shared" ca="1" si="28"/>
        <v>164.29166666666674</v>
      </c>
      <c r="BR20" s="243">
        <f t="shared" ca="1" si="28"/>
        <v>164.29166666666674</v>
      </c>
      <c r="BS20" s="243">
        <f t="shared" ca="1" si="28"/>
        <v>164.375</v>
      </c>
      <c r="BT20" s="243">
        <f t="shared" ca="1" si="28"/>
        <v>164.375</v>
      </c>
      <c r="BU20" s="243">
        <f t="shared" ca="1" si="28"/>
        <v>164.45833333333326</v>
      </c>
      <c r="BV20" s="243">
        <f t="shared" ca="1" si="28"/>
        <v>164.45833333333326</v>
      </c>
      <c r="BW20" s="243">
        <f t="shared" ca="1" si="28"/>
        <v>164.54166666666674</v>
      </c>
      <c r="BX20" s="243">
        <f t="shared" ca="1" si="28"/>
        <v>164.54166666666674</v>
      </c>
      <c r="BY20" s="243">
        <f t="shared" ca="1" si="28"/>
        <v>164.625</v>
      </c>
      <c r="BZ20" s="243">
        <f t="shared" ca="1" si="28"/>
        <v>164.625</v>
      </c>
      <c r="CA20" s="243">
        <f t="shared" ca="1" si="28"/>
        <v>164.70833333333326</v>
      </c>
      <c r="CB20" s="243">
        <f t="shared" ca="1" si="28"/>
        <v>164.70833333333326</v>
      </c>
      <c r="CC20" s="243">
        <f t="shared" ca="1" si="28"/>
        <v>164.79166666666674</v>
      </c>
      <c r="CD20" s="243">
        <f t="shared" ca="1" si="28"/>
        <v>164.79166666666674</v>
      </c>
      <c r="CE20" s="243">
        <f t="shared" ca="1" si="28"/>
        <v>164.875</v>
      </c>
      <c r="CF20" s="243">
        <f t="shared" ca="1" si="28"/>
        <v>164.875</v>
      </c>
      <c r="CG20" s="243">
        <f t="shared" ca="1" si="28"/>
        <v>164.95833333333326</v>
      </c>
      <c r="CH20" s="243">
        <f t="shared" ca="1" si="28"/>
        <v>164.95833333333326</v>
      </c>
      <c r="CI20" s="243">
        <f t="shared" ca="1" si="28"/>
        <v>165.04166666666674</v>
      </c>
      <c r="CJ20" s="243">
        <f t="shared" ca="1" si="28"/>
        <v>165.04166666666674</v>
      </c>
      <c r="CK20" s="243">
        <f t="shared" ca="1" si="28"/>
        <v>165.125</v>
      </c>
      <c r="CL20" s="243">
        <f t="shared" ca="1" si="28"/>
        <v>165.125</v>
      </c>
      <c r="CM20" s="243">
        <f t="shared" ca="1" si="28"/>
        <v>165.20833333333326</v>
      </c>
      <c r="CN20" s="244"/>
      <c r="CO20" s="467" t="s">
        <v>620</v>
      </c>
      <c r="CP20" s="467"/>
      <c r="CQ20" s="467"/>
      <c r="CR20" s="467"/>
      <c r="CS20" s="467"/>
      <c r="CT20" s="467"/>
      <c r="CU20" s="467"/>
      <c r="CV20" s="467"/>
      <c r="CW20" s="467"/>
      <c r="CX20" s="467"/>
      <c r="CY20" s="467"/>
      <c r="CZ20" s="467"/>
      <c r="DA20" s="467"/>
      <c r="DB20" s="467"/>
      <c r="DC20" s="467"/>
      <c r="DD20" s="467"/>
    </row>
    <row r="21" spans="2:108" ht="40.35" customHeight="1" x14ac:dyDescent="0.1">
      <c r="B21" s="231"/>
      <c r="D21" s="192" t="str">
        <f t="shared" si="0"/>
        <v>小寒</v>
      </c>
      <c r="E21" s="193">
        <f t="shared" ca="1" si="1"/>
        <v>45662.439384223893</v>
      </c>
      <c r="F21" s="232"/>
      <c r="G21" s="232"/>
      <c r="H21" s="233" t="s">
        <v>48</v>
      </c>
      <c r="I21" s="234">
        <f t="shared" ca="1" si="5"/>
        <v>3.1129783365533186</v>
      </c>
      <c r="J21" s="235">
        <f t="shared" ca="1" si="6"/>
        <v>184.34078869940058</v>
      </c>
      <c r="K21" s="236">
        <f t="shared" ca="1" si="7"/>
        <v>2460498.0954081146</v>
      </c>
      <c r="L21" s="237">
        <f t="shared" ca="1" si="8"/>
        <v>2460498.4307056614</v>
      </c>
      <c r="M21" s="238">
        <f t="shared" ca="1" si="9"/>
        <v>2.8222028088184209E-3</v>
      </c>
      <c r="N21" s="238">
        <f t="shared" ca="1" si="10"/>
        <v>74.130266864840323</v>
      </c>
      <c r="O21" s="239">
        <f t="shared" ca="1" si="11"/>
        <v>45479.93070566142</v>
      </c>
      <c r="P21" s="240">
        <f t="shared" ca="1" si="12"/>
        <v>272.9958564678501</v>
      </c>
      <c r="Q21" s="241">
        <f t="shared" ca="1" si="13"/>
        <v>92.043379447210583</v>
      </c>
      <c r="R21" s="241">
        <f t="shared" ca="1" si="13"/>
        <v>-149.80853596182848</v>
      </c>
      <c r="S21" s="241">
        <f t="shared" ca="1" si="13"/>
        <v>193.92152784553952</v>
      </c>
      <c r="T21" s="241">
        <f t="shared" ca="1" si="13"/>
        <v>-8.859133436496947</v>
      </c>
      <c r="U21" s="241">
        <f t="shared" ca="1" si="13"/>
        <v>105.77144484971748</v>
      </c>
      <c r="V21" s="241">
        <f t="shared" ca="1" si="13"/>
        <v>49.390307105418536</v>
      </c>
      <c r="W21" s="241">
        <f t="shared" ca="1" si="13"/>
        <v>-76.880083070243828</v>
      </c>
      <c r="X21" s="241">
        <f t="shared" ca="1" si="13"/>
        <v>57.217864238853814</v>
      </c>
      <c r="Y21" s="241">
        <f t="shared" ca="1" si="13"/>
        <v>33.804965022282779</v>
      </c>
      <c r="Z21" s="241">
        <f t="shared" ca="1" si="13"/>
        <v>-14.896957217589282</v>
      </c>
      <c r="AA21" s="241">
        <f t="shared" ca="1" si="14"/>
        <v>46.778808881035701</v>
      </c>
      <c r="AB21" s="241">
        <f t="shared" ca="1" si="14"/>
        <v>-38.190040070196787</v>
      </c>
      <c r="AC21" s="241">
        <f t="shared" ca="1" si="14"/>
        <v>41.126821639525993</v>
      </c>
      <c r="AD21" s="241">
        <f t="shared" ca="1" si="14"/>
        <v>-33.815017509426852</v>
      </c>
      <c r="AE21" s="241">
        <f t="shared" ca="1" si="14"/>
        <v>9.8657675336030408</v>
      </c>
      <c r="AF21" s="241">
        <f t="shared" ca="1" si="14"/>
        <v>-16.238908183169265</v>
      </c>
      <c r="AG21" s="241">
        <f t="shared" ca="1" si="14"/>
        <v>14.281454039200502</v>
      </c>
      <c r="AH21" s="241">
        <f t="shared" ca="1" si="14"/>
        <v>-11.269172807191611</v>
      </c>
      <c r="AI21" s="241">
        <f t="shared" ca="1" si="14"/>
        <v>13.563397681252875</v>
      </c>
      <c r="AJ21" s="241">
        <f t="shared" ca="1" si="14"/>
        <v>4.3498443813484275</v>
      </c>
      <c r="AK21" s="241">
        <f t="shared" ca="1" si="14"/>
        <v>-11.628269125618047</v>
      </c>
      <c r="AL21" s="241">
        <f t="shared" ca="1" si="14"/>
        <v>-10.831478558130971</v>
      </c>
      <c r="AM21" s="241">
        <f t="shared" ca="1" si="14"/>
        <v>-8.7797248413189664</v>
      </c>
      <c r="AN21" s="241">
        <f t="shared" ca="1" si="14"/>
        <v>-7.9224054159280319</v>
      </c>
      <c r="AP21" s="229">
        <v>1900</v>
      </c>
      <c r="AQ21" s="229" t="s">
        <v>576</v>
      </c>
      <c r="AR21" s="242">
        <f t="shared" ref="AR21:BO21" ca="1" si="29">-2.79+1.494119*BP21-0.0598939*BP21^2+0.0061966*BP21^3-0.000197*BP21^4</f>
        <v>-35755.802867041508</v>
      </c>
      <c r="AS21" s="242">
        <f t="shared" ca="1" si="29"/>
        <v>-35858.963237160278</v>
      </c>
      <c r="AT21" s="242">
        <f t="shared" ca="1" si="29"/>
        <v>-35858.963237160278</v>
      </c>
      <c r="AU21" s="242">
        <f t="shared" ca="1" si="29"/>
        <v>-35962.345959620361</v>
      </c>
      <c r="AV21" s="242">
        <f t="shared" ca="1" si="29"/>
        <v>-35962.345959620361</v>
      </c>
      <c r="AW21" s="242">
        <f t="shared" ca="1" si="29"/>
        <v>-36065.951353095879</v>
      </c>
      <c r="AX21" s="242">
        <f t="shared" ca="1" si="29"/>
        <v>-36065.951353095879</v>
      </c>
      <c r="AY21" s="242">
        <f t="shared" ca="1" si="29"/>
        <v>-36169.779736488978</v>
      </c>
      <c r="AZ21" s="242">
        <f t="shared" ca="1" si="29"/>
        <v>-36169.779736488978</v>
      </c>
      <c r="BA21" s="242">
        <f t="shared" ca="1" si="29"/>
        <v>-36273.831428928956</v>
      </c>
      <c r="BB21" s="242">
        <f t="shared" ca="1" si="29"/>
        <v>-36273.831428928956</v>
      </c>
      <c r="BC21" s="242">
        <f t="shared" ca="1" si="29"/>
        <v>-36378.106749773942</v>
      </c>
      <c r="BD21" s="242">
        <f t="shared" ca="1" si="29"/>
        <v>-36378.106749773942</v>
      </c>
      <c r="BE21" s="242">
        <f t="shared" ca="1" si="29"/>
        <v>-36482.606018610139</v>
      </c>
      <c r="BF21" s="242">
        <f t="shared" ca="1" si="29"/>
        <v>-36482.606018610139</v>
      </c>
      <c r="BG21" s="242">
        <f t="shared" ca="1" si="29"/>
        <v>-36587.329555250835</v>
      </c>
      <c r="BH21" s="242">
        <f t="shared" ca="1" si="29"/>
        <v>-36587.329555250835</v>
      </c>
      <c r="BI21" s="242">
        <f t="shared" ca="1" si="29"/>
        <v>-36692.27767973821</v>
      </c>
      <c r="BJ21" s="242">
        <f t="shared" ca="1" si="29"/>
        <v>-36692.27767973821</v>
      </c>
      <c r="BK21" s="242">
        <f t="shared" ca="1" si="29"/>
        <v>-36797.450712342485</v>
      </c>
      <c r="BL21" s="242">
        <f t="shared" ca="1" si="29"/>
        <v>-36797.450712342485</v>
      </c>
      <c r="BM21" s="242">
        <f t="shared" ca="1" si="29"/>
        <v>-36902.848973560976</v>
      </c>
      <c r="BN21" s="242">
        <f t="shared" ca="1" si="29"/>
        <v>-36902.848973560976</v>
      </c>
      <c r="BO21" s="242">
        <f t="shared" ca="1" si="29"/>
        <v>-37008.47278411992</v>
      </c>
      <c r="BP21" s="243">
        <f t="shared" ref="BP21:CM21" ca="1" si="30">Delta_t_Year-1900</f>
        <v>124.20833333333326</v>
      </c>
      <c r="BQ21" s="243">
        <f t="shared" ca="1" si="30"/>
        <v>124.29166666666674</v>
      </c>
      <c r="BR21" s="243">
        <f t="shared" ca="1" si="30"/>
        <v>124.29166666666674</v>
      </c>
      <c r="BS21" s="243">
        <f t="shared" ca="1" si="30"/>
        <v>124.375</v>
      </c>
      <c r="BT21" s="243">
        <f t="shared" ca="1" si="30"/>
        <v>124.375</v>
      </c>
      <c r="BU21" s="243">
        <f t="shared" ca="1" si="30"/>
        <v>124.45833333333326</v>
      </c>
      <c r="BV21" s="243">
        <f t="shared" ca="1" si="30"/>
        <v>124.45833333333326</v>
      </c>
      <c r="BW21" s="243">
        <f t="shared" ca="1" si="30"/>
        <v>124.54166666666674</v>
      </c>
      <c r="BX21" s="243">
        <f t="shared" ca="1" si="30"/>
        <v>124.54166666666674</v>
      </c>
      <c r="BY21" s="243">
        <f t="shared" ca="1" si="30"/>
        <v>124.625</v>
      </c>
      <c r="BZ21" s="243">
        <f t="shared" ca="1" si="30"/>
        <v>124.625</v>
      </c>
      <c r="CA21" s="243">
        <f t="shared" ca="1" si="30"/>
        <v>124.70833333333326</v>
      </c>
      <c r="CB21" s="243">
        <f t="shared" ca="1" si="30"/>
        <v>124.70833333333326</v>
      </c>
      <c r="CC21" s="243">
        <f t="shared" ca="1" si="30"/>
        <v>124.79166666666674</v>
      </c>
      <c r="CD21" s="243">
        <f t="shared" ca="1" si="30"/>
        <v>124.79166666666674</v>
      </c>
      <c r="CE21" s="243">
        <f t="shared" ca="1" si="30"/>
        <v>124.875</v>
      </c>
      <c r="CF21" s="243">
        <f t="shared" ca="1" si="30"/>
        <v>124.875</v>
      </c>
      <c r="CG21" s="243">
        <f t="shared" ca="1" si="30"/>
        <v>124.95833333333326</v>
      </c>
      <c r="CH21" s="243">
        <f t="shared" ca="1" si="30"/>
        <v>124.95833333333326</v>
      </c>
      <c r="CI21" s="243">
        <f t="shared" ca="1" si="30"/>
        <v>125.04166666666674</v>
      </c>
      <c r="CJ21" s="243">
        <f t="shared" ca="1" si="30"/>
        <v>125.04166666666674</v>
      </c>
      <c r="CK21" s="243">
        <f t="shared" ca="1" si="30"/>
        <v>125.125</v>
      </c>
      <c r="CL21" s="243">
        <f t="shared" ca="1" si="30"/>
        <v>125.125</v>
      </c>
      <c r="CM21" s="243">
        <f t="shared" ca="1" si="30"/>
        <v>125.20833333333326</v>
      </c>
      <c r="CN21" s="244"/>
      <c r="CO21" s="467"/>
      <c r="CP21" s="467"/>
      <c r="CQ21" s="467"/>
      <c r="CR21" s="467"/>
      <c r="CS21" s="467"/>
      <c r="CT21" s="467"/>
      <c r="CU21" s="467"/>
      <c r="CV21" s="467"/>
      <c r="CW21" s="467"/>
      <c r="CX21" s="467"/>
      <c r="CY21" s="467"/>
      <c r="CZ21" s="467"/>
      <c r="DA21" s="467"/>
      <c r="DB21" s="467"/>
      <c r="DC21" s="467"/>
      <c r="DD21" s="467"/>
    </row>
    <row r="22" spans="2:108" ht="40.35" customHeight="1" x14ac:dyDescent="0.1">
      <c r="B22" s="231"/>
      <c r="D22" s="192" t="str">
        <f t="shared" si="0"/>
        <v>大寒</v>
      </c>
      <c r="E22" s="193">
        <f t="shared" ca="1" si="1"/>
        <v>45677.166816800367</v>
      </c>
      <c r="F22" s="232"/>
      <c r="G22" s="232"/>
      <c r="H22" s="233" t="s">
        <v>49</v>
      </c>
      <c r="I22" s="234">
        <f t="shared" ca="1" si="5"/>
        <v>2.8511789487541694</v>
      </c>
      <c r="J22" s="235">
        <f t="shared" ca="1" si="6"/>
        <v>200.06562260939737</v>
      </c>
      <c r="K22" s="236">
        <f t="shared" ca="1" si="7"/>
        <v>2460513.820242025</v>
      </c>
      <c r="L22" s="237">
        <f t="shared" ca="1" si="8"/>
        <v>2460514.1561513902</v>
      </c>
      <c r="M22" s="238">
        <f t="shared" ca="1" si="9"/>
        <v>3.4340210210454642E-3</v>
      </c>
      <c r="N22" s="238">
        <f t="shared" ca="1" si="10"/>
        <v>74.130266864840323</v>
      </c>
      <c r="O22" s="239">
        <f t="shared" ca="1" si="11"/>
        <v>45495.656151390169</v>
      </c>
      <c r="P22" s="240">
        <f t="shared" ca="1" si="12"/>
        <v>332.648175538717</v>
      </c>
      <c r="Q22" s="241">
        <f t="shared" ca="1" si="13"/>
        <v>85.113414299662466</v>
      </c>
      <c r="R22" s="241">
        <f t="shared" ca="1" si="13"/>
        <v>-178.82246798368351</v>
      </c>
      <c r="S22" s="241">
        <f t="shared" ca="1" si="13"/>
        <v>193.92830113944026</v>
      </c>
      <c r="T22" s="241">
        <f t="shared" ca="1" si="13"/>
        <v>45.530930853999223</v>
      </c>
      <c r="U22" s="241">
        <f t="shared" ca="1" si="13"/>
        <v>137.84024905212391</v>
      </c>
      <c r="V22" s="241">
        <f t="shared" ca="1" si="13"/>
        <v>70.023474281344434</v>
      </c>
      <c r="W22" s="241">
        <f t="shared" ca="1" si="13"/>
        <v>-65.595670245973622</v>
      </c>
      <c r="X22" s="241">
        <f t="shared" ca="1" si="13"/>
        <v>58.273029297962587</v>
      </c>
      <c r="Y22" s="241">
        <f t="shared" ca="1" si="13"/>
        <v>37.886364297412968</v>
      </c>
      <c r="Z22" s="241">
        <f t="shared" ca="1" si="13"/>
        <v>-28.471804096958358</v>
      </c>
      <c r="AA22" s="241">
        <f t="shared" ca="1" si="14"/>
        <v>46.804491123254792</v>
      </c>
      <c r="AB22" s="241">
        <f t="shared" ca="1" si="14"/>
        <v>-37.631265268300965</v>
      </c>
      <c r="AC22" s="241">
        <f t="shared" ca="1" si="14"/>
        <v>36.018222202736276</v>
      </c>
      <c r="AD22" s="241">
        <f t="shared" ca="1" si="14"/>
        <v>-39.481741375542619</v>
      </c>
      <c r="AE22" s="241">
        <f t="shared" ca="1" si="14"/>
        <v>8.9499393193458641</v>
      </c>
      <c r="AF22" s="241">
        <f t="shared" ca="1" si="14"/>
        <v>-17.965891966466454</v>
      </c>
      <c r="AG22" s="241">
        <f t="shared" ca="1" si="14"/>
        <v>14.589143373136427</v>
      </c>
      <c r="AH22" s="241">
        <f t="shared" ca="1" si="14"/>
        <v>-15.204098925009092</v>
      </c>
      <c r="AI22" s="241">
        <f t="shared" ca="1" si="14"/>
        <v>13.99859273492163</v>
      </c>
      <c r="AJ22" s="241">
        <f t="shared" ca="1" si="14"/>
        <v>3.1011592430619013</v>
      </c>
      <c r="AK22" s="241">
        <f t="shared" ca="1" si="14"/>
        <v>-10.59086580244227</v>
      </c>
      <c r="AL22" s="241">
        <f t="shared" ca="1" si="14"/>
        <v>-9.1293120073532936</v>
      </c>
      <c r="AM22" s="241">
        <f t="shared" ca="1" si="14"/>
        <v>-8.7975275517221387</v>
      </c>
      <c r="AN22" s="241">
        <f t="shared" ca="1" si="14"/>
        <v>-7.7184904562333703</v>
      </c>
      <c r="AP22" s="229">
        <v>1920</v>
      </c>
      <c r="AQ22" s="229" t="s">
        <v>577</v>
      </c>
      <c r="AR22" s="242">
        <f t="shared" ref="AR22:BO22" ca="1" si="31">21.2+0.84493*BP22-0.0761*BP22^2+0.0020936*BP22^3</f>
        <v>1652.0465536294521</v>
      </c>
      <c r="AS22" s="242">
        <f t="shared" ca="1" si="31"/>
        <v>1656.4830711781869</v>
      </c>
      <c r="AT22" s="242">
        <f t="shared" ca="1" si="31"/>
        <v>1656.4830711781869</v>
      </c>
      <c r="AU22" s="242">
        <f t="shared" ca="1" si="31"/>
        <v>1660.9276294921876</v>
      </c>
      <c r="AV22" s="242">
        <f t="shared" ca="1" si="31"/>
        <v>1660.9276294921876</v>
      </c>
      <c r="AW22" s="242">
        <f t="shared" ca="1" si="31"/>
        <v>1665.3802358409105</v>
      </c>
      <c r="AX22" s="242">
        <f t="shared" ca="1" si="31"/>
        <v>1665.3802358409105</v>
      </c>
      <c r="AY22" s="242">
        <f t="shared" ca="1" si="31"/>
        <v>1669.840897493812</v>
      </c>
      <c r="AZ22" s="242">
        <f t="shared" ca="1" si="31"/>
        <v>1669.840897493812</v>
      </c>
      <c r="BA22" s="242">
        <f t="shared" ca="1" si="31"/>
        <v>1674.3096217203129</v>
      </c>
      <c r="BB22" s="242">
        <f t="shared" ca="1" si="31"/>
        <v>1674.3096217203129</v>
      </c>
      <c r="BC22" s="242">
        <f t="shared" ca="1" si="31"/>
        <v>1678.7864157898691</v>
      </c>
      <c r="BD22" s="242">
        <f t="shared" ca="1" si="31"/>
        <v>1678.7864157898691</v>
      </c>
      <c r="BE22" s="242">
        <f t="shared" ca="1" si="31"/>
        <v>1683.2712869719371</v>
      </c>
      <c r="BF22" s="242">
        <f t="shared" ca="1" si="31"/>
        <v>1683.2712869719371</v>
      </c>
      <c r="BG22" s="242">
        <f t="shared" ca="1" si="31"/>
        <v>1687.7642425359372</v>
      </c>
      <c r="BH22" s="242">
        <f t="shared" ca="1" si="31"/>
        <v>1687.7642425359372</v>
      </c>
      <c r="BI22" s="242">
        <f t="shared" ca="1" si="31"/>
        <v>1692.2652897513269</v>
      </c>
      <c r="BJ22" s="242">
        <f t="shared" ca="1" si="31"/>
        <v>1692.2652897513269</v>
      </c>
      <c r="BK22" s="242">
        <f t="shared" ca="1" si="31"/>
        <v>1696.774435887562</v>
      </c>
      <c r="BL22" s="242">
        <f t="shared" ca="1" si="31"/>
        <v>1696.774435887562</v>
      </c>
      <c r="BM22" s="242">
        <f t="shared" ca="1" si="31"/>
        <v>1701.291688214063</v>
      </c>
      <c r="BN22" s="242">
        <f t="shared" ca="1" si="31"/>
        <v>1701.291688214063</v>
      </c>
      <c r="BO22" s="242">
        <f t="shared" ca="1" si="31"/>
        <v>1705.8170540002855</v>
      </c>
      <c r="BP22" s="243">
        <f t="shared" ref="BP22:CM22" ca="1" si="32">Delta_t_Year-1920</f>
        <v>104.20833333333326</v>
      </c>
      <c r="BQ22" s="243">
        <f t="shared" ca="1" si="32"/>
        <v>104.29166666666674</v>
      </c>
      <c r="BR22" s="243">
        <f t="shared" ca="1" si="32"/>
        <v>104.29166666666674</v>
      </c>
      <c r="BS22" s="243">
        <f t="shared" ca="1" si="32"/>
        <v>104.375</v>
      </c>
      <c r="BT22" s="243">
        <f t="shared" ca="1" si="32"/>
        <v>104.375</v>
      </c>
      <c r="BU22" s="243">
        <f t="shared" ca="1" si="32"/>
        <v>104.45833333333326</v>
      </c>
      <c r="BV22" s="243">
        <f t="shared" ca="1" si="32"/>
        <v>104.45833333333326</v>
      </c>
      <c r="BW22" s="243">
        <f t="shared" ca="1" si="32"/>
        <v>104.54166666666674</v>
      </c>
      <c r="BX22" s="243">
        <f t="shared" ca="1" si="32"/>
        <v>104.54166666666674</v>
      </c>
      <c r="BY22" s="243">
        <f t="shared" ca="1" si="32"/>
        <v>104.625</v>
      </c>
      <c r="BZ22" s="243">
        <f t="shared" ca="1" si="32"/>
        <v>104.625</v>
      </c>
      <c r="CA22" s="243">
        <f t="shared" ca="1" si="32"/>
        <v>104.70833333333326</v>
      </c>
      <c r="CB22" s="243">
        <f t="shared" ca="1" si="32"/>
        <v>104.70833333333326</v>
      </c>
      <c r="CC22" s="243">
        <f t="shared" ca="1" si="32"/>
        <v>104.79166666666674</v>
      </c>
      <c r="CD22" s="243">
        <f t="shared" ca="1" si="32"/>
        <v>104.79166666666674</v>
      </c>
      <c r="CE22" s="243">
        <f t="shared" ca="1" si="32"/>
        <v>104.875</v>
      </c>
      <c r="CF22" s="243">
        <f t="shared" ca="1" si="32"/>
        <v>104.875</v>
      </c>
      <c r="CG22" s="243">
        <f t="shared" ca="1" si="32"/>
        <v>104.95833333333326</v>
      </c>
      <c r="CH22" s="243">
        <f t="shared" ca="1" si="32"/>
        <v>104.95833333333326</v>
      </c>
      <c r="CI22" s="243">
        <f t="shared" ca="1" si="32"/>
        <v>105.04166666666674</v>
      </c>
      <c r="CJ22" s="243">
        <f t="shared" ca="1" si="32"/>
        <v>105.04166666666674</v>
      </c>
      <c r="CK22" s="243">
        <f t="shared" ca="1" si="32"/>
        <v>105.125</v>
      </c>
      <c r="CL22" s="243">
        <f t="shared" ca="1" si="32"/>
        <v>105.125</v>
      </c>
      <c r="CM22" s="243">
        <f t="shared" ca="1" si="32"/>
        <v>105.20833333333326</v>
      </c>
      <c r="CN22" s="244"/>
      <c r="CO22" s="467"/>
      <c r="CP22" s="467"/>
      <c r="CQ22" s="467"/>
      <c r="CR22" s="467"/>
      <c r="CS22" s="467"/>
      <c r="CT22" s="467"/>
      <c r="CU22" s="467"/>
      <c r="CV22" s="467"/>
      <c r="CW22" s="467"/>
      <c r="CX22" s="467"/>
      <c r="CY22" s="467"/>
      <c r="CZ22" s="467"/>
      <c r="DA22" s="467"/>
      <c r="DB22" s="467"/>
      <c r="DC22" s="467"/>
      <c r="DD22" s="467"/>
    </row>
    <row r="23" spans="2:108" ht="40.35" customHeight="1" x14ac:dyDescent="0.1">
      <c r="B23" s="231"/>
      <c r="D23" s="192" t="str">
        <f t="shared" si="0"/>
        <v>立春</v>
      </c>
      <c r="E23" s="193">
        <f t="shared" ca="1" si="1"/>
        <v>45691.924131135456</v>
      </c>
      <c r="F23" s="232"/>
      <c r="G23" s="232"/>
      <c r="H23" s="233" t="s">
        <v>50</v>
      </c>
      <c r="I23" s="234">
        <f t="shared" ca="1" si="5"/>
        <v>2.5893795609550199</v>
      </c>
      <c r="J23" s="235">
        <f t="shared" ca="1" si="6"/>
        <v>215.75074379338355</v>
      </c>
      <c r="K23" s="236">
        <f t="shared" ca="1" si="7"/>
        <v>2460529.5053632087</v>
      </c>
      <c r="L23" s="237">
        <f t="shared" ca="1" si="8"/>
        <v>2460529.8402325055</v>
      </c>
      <c r="M23" s="238">
        <f t="shared" ca="1" si="9"/>
        <v>2.3945268972853074E-3</v>
      </c>
      <c r="N23" s="238">
        <f t="shared" ca="1" si="10"/>
        <v>74.179863764562498</v>
      </c>
      <c r="O23" s="239">
        <f t="shared" ca="1" si="11"/>
        <v>45511.340232505463</v>
      </c>
      <c r="P23" s="240">
        <f t="shared" ca="1" si="12"/>
        <v>232.79513106596426</v>
      </c>
      <c r="Q23" s="241">
        <f t="shared" ca="1" si="13"/>
        <v>78.183040706609276</v>
      </c>
      <c r="R23" s="241">
        <f t="shared" ca="1" si="13"/>
        <v>-196.89013353328073</v>
      </c>
      <c r="S23" s="241">
        <f t="shared" ca="1" si="13"/>
        <v>193.93505288284712</v>
      </c>
      <c r="T23" s="241">
        <f t="shared" ca="1" si="13"/>
        <v>-78.928662800589933</v>
      </c>
      <c r="U23" s="241">
        <f t="shared" ca="1" si="13"/>
        <v>154.25375974330333</v>
      </c>
      <c r="V23" s="241">
        <f t="shared" ca="1" si="13"/>
        <v>88.612561430269778</v>
      </c>
      <c r="W23" s="241">
        <f t="shared" ca="1" si="13"/>
        <v>-38.623103254969458</v>
      </c>
      <c r="X23" s="241">
        <f t="shared" ca="1" si="13"/>
        <v>59.29534170467916</v>
      </c>
      <c r="Y23" s="241">
        <f t="shared" ca="1" si="13"/>
        <v>41.78348573947298</v>
      </c>
      <c r="Z23" s="241">
        <f t="shared" ca="1" si="13"/>
        <v>-40.202032409802037</v>
      </c>
      <c r="AA23" s="241">
        <f t="shared" ca="1" si="14"/>
        <v>46.830048735087843</v>
      </c>
      <c r="AB23" s="241">
        <f t="shared" ca="1" si="14"/>
        <v>-37.0628867591222</v>
      </c>
      <c r="AC23" s="241">
        <f t="shared" ca="1" si="14"/>
        <v>29.115111316055355</v>
      </c>
      <c r="AD23" s="241">
        <f t="shared" ca="1" si="14"/>
        <v>-42.933330205439439</v>
      </c>
      <c r="AE23" s="241">
        <f t="shared" ca="1" si="14"/>
        <v>8.0264848169978364</v>
      </c>
      <c r="AF23" s="241">
        <f t="shared" ca="1" si="14"/>
        <v>-15.174562315668156</v>
      </c>
      <c r="AG23" s="241">
        <f t="shared" ca="1" si="14"/>
        <v>14.878976112276433</v>
      </c>
      <c r="AH23" s="241">
        <f t="shared" ca="1" si="14"/>
        <v>-15.809034596960696</v>
      </c>
      <c r="AI23" s="241">
        <f t="shared" ca="1" si="14"/>
        <v>13.658142444950109</v>
      </c>
      <c r="AJ23" s="241">
        <f t="shared" ca="1" si="14"/>
        <v>1.8185828677203306</v>
      </c>
      <c r="AK23" s="241">
        <f t="shared" ca="1" si="14"/>
        <v>-8.9515160510471006</v>
      </c>
      <c r="AL23" s="241">
        <f t="shared" ca="1" si="14"/>
        <v>-6.8137933430908753</v>
      </c>
      <c r="AM23" s="241">
        <f t="shared" ca="1" si="14"/>
        <v>-8.8145462416102962</v>
      </c>
      <c r="AN23" s="241">
        <f t="shared" ca="1" si="14"/>
        <v>-7.3918559227243037</v>
      </c>
      <c r="AP23" s="229">
        <v>1941</v>
      </c>
      <c r="AQ23" s="229" t="s">
        <v>578</v>
      </c>
      <c r="AR23" s="242">
        <f t="shared" ref="AR23:BO23" ca="1" si="33">29.07+0.407*BP23-BP23^2/260-BP23^3/718</f>
        <v>-531.06647904173576</v>
      </c>
      <c r="AS23" s="242">
        <f t="shared" ca="1" si="33"/>
        <v>-532.99974873738108</v>
      </c>
      <c r="AT23" s="242">
        <f t="shared" ca="1" si="33"/>
        <v>-532.99974873738108</v>
      </c>
      <c r="AU23" s="242">
        <f t="shared" ca="1" si="33"/>
        <v>-534.93738311381776</v>
      </c>
      <c r="AV23" s="242">
        <f t="shared" ca="1" si="33"/>
        <v>-534.93738311381776</v>
      </c>
      <c r="AW23" s="242">
        <f t="shared" ca="1" si="33"/>
        <v>-536.87938700701511</v>
      </c>
      <c r="AX23" s="242">
        <f t="shared" ca="1" si="33"/>
        <v>-536.87938700701511</v>
      </c>
      <c r="AY23" s="242">
        <f t="shared" ca="1" si="33"/>
        <v>-538.82576525294257</v>
      </c>
      <c r="AZ23" s="242">
        <f t="shared" ca="1" si="33"/>
        <v>-538.82576525294257</v>
      </c>
      <c r="BA23" s="242">
        <f t="shared" ca="1" si="33"/>
        <v>-540.77652268755355</v>
      </c>
      <c r="BB23" s="242">
        <f t="shared" ca="1" si="33"/>
        <v>-540.77652268755355</v>
      </c>
      <c r="BC23" s="242">
        <f t="shared" ca="1" si="33"/>
        <v>-542.73166414681771</v>
      </c>
      <c r="BD23" s="242">
        <f t="shared" ca="1" si="33"/>
        <v>-542.73166414681771</v>
      </c>
      <c r="BE23" s="242">
        <f t="shared" ca="1" si="33"/>
        <v>-544.69119446670402</v>
      </c>
      <c r="BF23" s="242">
        <f t="shared" ca="1" si="33"/>
        <v>-544.69119446670402</v>
      </c>
      <c r="BG23" s="242">
        <f t="shared" ca="1" si="33"/>
        <v>-546.65511848316646</v>
      </c>
      <c r="BH23" s="242">
        <f t="shared" ca="1" si="33"/>
        <v>-546.65511848316646</v>
      </c>
      <c r="BI23" s="242">
        <f t="shared" ca="1" si="33"/>
        <v>-548.6234410321739</v>
      </c>
      <c r="BJ23" s="242">
        <f t="shared" ca="1" si="33"/>
        <v>-548.6234410321739</v>
      </c>
      <c r="BK23" s="242">
        <f t="shared" ca="1" si="33"/>
        <v>-550.59616694969634</v>
      </c>
      <c r="BL23" s="242">
        <f t="shared" ca="1" si="33"/>
        <v>-550.59616694969634</v>
      </c>
      <c r="BM23" s="242">
        <f t="shared" ca="1" si="33"/>
        <v>-552.57330107168684</v>
      </c>
      <c r="BN23" s="242">
        <f t="shared" ca="1" si="33"/>
        <v>-552.57330107168684</v>
      </c>
      <c r="BO23" s="242">
        <f t="shared" ca="1" si="33"/>
        <v>-554.55484823411496</v>
      </c>
      <c r="BP23" s="243">
        <f t="shared" ref="BP23:CM23" ca="1" si="34">Delta_t_Year-1950</f>
        <v>74.208333333333258</v>
      </c>
      <c r="BQ23" s="243">
        <f t="shared" ca="1" si="34"/>
        <v>74.291666666666742</v>
      </c>
      <c r="BR23" s="243">
        <f t="shared" ca="1" si="34"/>
        <v>74.291666666666742</v>
      </c>
      <c r="BS23" s="243">
        <f t="shared" ca="1" si="34"/>
        <v>74.375</v>
      </c>
      <c r="BT23" s="243">
        <f t="shared" ca="1" si="34"/>
        <v>74.375</v>
      </c>
      <c r="BU23" s="243">
        <f t="shared" ca="1" si="34"/>
        <v>74.458333333333258</v>
      </c>
      <c r="BV23" s="243">
        <f t="shared" ca="1" si="34"/>
        <v>74.458333333333258</v>
      </c>
      <c r="BW23" s="243">
        <f t="shared" ca="1" si="34"/>
        <v>74.541666666666742</v>
      </c>
      <c r="BX23" s="243">
        <f t="shared" ca="1" si="34"/>
        <v>74.541666666666742</v>
      </c>
      <c r="BY23" s="243">
        <f t="shared" ca="1" si="34"/>
        <v>74.625</v>
      </c>
      <c r="BZ23" s="243">
        <f t="shared" ca="1" si="34"/>
        <v>74.625</v>
      </c>
      <c r="CA23" s="243">
        <f t="shared" ca="1" si="34"/>
        <v>74.708333333333258</v>
      </c>
      <c r="CB23" s="243">
        <f t="shared" ca="1" si="34"/>
        <v>74.708333333333258</v>
      </c>
      <c r="CC23" s="243">
        <f t="shared" ca="1" si="34"/>
        <v>74.791666666666742</v>
      </c>
      <c r="CD23" s="243">
        <f t="shared" ca="1" si="34"/>
        <v>74.791666666666742</v>
      </c>
      <c r="CE23" s="243">
        <f t="shared" ca="1" si="34"/>
        <v>74.875</v>
      </c>
      <c r="CF23" s="243">
        <f t="shared" ca="1" si="34"/>
        <v>74.875</v>
      </c>
      <c r="CG23" s="243">
        <f t="shared" ca="1" si="34"/>
        <v>74.958333333333258</v>
      </c>
      <c r="CH23" s="243">
        <f t="shared" ca="1" si="34"/>
        <v>74.958333333333258</v>
      </c>
      <c r="CI23" s="243">
        <f t="shared" ca="1" si="34"/>
        <v>75.041666666666742</v>
      </c>
      <c r="CJ23" s="243">
        <f t="shared" ca="1" si="34"/>
        <v>75.041666666666742</v>
      </c>
      <c r="CK23" s="243">
        <f t="shared" ca="1" si="34"/>
        <v>75.125</v>
      </c>
      <c r="CL23" s="243">
        <f t="shared" ca="1" si="34"/>
        <v>75.125</v>
      </c>
      <c r="CM23" s="243">
        <f t="shared" ca="1" si="34"/>
        <v>75.208333333333258</v>
      </c>
      <c r="CN23" s="244"/>
    </row>
    <row r="24" spans="2:108" ht="40.35" customHeight="1" x14ac:dyDescent="0.1">
      <c r="B24" s="231"/>
      <c r="D24" s="192" t="str">
        <f t="shared" si="0"/>
        <v>雨水</v>
      </c>
      <c r="E24" s="193">
        <f t="shared" ca="1" si="1"/>
        <v>45706.754741082899</v>
      </c>
      <c r="F24" s="232"/>
      <c r="G24" s="232"/>
      <c r="H24" s="233" t="s">
        <v>579</v>
      </c>
      <c r="I24" s="234">
        <f t="shared" ca="1" si="5"/>
        <v>2.3275801731558703</v>
      </c>
      <c r="J24" s="235">
        <f t="shared" ca="1" si="6"/>
        <v>231.3635006846857</v>
      </c>
      <c r="K24" s="236">
        <f t="shared" ca="1" si="7"/>
        <v>2460545.1181200999</v>
      </c>
      <c r="L24" s="237">
        <f t="shared" ca="1" si="8"/>
        <v>2460545.4552518283</v>
      </c>
      <c r="M24" s="238">
        <f t="shared" ca="1" si="9"/>
        <v>4.6569583234940546E-3</v>
      </c>
      <c r="N24" s="238">
        <f t="shared" ca="1" si="10"/>
        <v>74.179863764562498</v>
      </c>
      <c r="O24" s="239">
        <f t="shared" ca="1" si="11"/>
        <v>45526.955251828302</v>
      </c>
      <c r="P24" s="240">
        <f t="shared" ca="1" si="12"/>
        <v>455.27843015375475</v>
      </c>
      <c r="Q24" s="241">
        <f t="shared" ref="Q24:Z37" ca="1" si="35">Q$11*COS((Q$12+Q$13*二分點_T)*PI()/180)</f>
        <v>71.268322447246106</v>
      </c>
      <c r="R24" s="241">
        <f t="shared" ca="1" si="35"/>
        <v>-202.99999986085652</v>
      </c>
      <c r="S24" s="241">
        <f t="shared" ca="1" si="35"/>
        <v>193.94176906811308</v>
      </c>
      <c r="T24" s="241">
        <f t="shared" ca="1" si="35"/>
        <v>107.05951716634472</v>
      </c>
      <c r="U24" s="241">
        <f t="shared" ca="1" si="35"/>
        <v>153.30259567779891</v>
      </c>
      <c r="V24" s="241">
        <f t="shared" ca="1" si="35"/>
        <v>104.61581099582249</v>
      </c>
      <c r="W24" s="241">
        <f t="shared" ca="1" si="35"/>
        <v>-2.5855105589917575</v>
      </c>
      <c r="X24" s="241">
        <f t="shared" ca="1" si="35"/>
        <v>60.282471298384102</v>
      </c>
      <c r="Y24" s="241">
        <f t="shared" ca="1" si="35"/>
        <v>45.472337896376665</v>
      </c>
      <c r="Z24" s="241">
        <f t="shared" ca="1" si="35"/>
        <v>-49.342799216318632</v>
      </c>
      <c r="AA24" s="241">
        <f t="shared" ref="AA24:AN37" ca="1" si="36">AA$11*COS((AA$12+AA$13*二分點_T)*PI()/180)</f>
        <v>46.855429120526075</v>
      </c>
      <c r="AB24" s="241">
        <f t="shared" ca="1" si="36"/>
        <v>-36.486370445726024</v>
      </c>
      <c r="AC24" s="241">
        <f t="shared" ca="1" si="36"/>
        <v>20.794339880433007</v>
      </c>
      <c r="AD24" s="241">
        <f t="shared" ca="1" si="36"/>
        <v>-43.995192787666888</v>
      </c>
      <c r="AE24" s="241">
        <f t="shared" ca="1" si="36"/>
        <v>7.0984490341256015</v>
      </c>
      <c r="AF24" s="241">
        <f t="shared" ca="1" si="36"/>
        <v>-8.6122646399007543</v>
      </c>
      <c r="AG24" s="241">
        <f t="shared" ca="1" si="36"/>
        <v>15.150195272099459</v>
      </c>
      <c r="AH24" s="241">
        <f t="shared" ca="1" si="36"/>
        <v>-12.985932772308647</v>
      </c>
      <c r="AI24" s="241">
        <f t="shared" ca="1" si="36"/>
        <v>12.56963642968867</v>
      </c>
      <c r="AJ24" s="241">
        <f t="shared" ca="1" si="36"/>
        <v>0.52036098632948069</v>
      </c>
      <c r="AK24" s="241">
        <f t="shared" ca="1" si="36"/>
        <v>-6.8127866116841078</v>
      </c>
      <c r="AL24" s="241">
        <f t="shared" ca="1" si="36"/>
        <v>-4.0515308348547672</v>
      </c>
      <c r="AM24" s="241">
        <f t="shared" ca="1" si="36"/>
        <v>-8.830751972039657</v>
      </c>
      <c r="AN24" s="241">
        <f t="shared" ca="1" si="36"/>
        <v>-6.9496654191857967</v>
      </c>
      <c r="AP24" s="229">
        <v>1961</v>
      </c>
      <c r="AQ24" s="229" t="s">
        <v>580</v>
      </c>
      <c r="AR24" s="242">
        <f t="shared" ref="AR24:BO24" ca="1" si="37">45.45+1.067*BP24-BP24^2/260-BP24^3/718</f>
        <v>-77.313467895211616</v>
      </c>
      <c r="AS24" s="242">
        <f t="shared" ca="1" si="37"/>
        <v>-78.100677130887689</v>
      </c>
      <c r="AT24" s="242">
        <f t="shared" ca="1" si="37"/>
        <v>-78.100677130887689</v>
      </c>
      <c r="AU24" s="242">
        <f t="shared" ca="1" si="37"/>
        <v>-78.890800258128877</v>
      </c>
      <c r="AV24" s="242">
        <f t="shared" ca="1" si="37"/>
        <v>-78.890800258128877</v>
      </c>
      <c r="AW24" s="242">
        <f t="shared" ca="1" si="37"/>
        <v>-79.683842112901445</v>
      </c>
      <c r="AX24" s="242">
        <f t="shared" ca="1" si="37"/>
        <v>-79.683842112901445</v>
      </c>
      <c r="AY24" s="242">
        <f t="shared" ca="1" si="37"/>
        <v>-80.479807531171588</v>
      </c>
      <c r="AZ24" s="242">
        <f t="shared" ca="1" si="37"/>
        <v>-80.479807531171588</v>
      </c>
      <c r="BA24" s="242">
        <f t="shared" ca="1" si="37"/>
        <v>-81.27870134889919</v>
      </c>
      <c r="BB24" s="242">
        <f t="shared" ca="1" si="37"/>
        <v>-81.27870134889919</v>
      </c>
      <c r="BC24" s="242">
        <f t="shared" ca="1" si="37"/>
        <v>-82.08052840205039</v>
      </c>
      <c r="BD24" s="242">
        <f t="shared" ca="1" si="37"/>
        <v>-82.08052840205039</v>
      </c>
      <c r="BE24" s="242">
        <f t="shared" ca="1" si="37"/>
        <v>-82.885293526591596</v>
      </c>
      <c r="BF24" s="242">
        <f t="shared" ca="1" si="37"/>
        <v>-82.885293526591596</v>
      </c>
      <c r="BG24" s="242">
        <f t="shared" ca="1" si="37"/>
        <v>-83.693001558482408</v>
      </c>
      <c r="BH24" s="242">
        <f t="shared" ca="1" si="37"/>
        <v>-83.693001558482408</v>
      </c>
      <c r="BI24" s="242">
        <f t="shared" ca="1" si="37"/>
        <v>-84.503657333689219</v>
      </c>
      <c r="BJ24" s="242">
        <f t="shared" ca="1" si="37"/>
        <v>-84.503657333689219</v>
      </c>
      <c r="BK24" s="242">
        <f t="shared" ca="1" si="37"/>
        <v>-85.317265688178267</v>
      </c>
      <c r="BL24" s="242">
        <f t="shared" ca="1" si="37"/>
        <v>-85.317265688178267</v>
      </c>
      <c r="BM24" s="242">
        <f t="shared" ca="1" si="37"/>
        <v>-86.133831457909253</v>
      </c>
      <c r="BN24" s="242">
        <f t="shared" ca="1" si="37"/>
        <v>-86.133831457909253</v>
      </c>
      <c r="BO24" s="242">
        <f t="shared" ca="1" si="37"/>
        <v>-86.953359478848469</v>
      </c>
      <c r="BP24" s="243">
        <f t="shared" ref="BP24:CM24" ca="1" si="38">Delta_t_Year-1975</f>
        <v>49.208333333333258</v>
      </c>
      <c r="BQ24" s="243">
        <f t="shared" ca="1" si="38"/>
        <v>49.291666666666742</v>
      </c>
      <c r="BR24" s="243">
        <f t="shared" ca="1" si="38"/>
        <v>49.291666666666742</v>
      </c>
      <c r="BS24" s="243">
        <f t="shared" ca="1" si="38"/>
        <v>49.375</v>
      </c>
      <c r="BT24" s="243">
        <f t="shared" ca="1" si="38"/>
        <v>49.375</v>
      </c>
      <c r="BU24" s="243">
        <f t="shared" ca="1" si="38"/>
        <v>49.458333333333258</v>
      </c>
      <c r="BV24" s="243">
        <f t="shared" ca="1" si="38"/>
        <v>49.458333333333258</v>
      </c>
      <c r="BW24" s="243">
        <f t="shared" ca="1" si="38"/>
        <v>49.541666666666742</v>
      </c>
      <c r="BX24" s="243">
        <f t="shared" ca="1" si="38"/>
        <v>49.541666666666742</v>
      </c>
      <c r="BY24" s="243">
        <f t="shared" ca="1" si="38"/>
        <v>49.625</v>
      </c>
      <c r="BZ24" s="243">
        <f t="shared" ca="1" si="38"/>
        <v>49.625</v>
      </c>
      <c r="CA24" s="243">
        <f t="shared" ca="1" si="38"/>
        <v>49.708333333333258</v>
      </c>
      <c r="CB24" s="243">
        <f t="shared" ca="1" si="38"/>
        <v>49.708333333333258</v>
      </c>
      <c r="CC24" s="243">
        <f t="shared" ca="1" si="38"/>
        <v>49.791666666666742</v>
      </c>
      <c r="CD24" s="243">
        <f t="shared" ca="1" si="38"/>
        <v>49.791666666666742</v>
      </c>
      <c r="CE24" s="243">
        <f t="shared" ca="1" si="38"/>
        <v>49.875</v>
      </c>
      <c r="CF24" s="243">
        <f t="shared" ca="1" si="38"/>
        <v>49.875</v>
      </c>
      <c r="CG24" s="243">
        <f t="shared" ca="1" si="38"/>
        <v>49.958333333333258</v>
      </c>
      <c r="CH24" s="243">
        <f t="shared" ca="1" si="38"/>
        <v>49.958333333333258</v>
      </c>
      <c r="CI24" s="243">
        <f t="shared" ca="1" si="38"/>
        <v>50.041666666666742</v>
      </c>
      <c r="CJ24" s="243">
        <f t="shared" ca="1" si="38"/>
        <v>50.041666666666742</v>
      </c>
      <c r="CK24" s="243">
        <f t="shared" ca="1" si="38"/>
        <v>50.125</v>
      </c>
      <c r="CL24" s="243">
        <f t="shared" ca="1" si="38"/>
        <v>50.125</v>
      </c>
      <c r="CM24" s="243">
        <f t="shared" ca="1" si="38"/>
        <v>50.208333333333258</v>
      </c>
      <c r="CN24" s="244"/>
    </row>
    <row r="25" spans="2:108" ht="40.35" customHeight="1" x14ac:dyDescent="0.1">
      <c r="B25" s="231"/>
      <c r="D25" s="192" t="str">
        <f t="shared" si="0"/>
        <v>驚蟄</v>
      </c>
      <c r="E25" s="193">
        <f t="shared" ca="1" si="1"/>
        <v>45721.671848032624</v>
      </c>
      <c r="F25" s="232"/>
      <c r="G25" s="232"/>
      <c r="H25" s="233" t="s">
        <v>52</v>
      </c>
      <c r="I25" s="234">
        <f t="shared" ca="1" si="5"/>
        <v>2.0657807853567212</v>
      </c>
      <c r="J25" s="235">
        <f t="shared" ca="1" si="6"/>
        <v>246.87678236452228</v>
      </c>
      <c r="K25" s="236">
        <f t="shared" ca="1" si="7"/>
        <v>2460560.6314017801</v>
      </c>
      <c r="L25" s="237">
        <f t="shared" ca="1" si="8"/>
        <v>2460560.9664906128</v>
      </c>
      <c r="M25" s="238">
        <f t="shared" ca="1" si="9"/>
        <v>2.6146374788330079E-3</v>
      </c>
      <c r="N25" s="238">
        <f t="shared" ca="1" si="10"/>
        <v>74.22953810967357</v>
      </c>
      <c r="O25" s="239">
        <f t="shared" ca="1" si="11"/>
        <v>45542.466490612831</v>
      </c>
      <c r="P25" s="240">
        <f t="shared" ca="1" si="12"/>
        <v>257.44630889968607</v>
      </c>
      <c r="Q25" s="241">
        <f t="shared" ca="1" si="35"/>
        <v>64.382960423075218</v>
      </c>
      <c r="R25" s="241">
        <f t="shared" ca="1" si="35"/>
        <v>-196.97098097872595</v>
      </c>
      <c r="S25" s="241">
        <f t="shared" ca="1" si="35"/>
        <v>193.94843810527695</v>
      </c>
      <c r="T25" s="241">
        <f t="shared" ca="1" si="35"/>
        <v>-129.03142186747866</v>
      </c>
      <c r="U25" s="241">
        <f t="shared" ca="1" si="35"/>
        <v>135.37299776305511</v>
      </c>
      <c r="V25" s="241">
        <f t="shared" ca="1" si="35"/>
        <v>117.60032874066232</v>
      </c>
      <c r="W25" s="241">
        <f t="shared" ca="1" si="35"/>
        <v>33.848505039724415</v>
      </c>
      <c r="X25" s="241">
        <f t="shared" ca="1" si="35"/>
        <v>61.232704538973543</v>
      </c>
      <c r="Y25" s="241">
        <f t="shared" ca="1" si="35"/>
        <v>48.933051510198332</v>
      </c>
      <c r="Z25" s="241">
        <f t="shared" ca="1" si="35"/>
        <v>-55.349917067286071</v>
      </c>
      <c r="AA25" s="241">
        <f t="shared" ca="1" si="36"/>
        <v>46.880589152241065</v>
      </c>
      <c r="AB25" s="241">
        <f t="shared" ca="1" si="36"/>
        <v>-35.903059841378436</v>
      </c>
      <c r="AC25" s="241">
        <f t="shared" ca="1" si="36"/>
        <v>11.503010768005408</v>
      </c>
      <c r="AD25" s="241">
        <f t="shared" ca="1" si="36"/>
        <v>-42.646210089551552</v>
      </c>
      <c r="AE25" s="241">
        <f t="shared" ca="1" si="36"/>
        <v>6.168598430448152</v>
      </c>
      <c r="AF25" s="241">
        <f t="shared" ca="1" si="36"/>
        <v>3.3927239721273428E-2</v>
      </c>
      <c r="AG25" s="241">
        <f t="shared" ca="1" si="36"/>
        <v>15.402303212844991</v>
      </c>
      <c r="AH25" s="241">
        <f t="shared" ca="1" si="36"/>
        <v>-7.3982749234381799</v>
      </c>
      <c r="AI25" s="241">
        <f t="shared" ca="1" si="36"/>
        <v>10.806195887788231</v>
      </c>
      <c r="AJ25" s="241">
        <f t="shared" ca="1" si="36"/>
        <v>-0.77571209026186416</v>
      </c>
      <c r="AK25" s="241">
        <f t="shared" ca="1" si="36"/>
        <v>-4.3062506506737428</v>
      </c>
      <c r="AL25" s="241">
        <f t="shared" ca="1" si="36"/>
        <v>-1.0378225396740413</v>
      </c>
      <c r="AM25" s="241">
        <f t="shared" ca="1" si="36"/>
        <v>-8.8461273589657896</v>
      </c>
      <c r="AN25" s="241">
        <f t="shared" ca="1" si="36"/>
        <v>-6.401524504894585</v>
      </c>
      <c r="AP25" s="229">
        <v>1986</v>
      </c>
      <c r="AQ25" s="229" t="s">
        <v>581</v>
      </c>
      <c r="AR25" s="242">
        <f t="shared" ref="AR25:BO25" ca="1" si="39">63.86+0.3345*BP25-0.060374*BP25^2+0.0017275*BP25^3+0.000651814*BP25^4+0.00002373599*BP25^5</f>
        <v>482.29523458753988</v>
      </c>
      <c r="AS25" s="242">
        <f t="shared" ca="1" si="39"/>
        <v>488.85163200442582</v>
      </c>
      <c r="AT25" s="242">
        <f t="shared" ca="1" si="39"/>
        <v>488.85163200442582</v>
      </c>
      <c r="AU25" s="242">
        <f t="shared" ca="1" si="39"/>
        <v>495.48824676479438</v>
      </c>
      <c r="AV25" s="242">
        <f t="shared" ca="1" si="39"/>
        <v>495.48824676479438</v>
      </c>
      <c r="AW25" s="242">
        <f t="shared" ca="1" si="39"/>
        <v>502.20579315538373</v>
      </c>
      <c r="AX25" s="242">
        <f t="shared" ca="1" si="39"/>
        <v>502.20579315538373</v>
      </c>
      <c r="AY25" s="242">
        <f t="shared" ca="1" si="39"/>
        <v>509.00498956552326</v>
      </c>
      <c r="AZ25" s="242">
        <f t="shared" ca="1" si="39"/>
        <v>509.00498956552326</v>
      </c>
      <c r="BA25" s="242">
        <f t="shared" ca="1" si="39"/>
        <v>515.88655849852353</v>
      </c>
      <c r="BB25" s="242">
        <f t="shared" ca="1" si="39"/>
        <v>515.88655849852353</v>
      </c>
      <c r="BC25" s="242">
        <f t="shared" ca="1" si="39"/>
        <v>522.85122658323348</v>
      </c>
      <c r="BD25" s="242">
        <f t="shared" ca="1" si="39"/>
        <v>522.85122658323348</v>
      </c>
      <c r="BE25" s="242">
        <f t="shared" ca="1" si="39"/>
        <v>529.89972458543411</v>
      </c>
      <c r="BF25" s="242">
        <f t="shared" ca="1" si="39"/>
        <v>529.89972458543411</v>
      </c>
      <c r="BG25" s="242">
        <f t="shared" ca="1" si="39"/>
        <v>537.03278741922509</v>
      </c>
      <c r="BH25" s="242">
        <f t="shared" ca="1" si="39"/>
        <v>537.03278741922509</v>
      </c>
      <c r="BI25" s="242">
        <f t="shared" ca="1" si="39"/>
        <v>544.2511541585875</v>
      </c>
      <c r="BJ25" s="242">
        <f t="shared" ca="1" si="39"/>
        <v>544.2511541585875</v>
      </c>
      <c r="BK25" s="242">
        <f t="shared" ca="1" si="39"/>
        <v>551.55556804877415</v>
      </c>
      <c r="BL25" s="242">
        <f t="shared" ca="1" si="39"/>
        <v>551.55556804877415</v>
      </c>
      <c r="BM25" s="242">
        <f t="shared" ca="1" si="39"/>
        <v>558.9467765176953</v>
      </c>
      <c r="BN25" s="242">
        <f t="shared" ca="1" si="39"/>
        <v>558.9467765176953</v>
      </c>
      <c r="BO25" s="242">
        <f t="shared" ca="1" si="39"/>
        <v>566.42553118748435</v>
      </c>
      <c r="BP25" s="243">
        <f t="shared" ref="BP25:BY26" ca="1" si="40">Delta_t_Year-2000</f>
        <v>24.208333333333258</v>
      </c>
      <c r="BQ25" s="243">
        <f t="shared" ca="1" si="40"/>
        <v>24.291666666666742</v>
      </c>
      <c r="BR25" s="243">
        <f t="shared" ca="1" si="40"/>
        <v>24.291666666666742</v>
      </c>
      <c r="BS25" s="243">
        <f t="shared" ca="1" si="40"/>
        <v>24.375</v>
      </c>
      <c r="BT25" s="243">
        <f t="shared" ca="1" si="40"/>
        <v>24.375</v>
      </c>
      <c r="BU25" s="243">
        <f t="shared" ca="1" si="40"/>
        <v>24.458333333333258</v>
      </c>
      <c r="BV25" s="243">
        <f t="shared" ca="1" si="40"/>
        <v>24.458333333333258</v>
      </c>
      <c r="BW25" s="243">
        <f t="shared" ca="1" si="40"/>
        <v>24.541666666666742</v>
      </c>
      <c r="BX25" s="243">
        <f t="shared" ca="1" si="40"/>
        <v>24.541666666666742</v>
      </c>
      <c r="BY25" s="243">
        <f t="shared" ca="1" si="40"/>
        <v>24.625</v>
      </c>
      <c r="BZ25" s="243">
        <f t="shared" ref="BZ25:CM26" ca="1" si="41">Delta_t_Year-2000</f>
        <v>24.625</v>
      </c>
      <c r="CA25" s="243">
        <f t="shared" ca="1" si="41"/>
        <v>24.708333333333258</v>
      </c>
      <c r="CB25" s="243">
        <f t="shared" ca="1" si="41"/>
        <v>24.708333333333258</v>
      </c>
      <c r="CC25" s="243">
        <f t="shared" ca="1" si="41"/>
        <v>24.791666666666742</v>
      </c>
      <c r="CD25" s="243">
        <f t="shared" ca="1" si="41"/>
        <v>24.791666666666742</v>
      </c>
      <c r="CE25" s="243">
        <f t="shared" ca="1" si="41"/>
        <v>24.875</v>
      </c>
      <c r="CF25" s="243">
        <f t="shared" ca="1" si="41"/>
        <v>24.875</v>
      </c>
      <c r="CG25" s="243">
        <f t="shared" ca="1" si="41"/>
        <v>24.958333333333258</v>
      </c>
      <c r="CH25" s="243">
        <f t="shared" ca="1" si="41"/>
        <v>24.958333333333258</v>
      </c>
      <c r="CI25" s="243">
        <f t="shared" ca="1" si="41"/>
        <v>25.041666666666742</v>
      </c>
      <c r="CJ25" s="243">
        <f t="shared" ca="1" si="41"/>
        <v>25.041666666666742</v>
      </c>
      <c r="CK25" s="243">
        <f t="shared" ca="1" si="41"/>
        <v>25.125</v>
      </c>
      <c r="CL25" s="243">
        <f t="shared" ca="1" si="41"/>
        <v>25.125</v>
      </c>
      <c r="CM25" s="243">
        <f t="shared" ca="1" si="41"/>
        <v>25.208333333333258</v>
      </c>
      <c r="CN25" s="244"/>
    </row>
    <row r="26" spans="2:108" ht="40.35" customHeight="1" x14ac:dyDescent="0.1">
      <c r="B26" s="231"/>
      <c r="F26" s="232"/>
      <c r="G26" s="232"/>
      <c r="H26" s="233" t="s">
        <v>53</v>
      </c>
      <c r="I26" s="234">
        <f t="shared" ca="1" si="5"/>
        <v>1.8039813975575711</v>
      </c>
      <c r="J26" s="235">
        <f t="shared" ca="1" si="6"/>
        <v>262.27092430731375</v>
      </c>
      <c r="K26" s="236">
        <f t="shared" ca="1" si="7"/>
        <v>2460576.0255437228</v>
      </c>
      <c r="L26" s="237">
        <f t="shared" ca="1" si="8"/>
        <v>2460576.3636733815</v>
      </c>
      <c r="M26" s="238">
        <f t="shared" ca="1" si="9"/>
        <v>5.6554633267978929E-3</v>
      </c>
      <c r="N26" s="238">
        <f t="shared" ca="1" si="10"/>
        <v>74.22953810967357</v>
      </c>
      <c r="O26" s="239">
        <f t="shared" ca="1" si="11"/>
        <v>45557.863673381507</v>
      </c>
      <c r="P26" s="240">
        <f t="shared" ca="1" si="12"/>
        <v>561.44496014835124</v>
      </c>
      <c r="Q26" s="241">
        <f t="shared" ca="1" si="35"/>
        <v>57.537390604737965</v>
      </c>
      <c r="R26" s="241">
        <f t="shared" ca="1" si="35"/>
        <v>-179.41705064378246</v>
      </c>
      <c r="S26" s="241">
        <f t="shared" ca="1" si="35"/>
        <v>193.95505163232335</v>
      </c>
      <c r="T26" s="241">
        <f t="shared" ca="1" si="35"/>
        <v>145.00069717390375</v>
      </c>
      <c r="U26" s="241">
        <f t="shared" ca="1" si="35"/>
        <v>102.79557548579075</v>
      </c>
      <c r="V26" s="241">
        <f t="shared" ca="1" si="35"/>
        <v>127.25411164757003</v>
      </c>
      <c r="W26" s="241">
        <f t="shared" ca="1" si="35"/>
        <v>62.187309038514314</v>
      </c>
      <c r="X26" s="241">
        <f t="shared" ca="1" si="35"/>
        <v>62.145006292654429</v>
      </c>
      <c r="Y26" s="241">
        <f t="shared" ca="1" si="35"/>
        <v>52.150204526130786</v>
      </c>
      <c r="Z26" s="241">
        <f t="shared" ca="1" si="35"/>
        <v>-57.910931537481638</v>
      </c>
      <c r="AA26" s="241">
        <f t="shared" ca="1" si="36"/>
        <v>46.905498141701493</v>
      </c>
      <c r="AB26" s="241">
        <f t="shared" ca="1" si="36"/>
        <v>-35.314079618108948</v>
      </c>
      <c r="AC26" s="241">
        <f t="shared" ca="1" si="36"/>
        <v>1.724390890558668</v>
      </c>
      <c r="AD26" s="241">
        <f t="shared" ca="1" si="36"/>
        <v>-39.010880784885941</v>
      </c>
      <c r="AE26" s="241">
        <f t="shared" ca="1" si="36"/>
        <v>5.2392711617916241</v>
      </c>
      <c r="AF26" s="241">
        <f t="shared" ca="1" si="36"/>
        <v>8.6110593728823446</v>
      </c>
      <c r="AG26" s="241">
        <f t="shared" ca="1" si="36"/>
        <v>15.635061495466971</v>
      </c>
      <c r="AH26" s="241">
        <f t="shared" ca="1" si="36"/>
        <v>-0.28865288794891097</v>
      </c>
      <c r="AI26" s="241">
        <f t="shared" ca="1" si="36"/>
        <v>8.4784987245752017</v>
      </c>
      <c r="AJ26" s="241">
        <f t="shared" ca="1" si="36"/>
        <v>-2.0529236789089969</v>
      </c>
      <c r="AK26" s="241">
        <f t="shared" ca="1" si="36"/>
        <v>-1.5811833175727057</v>
      </c>
      <c r="AL26" s="241">
        <f t="shared" ca="1" si="36"/>
        <v>2.0210649671223315</v>
      </c>
      <c r="AM26" s="241">
        <f t="shared" ca="1" si="36"/>
        <v>-8.8606669793332085</v>
      </c>
      <c r="AN26" s="241">
        <f t="shared" ca="1" si="36"/>
        <v>-5.7588615593500032</v>
      </c>
      <c r="AP26" s="229">
        <v>2005</v>
      </c>
      <c r="AQ26" s="229" t="s">
        <v>582</v>
      </c>
      <c r="AR26" s="242">
        <f t="shared" ref="AR26:BO26" ca="1" si="42">62.92+0.32217*BP26+0.005589*BP26^2</f>
        <v>73.994595328124959</v>
      </c>
      <c r="AS26" s="242">
        <f t="shared" ca="1" si="42"/>
        <v>74.044031703125043</v>
      </c>
      <c r="AT26" s="242">
        <f t="shared" ca="1" si="42"/>
        <v>74.044031703125043</v>
      </c>
      <c r="AU26" s="242">
        <f t="shared" ca="1" si="42"/>
        <v>74.093545703125002</v>
      </c>
      <c r="AV26" s="242">
        <f t="shared" ca="1" si="42"/>
        <v>74.093545703125002</v>
      </c>
      <c r="AW26" s="242">
        <f t="shared" ca="1" si="42"/>
        <v>74.143137328124965</v>
      </c>
      <c r="AX26" s="242">
        <f t="shared" ca="1" si="42"/>
        <v>74.143137328124965</v>
      </c>
      <c r="AY26" s="242">
        <f t="shared" ca="1" si="42"/>
        <v>74.192806578125044</v>
      </c>
      <c r="AZ26" s="242">
        <f t="shared" ca="1" si="42"/>
        <v>74.192806578125044</v>
      </c>
      <c r="BA26" s="242">
        <f t="shared" ca="1" si="42"/>
        <v>74.242553453124998</v>
      </c>
      <c r="BB26" s="242">
        <f t="shared" ca="1" si="42"/>
        <v>74.242553453124998</v>
      </c>
      <c r="BC26" s="242">
        <f t="shared" ca="1" si="42"/>
        <v>74.292377953124955</v>
      </c>
      <c r="BD26" s="242">
        <f t="shared" ca="1" si="42"/>
        <v>74.292377953124955</v>
      </c>
      <c r="BE26" s="242">
        <f t="shared" ca="1" si="42"/>
        <v>74.342280078125043</v>
      </c>
      <c r="BF26" s="242">
        <f t="shared" ca="1" si="42"/>
        <v>74.342280078125043</v>
      </c>
      <c r="BG26" s="242">
        <f t="shared" ca="1" si="42"/>
        <v>74.392259828124992</v>
      </c>
      <c r="BH26" s="242">
        <f t="shared" ca="1" si="42"/>
        <v>74.392259828124992</v>
      </c>
      <c r="BI26" s="242">
        <f t="shared" ca="1" si="42"/>
        <v>74.442317203124958</v>
      </c>
      <c r="BJ26" s="242">
        <f t="shared" ca="1" si="42"/>
        <v>74.442317203124958</v>
      </c>
      <c r="BK26" s="242">
        <f t="shared" ca="1" si="42"/>
        <v>74.492452203125055</v>
      </c>
      <c r="BL26" s="242">
        <f t="shared" ca="1" si="42"/>
        <v>74.492452203125055</v>
      </c>
      <c r="BM26" s="242">
        <f t="shared" ca="1" si="42"/>
        <v>74.542664828124998</v>
      </c>
      <c r="BN26" s="242">
        <f t="shared" ca="1" si="42"/>
        <v>74.542664828124998</v>
      </c>
      <c r="BO26" s="242">
        <f t="shared" ca="1" si="42"/>
        <v>74.592955078124959</v>
      </c>
      <c r="BP26" s="243">
        <f t="shared" ca="1" si="40"/>
        <v>24.208333333333258</v>
      </c>
      <c r="BQ26" s="243">
        <f t="shared" ca="1" si="40"/>
        <v>24.291666666666742</v>
      </c>
      <c r="BR26" s="243">
        <f t="shared" ca="1" si="40"/>
        <v>24.291666666666742</v>
      </c>
      <c r="BS26" s="243">
        <f t="shared" ca="1" si="40"/>
        <v>24.375</v>
      </c>
      <c r="BT26" s="243">
        <f t="shared" ca="1" si="40"/>
        <v>24.375</v>
      </c>
      <c r="BU26" s="243">
        <f t="shared" ca="1" si="40"/>
        <v>24.458333333333258</v>
      </c>
      <c r="BV26" s="243">
        <f t="shared" ca="1" si="40"/>
        <v>24.458333333333258</v>
      </c>
      <c r="BW26" s="243">
        <f t="shared" ca="1" si="40"/>
        <v>24.541666666666742</v>
      </c>
      <c r="BX26" s="243">
        <f t="shared" ca="1" si="40"/>
        <v>24.541666666666742</v>
      </c>
      <c r="BY26" s="243">
        <f t="shared" ca="1" si="40"/>
        <v>24.625</v>
      </c>
      <c r="BZ26" s="243">
        <f t="shared" ca="1" si="41"/>
        <v>24.625</v>
      </c>
      <c r="CA26" s="243">
        <f t="shared" ca="1" si="41"/>
        <v>24.708333333333258</v>
      </c>
      <c r="CB26" s="243">
        <f t="shared" ca="1" si="41"/>
        <v>24.708333333333258</v>
      </c>
      <c r="CC26" s="243">
        <f t="shared" ca="1" si="41"/>
        <v>24.791666666666742</v>
      </c>
      <c r="CD26" s="243">
        <f t="shared" ca="1" si="41"/>
        <v>24.791666666666742</v>
      </c>
      <c r="CE26" s="243">
        <f t="shared" ca="1" si="41"/>
        <v>24.875</v>
      </c>
      <c r="CF26" s="243">
        <f t="shared" ca="1" si="41"/>
        <v>24.875</v>
      </c>
      <c r="CG26" s="243">
        <f t="shared" ca="1" si="41"/>
        <v>24.958333333333258</v>
      </c>
      <c r="CH26" s="243">
        <f t="shared" ca="1" si="41"/>
        <v>24.958333333333258</v>
      </c>
      <c r="CI26" s="243">
        <f t="shared" ca="1" si="41"/>
        <v>25.041666666666742</v>
      </c>
      <c r="CJ26" s="243">
        <f t="shared" ca="1" si="41"/>
        <v>25.041666666666742</v>
      </c>
      <c r="CK26" s="243">
        <f t="shared" ca="1" si="41"/>
        <v>25.125</v>
      </c>
      <c r="CL26" s="243">
        <f t="shared" ca="1" si="41"/>
        <v>25.125</v>
      </c>
      <c r="CM26" s="243">
        <f t="shared" ca="1" si="41"/>
        <v>25.208333333333258</v>
      </c>
      <c r="CN26" s="244"/>
      <c r="CO26" s="199" t="s">
        <v>583</v>
      </c>
    </row>
    <row r="27" spans="2:108" ht="40.35" customHeight="1" x14ac:dyDescent="0.1">
      <c r="B27" s="231"/>
      <c r="F27" s="232"/>
      <c r="G27" s="232"/>
      <c r="H27" s="233" t="s">
        <v>54</v>
      </c>
      <c r="I27" s="234">
        <f t="shared" ca="1" si="5"/>
        <v>1.542182009758422</v>
      </c>
      <c r="J27" s="235">
        <f t="shared" ca="1" si="6"/>
        <v>277.5349223258865</v>
      </c>
      <c r="K27" s="236">
        <f t="shared" ca="1" si="7"/>
        <v>2460591.2895417414</v>
      </c>
      <c r="L27" s="237">
        <f t="shared" ca="1" si="8"/>
        <v>2460591.6247603381</v>
      </c>
      <c r="M27" s="238">
        <f t="shared" ca="1" si="9"/>
        <v>2.7449772879896408E-3</v>
      </c>
      <c r="N27" s="238">
        <f t="shared" ca="1" si="10"/>
        <v>74.279289900173652</v>
      </c>
      <c r="O27" s="239">
        <f t="shared" ca="1" si="11"/>
        <v>45573.124760338105</v>
      </c>
      <c r="P27" s="240">
        <f t="shared" ca="1" si="12"/>
        <v>274.88846393166483</v>
      </c>
      <c r="Q27" s="241">
        <f t="shared" ca="1" si="35"/>
        <v>50.738190793214628</v>
      </c>
      <c r="R27" s="241">
        <f t="shared" ca="1" si="35"/>
        <v>-151.64197376154297</v>
      </c>
      <c r="S27" s="241">
        <f t="shared" ca="1" si="35"/>
        <v>193.96160502541218</v>
      </c>
      <c r="T27" s="241">
        <f t="shared" ca="1" si="35"/>
        <v>-155.8346487277619</v>
      </c>
      <c r="U27" s="241">
        <f t="shared" ca="1" si="35"/>
        <v>59.442890785394013</v>
      </c>
      <c r="V27" s="241">
        <f t="shared" ca="1" si="35"/>
        <v>133.38717412496467</v>
      </c>
      <c r="W27" s="241">
        <f t="shared" ca="1" si="35"/>
        <v>76.137619827908779</v>
      </c>
      <c r="X27" s="241">
        <f t="shared" ca="1" si="35"/>
        <v>63.019016599004203</v>
      </c>
      <c r="Y27" s="241">
        <f t="shared" ca="1" si="35"/>
        <v>55.112712029854208</v>
      </c>
      <c r="Z27" s="241">
        <f t="shared" ca="1" si="35"/>
        <v>-56.950677259685335</v>
      </c>
      <c r="AA27" s="241">
        <f t="shared" ca="1" si="36"/>
        <v>46.930139651651565</v>
      </c>
      <c r="AB27" s="241">
        <f t="shared" ca="1" si="36"/>
        <v>-34.720260017940937</v>
      </c>
      <c r="AC27" s="241">
        <f t="shared" ca="1" si="36"/>
        <v>-8.0550848849559831</v>
      </c>
      <c r="AD27" s="241">
        <f t="shared" ca="1" si="36"/>
        <v>-33.33938107531128</v>
      </c>
      <c r="AE27" s="241">
        <f t="shared" ca="1" si="36"/>
        <v>4.3122715857910805</v>
      </c>
      <c r="AF27" s="241">
        <f t="shared" ca="1" si="36"/>
        <v>15.063853946866352</v>
      </c>
      <c r="AG27" s="241">
        <f t="shared" ca="1" si="36"/>
        <v>15.848466132840025</v>
      </c>
      <c r="AH27" s="241">
        <f t="shared" ca="1" si="36"/>
        <v>6.825110423109372</v>
      </c>
      <c r="AI27" s="241">
        <f t="shared" ca="1" si="36"/>
        <v>5.72440431142254</v>
      </c>
      <c r="AJ27" s="241">
        <f t="shared" ca="1" si="36"/>
        <v>-3.2960915285132941</v>
      </c>
      <c r="AK27" s="241">
        <f t="shared" ca="1" si="36"/>
        <v>1.2070168651857573</v>
      </c>
      <c r="AL27" s="241">
        <f t="shared" ca="1" si="36"/>
        <v>4.9247486159103815</v>
      </c>
      <c r="AM27" s="241">
        <f t="shared" ca="1" si="36"/>
        <v>-8.8743766409762355</v>
      </c>
      <c r="AN27" s="241">
        <f t="shared" ca="1" si="36"/>
        <v>-5.0342628901771453</v>
      </c>
      <c r="AP27" s="229">
        <v>2050</v>
      </c>
      <c r="AQ27" s="229" t="s">
        <v>584</v>
      </c>
      <c r="AR27" s="242">
        <f t="shared" ref="AR27:BO27" ca="1" si="43">-20+32*(($B$1-1820)/100)^2-0.5628*(2150-$B$1)</f>
        <v>42.258400000000009</v>
      </c>
      <c r="AS27" s="242">
        <f t="shared" ca="1" si="43"/>
        <v>42.258400000000009</v>
      </c>
      <c r="AT27" s="242">
        <f t="shared" ca="1" si="43"/>
        <v>42.258400000000009</v>
      </c>
      <c r="AU27" s="242">
        <f t="shared" ca="1" si="43"/>
        <v>42.258400000000009</v>
      </c>
      <c r="AV27" s="242">
        <f t="shared" ca="1" si="43"/>
        <v>42.258400000000009</v>
      </c>
      <c r="AW27" s="242">
        <f t="shared" ca="1" si="43"/>
        <v>42.258400000000009</v>
      </c>
      <c r="AX27" s="242">
        <f t="shared" ca="1" si="43"/>
        <v>42.258400000000009</v>
      </c>
      <c r="AY27" s="242">
        <f t="shared" ca="1" si="43"/>
        <v>42.258400000000009</v>
      </c>
      <c r="AZ27" s="242">
        <f t="shared" ca="1" si="43"/>
        <v>42.258400000000009</v>
      </c>
      <c r="BA27" s="242">
        <f t="shared" ca="1" si="43"/>
        <v>42.258400000000009</v>
      </c>
      <c r="BB27" s="242">
        <f t="shared" ca="1" si="43"/>
        <v>42.258400000000009</v>
      </c>
      <c r="BC27" s="242">
        <f t="shared" ca="1" si="43"/>
        <v>42.258400000000009</v>
      </c>
      <c r="BD27" s="242">
        <f t="shared" ca="1" si="43"/>
        <v>42.258400000000009</v>
      </c>
      <c r="BE27" s="242">
        <f t="shared" ca="1" si="43"/>
        <v>42.258400000000009</v>
      </c>
      <c r="BF27" s="242">
        <f t="shared" ca="1" si="43"/>
        <v>42.258400000000009</v>
      </c>
      <c r="BG27" s="242">
        <f t="shared" ca="1" si="43"/>
        <v>42.258400000000009</v>
      </c>
      <c r="BH27" s="242">
        <f t="shared" ca="1" si="43"/>
        <v>42.258400000000009</v>
      </c>
      <c r="BI27" s="242">
        <f t="shared" ca="1" si="43"/>
        <v>42.258400000000009</v>
      </c>
      <c r="BJ27" s="242">
        <f t="shared" ca="1" si="43"/>
        <v>42.258400000000009</v>
      </c>
      <c r="BK27" s="242">
        <f t="shared" ca="1" si="43"/>
        <v>42.258400000000009</v>
      </c>
      <c r="BL27" s="242">
        <f t="shared" ca="1" si="43"/>
        <v>42.258400000000009</v>
      </c>
      <c r="BM27" s="242">
        <f t="shared" ca="1" si="43"/>
        <v>42.258400000000009</v>
      </c>
      <c r="BN27" s="242">
        <f t="shared" ca="1" si="43"/>
        <v>42.258400000000009</v>
      </c>
      <c r="BO27" s="242">
        <f t="shared" ca="1" si="43"/>
        <v>42.258400000000009</v>
      </c>
      <c r="BP27" s="243"/>
      <c r="BQ27" s="243"/>
      <c r="BR27" s="243"/>
      <c r="BS27" s="243"/>
      <c r="BT27" s="243"/>
      <c r="BU27" s="243"/>
      <c r="BV27" s="243"/>
      <c r="BW27" s="243"/>
      <c r="BX27" s="243"/>
      <c r="BY27" s="243"/>
      <c r="BZ27" s="243"/>
      <c r="CA27" s="243"/>
      <c r="CB27" s="243"/>
      <c r="CC27" s="243"/>
      <c r="CD27" s="243"/>
      <c r="CE27" s="243"/>
      <c r="CF27" s="243"/>
      <c r="CG27" s="243"/>
      <c r="CH27" s="243"/>
      <c r="CI27" s="243"/>
      <c r="CJ27" s="243"/>
      <c r="CK27" s="243"/>
      <c r="CL27" s="243"/>
      <c r="CM27" s="243"/>
      <c r="CN27" s="244"/>
    </row>
    <row r="28" spans="2:108" ht="40.35" customHeight="1" x14ac:dyDescent="0.1">
      <c r="B28" s="231"/>
      <c r="F28" s="232"/>
      <c r="G28" s="232"/>
      <c r="H28" s="233" t="s">
        <v>55</v>
      </c>
      <c r="I28" s="234">
        <f t="shared" ca="1" si="5"/>
        <v>1.2803826219592729</v>
      </c>
      <c r="J28" s="235">
        <f t="shared" ca="1" si="6"/>
        <v>292.66691252385408</v>
      </c>
      <c r="K28" s="236">
        <f t="shared" ca="1" si="7"/>
        <v>2460606.4215319394</v>
      </c>
      <c r="L28" s="237">
        <f t="shared" ca="1" si="8"/>
        <v>2460606.7598371576</v>
      </c>
      <c r="M28" s="238">
        <f t="shared" ca="1" si="9"/>
        <v>5.8315989541002462E-3</v>
      </c>
      <c r="N28" s="238">
        <f t="shared" ca="1" si="10"/>
        <v>74.279289900173652</v>
      </c>
      <c r="O28" s="239">
        <f t="shared" ca="1" si="11"/>
        <v>45588.259837157559</v>
      </c>
      <c r="P28" s="240">
        <f t="shared" ca="1" si="12"/>
        <v>589.03063562598004</v>
      </c>
      <c r="Q28" s="241">
        <f t="shared" ca="1" si="35"/>
        <v>43.987821868836569</v>
      </c>
      <c r="R28" s="241">
        <f t="shared" ca="1" si="35"/>
        <v>-115.49001798014756</v>
      </c>
      <c r="S28" s="241">
        <f t="shared" ca="1" si="35"/>
        <v>193.96809759247472</v>
      </c>
      <c r="T28" s="241">
        <f t="shared" ca="1" si="35"/>
        <v>162.68862911532813</v>
      </c>
      <c r="U28" s="241">
        <f t="shared" ca="1" si="35"/>
        <v>10.17567959821937</v>
      </c>
      <c r="V28" s="241">
        <f t="shared" ca="1" si="35"/>
        <v>135.92364769181856</v>
      </c>
      <c r="W28" s="241">
        <f t="shared" ca="1" si="35"/>
        <v>72.92199083386997</v>
      </c>
      <c r="X28" s="241">
        <f t="shared" ca="1" si="35"/>
        <v>63.854990358771438</v>
      </c>
      <c r="Y28" s="241">
        <f t="shared" ca="1" si="35"/>
        <v>57.813341280223987</v>
      </c>
      <c r="Z28" s="241">
        <f t="shared" ca="1" si="35"/>
        <v>-52.615190636251128</v>
      </c>
      <c r="AA28" s="241">
        <f t="shared" ca="1" si="36"/>
        <v>46.95451210318199</v>
      </c>
      <c r="AB28" s="241">
        <f t="shared" ca="1" si="36"/>
        <v>-34.122087667131034</v>
      </c>
      <c r="AC28" s="241">
        <f t="shared" ca="1" si="36"/>
        <v>-17.373876095281748</v>
      </c>
      <c r="AD28" s="241">
        <f t="shared" ca="1" si="36"/>
        <v>-25.980237156836829</v>
      </c>
      <c r="AE28" s="241">
        <f t="shared" ca="1" si="36"/>
        <v>3.3888156823351929</v>
      </c>
      <c r="AF28" s="241">
        <f t="shared" ca="1" si="36"/>
        <v>17.925912733080953</v>
      </c>
      <c r="AG28" s="241">
        <f t="shared" ca="1" si="36"/>
        <v>16.042703717743706</v>
      </c>
      <c r="AH28" s="241">
        <f t="shared" ca="1" si="36"/>
        <v>12.488019900573008</v>
      </c>
      <c r="AI28" s="241">
        <f t="shared" ca="1" si="36"/>
        <v>2.6979048177016676</v>
      </c>
      <c r="AJ28" s="241">
        <f t="shared" ca="1" si="36"/>
        <v>-4.4917992191714529</v>
      </c>
      <c r="AK28" s="241">
        <f t="shared" ca="1" si="36"/>
        <v>3.9071926074373273</v>
      </c>
      <c r="AL28" s="241">
        <f t="shared" ca="1" si="36"/>
        <v>7.4927099093983003</v>
      </c>
      <c r="AM28" s="241">
        <f t="shared" ca="1" si="36"/>
        <v>-8.8872717308878286</v>
      </c>
      <c r="AN28" s="241">
        <f t="shared" ca="1" si="36"/>
        <v>-4.2408536993074195</v>
      </c>
      <c r="AP28" s="229">
        <v>2150</v>
      </c>
      <c r="AQ28" s="229" t="s">
        <v>585</v>
      </c>
      <c r="AR28" s="242">
        <f t="shared" ref="AR28:BO28" ca="1" si="44">-20+32*BP28^2</f>
        <v>113.44333888888877</v>
      </c>
      <c r="AS28" s="242">
        <f t="shared" ca="1" si="44"/>
        <v>113.55227222222234</v>
      </c>
      <c r="AT28" s="242">
        <f t="shared" ca="1" si="44"/>
        <v>113.55227222222234</v>
      </c>
      <c r="AU28" s="242">
        <f t="shared" ca="1" si="44"/>
        <v>113.66125000000002</v>
      </c>
      <c r="AV28" s="242">
        <f t="shared" ca="1" si="44"/>
        <v>113.66125000000002</v>
      </c>
      <c r="AW28" s="242">
        <f t="shared" ca="1" si="44"/>
        <v>113.77027222222213</v>
      </c>
      <c r="AX28" s="242">
        <f t="shared" ca="1" si="44"/>
        <v>113.77027222222213</v>
      </c>
      <c r="AY28" s="242">
        <f t="shared" ca="1" si="44"/>
        <v>113.87933888888901</v>
      </c>
      <c r="AZ28" s="242">
        <f t="shared" ca="1" si="44"/>
        <v>113.87933888888901</v>
      </c>
      <c r="BA28" s="242">
        <f t="shared" ca="1" si="44"/>
        <v>113.98845000000003</v>
      </c>
      <c r="BB28" s="242">
        <f t="shared" ca="1" si="44"/>
        <v>113.98845000000003</v>
      </c>
      <c r="BC28" s="242">
        <f t="shared" ca="1" si="44"/>
        <v>114.09760555555548</v>
      </c>
      <c r="BD28" s="242">
        <f t="shared" ca="1" si="44"/>
        <v>114.09760555555548</v>
      </c>
      <c r="BE28" s="242">
        <f t="shared" ca="1" si="44"/>
        <v>114.20680555555566</v>
      </c>
      <c r="BF28" s="242">
        <f t="shared" ca="1" si="44"/>
        <v>114.20680555555566</v>
      </c>
      <c r="BG28" s="242">
        <f t="shared" ca="1" si="44"/>
        <v>114.31605000000002</v>
      </c>
      <c r="BH28" s="242">
        <f t="shared" ca="1" si="44"/>
        <v>114.31605000000002</v>
      </c>
      <c r="BI28" s="242">
        <f t="shared" ca="1" si="44"/>
        <v>114.4253388888888</v>
      </c>
      <c r="BJ28" s="242">
        <f t="shared" ca="1" si="44"/>
        <v>114.4253388888888</v>
      </c>
      <c r="BK28" s="242">
        <f t="shared" ca="1" si="44"/>
        <v>114.53467222222233</v>
      </c>
      <c r="BL28" s="242">
        <f t="shared" ca="1" si="44"/>
        <v>114.53467222222233</v>
      </c>
      <c r="BM28" s="242">
        <f t="shared" ca="1" si="44"/>
        <v>114.64404999999999</v>
      </c>
      <c r="BN28" s="242">
        <f t="shared" ca="1" si="44"/>
        <v>114.64404999999999</v>
      </c>
      <c r="BO28" s="242">
        <f t="shared" ca="1" si="44"/>
        <v>114.75347222222211</v>
      </c>
      <c r="BP28" s="243">
        <f t="shared" ref="BP28:CM28" ca="1" si="45">(Delta_t_Year-1820)/100</f>
        <v>2.0420833333333324</v>
      </c>
      <c r="BQ28" s="243">
        <f t="shared" ca="1" si="45"/>
        <v>2.0429166666666676</v>
      </c>
      <c r="BR28" s="243">
        <f t="shared" ca="1" si="45"/>
        <v>2.0429166666666676</v>
      </c>
      <c r="BS28" s="243">
        <f t="shared" ca="1" si="45"/>
        <v>2.0437500000000002</v>
      </c>
      <c r="BT28" s="243">
        <f t="shared" ca="1" si="45"/>
        <v>2.0437500000000002</v>
      </c>
      <c r="BU28" s="243">
        <f t="shared" ca="1" si="45"/>
        <v>2.0445833333333328</v>
      </c>
      <c r="BV28" s="243">
        <f t="shared" ca="1" si="45"/>
        <v>2.0445833333333328</v>
      </c>
      <c r="BW28" s="243">
        <f t="shared" ca="1" si="45"/>
        <v>2.0454166666666675</v>
      </c>
      <c r="BX28" s="243">
        <f t="shared" ca="1" si="45"/>
        <v>2.0454166666666675</v>
      </c>
      <c r="BY28" s="243">
        <f t="shared" ca="1" si="45"/>
        <v>2.0462500000000001</v>
      </c>
      <c r="BZ28" s="243">
        <f t="shared" ca="1" si="45"/>
        <v>2.0462500000000001</v>
      </c>
      <c r="CA28" s="243">
        <f t="shared" ca="1" si="45"/>
        <v>2.0470833333333327</v>
      </c>
      <c r="CB28" s="243">
        <f t="shared" ca="1" si="45"/>
        <v>2.0470833333333327</v>
      </c>
      <c r="CC28" s="243">
        <f t="shared" ca="1" si="45"/>
        <v>2.0479166666666675</v>
      </c>
      <c r="CD28" s="243">
        <f t="shared" ca="1" si="45"/>
        <v>2.0479166666666675</v>
      </c>
      <c r="CE28" s="243">
        <f t="shared" ca="1" si="45"/>
        <v>2.0487500000000001</v>
      </c>
      <c r="CF28" s="243">
        <f t="shared" ca="1" si="45"/>
        <v>2.0487500000000001</v>
      </c>
      <c r="CG28" s="243">
        <f t="shared" ca="1" si="45"/>
        <v>2.0495833333333326</v>
      </c>
      <c r="CH28" s="243">
        <f t="shared" ca="1" si="45"/>
        <v>2.0495833333333326</v>
      </c>
      <c r="CI28" s="243">
        <f t="shared" ca="1" si="45"/>
        <v>2.0504166666666674</v>
      </c>
      <c r="CJ28" s="243">
        <f t="shared" ca="1" si="45"/>
        <v>2.0504166666666674</v>
      </c>
      <c r="CK28" s="243">
        <f t="shared" ca="1" si="45"/>
        <v>2.05125</v>
      </c>
      <c r="CL28" s="243">
        <f t="shared" ca="1" si="45"/>
        <v>2.05125</v>
      </c>
      <c r="CM28" s="243">
        <f t="shared" ca="1" si="45"/>
        <v>2.0520833333333326</v>
      </c>
      <c r="CN28" s="244"/>
    </row>
    <row r="29" spans="2:108" ht="40.35" customHeight="1" x14ac:dyDescent="0.1">
      <c r="B29" s="231"/>
      <c r="F29" s="232"/>
      <c r="G29" s="232"/>
      <c r="H29" s="233" t="s">
        <v>56</v>
      </c>
      <c r="I29" s="234">
        <f t="shared" ca="1" si="5"/>
        <v>1.0185832341601238</v>
      </c>
      <c r="J29" s="235">
        <f t="shared" ca="1" si="6"/>
        <v>307.67396271982784</v>
      </c>
      <c r="K29" s="236">
        <f t="shared" ca="1" si="7"/>
        <v>2460621.4285821351</v>
      </c>
      <c r="L29" s="237">
        <f t="shared" ca="1" si="8"/>
        <v>2460621.7633994278</v>
      </c>
      <c r="M29" s="238">
        <f t="shared" ca="1" si="9"/>
        <v>2.3442497276880926E-3</v>
      </c>
      <c r="N29" s="238">
        <f t="shared" ca="1" si="10"/>
        <v>74.329119136062488</v>
      </c>
      <c r="O29" s="239">
        <f t="shared" ca="1" si="11"/>
        <v>45603.263399427757</v>
      </c>
      <c r="P29" s="240">
        <f t="shared" ca="1" si="12"/>
        <v>238.66340627576261</v>
      </c>
      <c r="Q29" s="241">
        <f t="shared" ca="1" si="35"/>
        <v>37.284687933657594</v>
      </c>
      <c r="R29" s="241">
        <f t="shared" ca="1" si="35"/>
        <v>-73.180363404533082</v>
      </c>
      <c r="S29" s="241">
        <f t="shared" ca="1" si="35"/>
        <v>193.97453247117545</v>
      </c>
      <c r="T29" s="241">
        <f t="shared" ca="1" si="35"/>
        <v>-166.66826783186062</v>
      </c>
      <c r="U29" s="241">
        <f t="shared" ca="1" si="35"/>
        <v>-39.755682969681217</v>
      </c>
      <c r="V29" s="241">
        <f t="shared" ca="1" si="35"/>
        <v>134.88791890787934</v>
      </c>
      <c r="W29" s="241">
        <f t="shared" ca="1" si="35"/>
        <v>53.663523723713247</v>
      </c>
      <c r="X29" s="241">
        <f t="shared" ca="1" si="35"/>
        <v>64.653693363266029</v>
      </c>
      <c r="Y29" s="241">
        <f t="shared" ca="1" si="35"/>
        <v>60.247953866707995</v>
      </c>
      <c r="Z29" s="241">
        <f t="shared" ca="1" si="35"/>
        <v>-45.240764248226554</v>
      </c>
      <c r="AA29" s="241">
        <f t="shared" ca="1" si="36"/>
        <v>46.978628270687032</v>
      </c>
      <c r="AB29" s="241">
        <f t="shared" ca="1" si="36"/>
        <v>-33.519684587087376</v>
      </c>
      <c r="AC29" s="241">
        <f t="shared" ca="1" si="36"/>
        <v>-25.81632029572382</v>
      </c>
      <c r="AD29" s="241">
        <f t="shared" ca="1" si="36"/>
        <v>-17.35055040137523</v>
      </c>
      <c r="AE29" s="241">
        <f t="shared" ca="1" si="36"/>
        <v>2.4695271327683508</v>
      </c>
      <c r="AF29" s="241">
        <f t="shared" ca="1" si="36"/>
        <v>16.62305801684148</v>
      </c>
      <c r="AG29" s="241">
        <f t="shared" ca="1" si="36"/>
        <v>16.218095438049442</v>
      </c>
      <c r="AH29" s="241">
        <f t="shared" ca="1" si="36"/>
        <v>15.599153796509187</v>
      </c>
      <c r="AI29" s="241">
        <f t="shared" ca="1" si="36"/>
        <v>-0.44113673416657906</v>
      </c>
      <c r="AJ29" s="241">
        <f t="shared" ca="1" si="36"/>
        <v>-5.6284229958818317</v>
      </c>
      <c r="AK29" s="241">
        <f t="shared" ca="1" si="36"/>
        <v>6.3806349255593489</v>
      </c>
      <c r="AL29" s="241">
        <f t="shared" ca="1" si="36"/>
        <v>9.5743624268347745</v>
      </c>
      <c r="AM29" s="241">
        <f t="shared" ca="1" si="36"/>
        <v>-8.8993749306718399</v>
      </c>
      <c r="AN29" s="241">
        <f t="shared" ca="1" si="36"/>
        <v>-3.391795598678514</v>
      </c>
      <c r="AP29" s="245">
        <v>7000</v>
      </c>
      <c r="AQ29" s="246" t="s">
        <v>621</v>
      </c>
      <c r="AR29" s="247">
        <f t="shared" ref="AR29:BO29" ca="1" si="46">-0.000012932*(Delta_t_Year_修正值-1955)^2</f>
        <v>-6.1941608284722081E-2</v>
      </c>
      <c r="AS29" s="247">
        <f t="shared" ca="1" si="46"/>
        <v>-6.2090865118055692E-2</v>
      </c>
      <c r="AT29" s="247">
        <f t="shared" ca="1" si="46"/>
        <v>-6.2090865118055692E-2</v>
      </c>
      <c r="AU29" s="247">
        <f t="shared" ca="1" si="46"/>
        <v>-6.2240301562499996E-2</v>
      </c>
      <c r="AV29" s="247">
        <f t="shared" ca="1" si="46"/>
        <v>-6.2240301562499996E-2</v>
      </c>
      <c r="AW29" s="247">
        <f t="shared" ca="1" si="46"/>
        <v>-6.2389917618055422E-2</v>
      </c>
      <c r="AX29" s="247">
        <f t="shared" ca="1" si="46"/>
        <v>-6.2389917618055422E-2</v>
      </c>
      <c r="AY29" s="247">
        <f t="shared" ca="1" si="46"/>
        <v>-6.2539713284722354E-2</v>
      </c>
      <c r="AZ29" s="247">
        <f t="shared" ca="1" si="46"/>
        <v>-6.2539713284722354E-2</v>
      </c>
      <c r="BA29" s="247">
        <f t="shared" ca="1" si="46"/>
        <v>-6.2689688562499998E-2</v>
      </c>
      <c r="BB29" s="247">
        <f t="shared" ca="1" si="46"/>
        <v>-6.2689688562499998E-2</v>
      </c>
      <c r="BC29" s="247">
        <f t="shared" ca="1" si="46"/>
        <v>-6.2839843451388752E-2</v>
      </c>
      <c r="BD29" s="247">
        <f t="shared" ca="1" si="46"/>
        <v>-6.2839843451388752E-2</v>
      </c>
      <c r="BE29" s="247">
        <f t="shared" ca="1" si="46"/>
        <v>-6.2990177951389018E-2</v>
      </c>
      <c r="BF29" s="247">
        <f t="shared" ca="1" si="46"/>
        <v>-6.2990177951389018E-2</v>
      </c>
      <c r="BG29" s="247">
        <f t="shared" ca="1" si="46"/>
        <v>-6.314069206249999E-2</v>
      </c>
      <c r="BH29" s="247">
        <f t="shared" ca="1" si="46"/>
        <v>-6.314069206249999E-2</v>
      </c>
      <c r="BI29" s="247">
        <f t="shared" ca="1" si="46"/>
        <v>-6.3291385784722085E-2</v>
      </c>
      <c r="BJ29" s="247">
        <f t="shared" ca="1" si="46"/>
        <v>-6.3291385784722085E-2</v>
      </c>
      <c r="BK29" s="247">
        <f t="shared" ca="1" si="46"/>
        <v>-6.3442259118055691E-2</v>
      </c>
      <c r="BL29" s="247">
        <f t="shared" ca="1" si="46"/>
        <v>-6.3442259118055691E-2</v>
      </c>
      <c r="BM29" s="247">
        <f t="shared" ca="1" si="46"/>
        <v>-6.359331206249999E-2</v>
      </c>
      <c r="BN29" s="247">
        <f t="shared" ca="1" si="46"/>
        <v>-6.359331206249999E-2</v>
      </c>
      <c r="BO29" s="247">
        <f t="shared" ca="1" si="46"/>
        <v>-6.3744544618055413E-2</v>
      </c>
      <c r="CN29" s="248"/>
      <c r="CO29" s="199" t="s">
        <v>622</v>
      </c>
    </row>
    <row r="30" spans="2:108" ht="40.35" customHeight="1" x14ac:dyDescent="0.1">
      <c r="B30" s="231"/>
      <c r="F30" s="232"/>
      <c r="G30" s="232"/>
      <c r="H30" s="233" t="s">
        <v>57</v>
      </c>
      <c r="I30" s="234">
        <f t="shared" ca="1" si="5"/>
        <v>0.75678384636097462</v>
      </c>
      <c r="J30" s="235">
        <f t="shared" ca="1" si="6"/>
        <v>322.57128104072518</v>
      </c>
      <c r="K30" s="236">
        <f t="shared" ca="1" si="7"/>
        <v>2460636.3259004559</v>
      </c>
      <c r="L30" s="237">
        <f t="shared" ca="1" si="8"/>
        <v>2460636.6636694586</v>
      </c>
      <c r="M30" s="238">
        <f t="shared" ca="1" si="9"/>
        <v>5.2959599553304574E-3</v>
      </c>
      <c r="N30" s="238">
        <f t="shared" ca="1" si="10"/>
        <v>74.329119136062488</v>
      </c>
      <c r="O30" s="239">
        <f t="shared" ca="1" si="11"/>
        <v>45618.16366945859</v>
      </c>
      <c r="P30" s="240">
        <f t="shared" ca="1" si="12"/>
        <v>542.78506621411384</v>
      </c>
      <c r="Q30" s="241">
        <f t="shared" ca="1" si="35"/>
        <v>30.623470455101174</v>
      </c>
      <c r="R30" s="241">
        <f t="shared" ca="1" si="35"/>
        <v>-27.148162208196002</v>
      </c>
      <c r="S30" s="241">
        <f t="shared" ca="1" si="35"/>
        <v>193.98091627784706</v>
      </c>
      <c r="T30" s="241">
        <f t="shared" ca="1" si="35"/>
        <v>168.65606386154101</v>
      </c>
      <c r="U30" s="241">
        <f t="shared" ca="1" si="35"/>
        <v>-85.268024537556343</v>
      </c>
      <c r="V30" s="241">
        <f t="shared" ca="1" si="35"/>
        <v>130.38822714651479</v>
      </c>
      <c r="W30" s="241">
        <f t="shared" ca="1" si="35"/>
        <v>22.88622787793674</v>
      </c>
      <c r="X30" s="241">
        <f t="shared" ca="1" si="35"/>
        <v>65.416270297677855</v>
      </c>
      <c r="Y30" s="241">
        <f t="shared" ca="1" si="35"/>
        <v>62.414594238242799</v>
      </c>
      <c r="Z30" s="241">
        <f t="shared" ca="1" si="35"/>
        <v>-35.31561877937758</v>
      </c>
      <c r="AA30" s="241">
        <f t="shared" ca="1" si="36"/>
        <v>47.002513851913335</v>
      </c>
      <c r="AB30" s="241">
        <f t="shared" ca="1" si="36"/>
        <v>-32.91281405459037</v>
      </c>
      <c r="AC30" s="241">
        <f t="shared" ca="1" si="36"/>
        <v>-33.026180626946562</v>
      </c>
      <c r="AD30" s="241">
        <f t="shared" ca="1" si="36"/>
        <v>-7.9078114350231425</v>
      </c>
      <c r="AE30" s="241">
        <f t="shared" ca="1" si="36"/>
        <v>1.5544784913708782</v>
      </c>
      <c r="AF30" s="241">
        <f t="shared" ca="1" si="36"/>
        <v>11.543726561434516</v>
      </c>
      <c r="AG30" s="241">
        <f t="shared" ca="1" si="36"/>
        <v>16.375036119259264</v>
      </c>
      <c r="AH30" s="241">
        <f t="shared" ca="1" si="36"/>
        <v>15.602379790735412</v>
      </c>
      <c r="AI30" s="241">
        <f t="shared" ca="1" si="36"/>
        <v>-3.535529335622523</v>
      </c>
      <c r="AJ30" s="241">
        <f t="shared" ca="1" si="36"/>
        <v>-6.6959839003600106</v>
      </c>
      <c r="AK30" s="241">
        <f t="shared" ca="1" si="36"/>
        <v>8.5068170681251605</v>
      </c>
      <c r="AL30" s="241">
        <f t="shared" ca="1" si="36"/>
        <v>11.055124415589068</v>
      </c>
      <c r="AM30" s="241">
        <f t="shared" ca="1" si="36"/>
        <v>-8.9107136018484496</v>
      </c>
      <c r="AN30" s="241">
        <f t="shared" ca="1" si="36"/>
        <v>-2.4999417596541869</v>
      </c>
      <c r="CN30" s="248"/>
    </row>
    <row r="31" spans="2:108" ht="40.35" customHeight="1" x14ac:dyDescent="0.1">
      <c r="B31" s="231"/>
      <c r="F31" s="232"/>
      <c r="G31" s="232"/>
      <c r="H31" s="233" t="s">
        <v>58</v>
      </c>
      <c r="I31" s="234">
        <f t="shared" ca="1" si="5"/>
        <v>0.49498445856182371</v>
      </c>
      <c r="J31" s="235">
        <f t="shared" ca="1" si="6"/>
        <v>337.38097517448927</v>
      </c>
      <c r="K31" s="236">
        <f t="shared" ca="1" si="7"/>
        <v>2460651.1355945901</v>
      </c>
      <c r="L31" s="237">
        <f t="shared" ca="1" si="8"/>
        <v>2460651.4697444164</v>
      </c>
      <c r="M31" s="238">
        <f t="shared" ca="1" si="9"/>
        <v>1.677361364071436E-3</v>
      </c>
      <c r="N31" s="238">
        <f t="shared" ca="1" si="10"/>
        <v>74.379025817340235</v>
      </c>
      <c r="O31" s="239">
        <f t="shared" ca="1" si="11"/>
        <v>45632.969744416419</v>
      </c>
      <c r="P31" s="240">
        <f t="shared" ca="1" si="12"/>
        <v>172.7786830511985</v>
      </c>
      <c r="Q31" s="241">
        <f t="shared" ca="1" si="35"/>
        <v>23.995676965443355</v>
      </c>
      <c r="R31" s="241">
        <f t="shared" ca="1" si="35"/>
        <v>20.093333839119065</v>
      </c>
      <c r="S31" s="241">
        <f t="shared" ca="1" si="35"/>
        <v>193.98725856558826</v>
      </c>
      <c r="T31" s="241">
        <f t="shared" ca="1" si="35"/>
        <v>-169.2947341354525</v>
      </c>
      <c r="U31" s="241">
        <f t="shared" ca="1" si="35"/>
        <v>-121.90762089026131</v>
      </c>
      <c r="V31" s="241">
        <f t="shared" ca="1" si="35"/>
        <v>122.60079082965959</v>
      </c>
      <c r="W31" s="241">
        <f t="shared" ca="1" si="35"/>
        <v>-12.630586186512121</v>
      </c>
      <c r="X31" s="241">
        <f t="shared" ca="1" si="35"/>
        <v>66.144099745820228</v>
      </c>
      <c r="Y31" s="241">
        <f t="shared" ca="1" si="35"/>
        <v>64.312539809836494</v>
      </c>
      <c r="Z31" s="241">
        <f t="shared" ca="1" si="35"/>
        <v>-23.440519203855025</v>
      </c>
      <c r="AA31" s="241">
        <f t="shared" ca="1" si="36"/>
        <v>47.026205340498962</v>
      </c>
      <c r="AB31" s="241">
        <f t="shared" ca="1" si="36"/>
        <v>-32.300909913007082</v>
      </c>
      <c r="AC31" s="241">
        <f t="shared" ca="1" si="36"/>
        <v>-38.713820646203814</v>
      </c>
      <c r="AD31" s="241">
        <f t="shared" ca="1" si="36"/>
        <v>1.8742044106691158</v>
      </c>
      <c r="AE31" s="241">
        <f t="shared" ca="1" si="36"/>
        <v>0.64326881239496303</v>
      </c>
      <c r="AF31" s="241">
        <f t="shared" ca="1" si="36"/>
        <v>3.8955149744348216</v>
      </c>
      <c r="AG31" s="241">
        <f t="shared" ca="1" si="36"/>
        <v>16.513934529872252</v>
      </c>
      <c r="AH31" s="241">
        <f t="shared" ca="1" si="36"/>
        <v>12.55613920314191</v>
      </c>
      <c r="AI31" s="241">
        <f t="shared" ca="1" si="36"/>
        <v>-6.4372389214466565</v>
      </c>
      <c r="AJ31" s="241">
        <f t="shared" ca="1" si="36"/>
        <v>-7.6858764796689485</v>
      </c>
      <c r="AK31" s="241">
        <f t="shared" ca="1" si="36"/>
        <v>10.186872819505794</v>
      </c>
      <c r="AL31" s="241">
        <f t="shared" ca="1" si="36"/>
        <v>11.859127451431853</v>
      </c>
      <c r="AM31" s="241">
        <f t="shared" ca="1" si="36"/>
        <v>-8.9213171109994729</v>
      </c>
      <c r="AN31" s="241">
        <f t="shared" ca="1" si="36"/>
        <v>-1.5776607588111753</v>
      </c>
      <c r="CN31" s="248"/>
    </row>
    <row r="32" spans="2:108" ht="40.35" customHeight="1" x14ac:dyDescent="0.1">
      <c r="B32" s="231"/>
      <c r="F32" s="232"/>
      <c r="G32" s="232"/>
      <c r="H32" s="233" t="s">
        <v>586</v>
      </c>
      <c r="I32" s="234">
        <f t="shared" ca="1" si="5"/>
        <v>0.23318507076267458</v>
      </c>
      <c r="J32" s="235">
        <f t="shared" ca="1" si="6"/>
        <v>352.13049531441334</v>
      </c>
      <c r="K32" s="236">
        <f t="shared" ca="1" si="7"/>
        <v>2460665.8851147299</v>
      </c>
      <c r="L32" s="237">
        <f t="shared" ca="1" si="8"/>
        <v>2460666.222314843</v>
      </c>
      <c r="M32" s="238">
        <f t="shared" ca="1" si="9"/>
        <v>4.7276482409280354E-3</v>
      </c>
      <c r="N32" s="238">
        <f t="shared" ca="1" si="10"/>
        <v>74.379025817340235</v>
      </c>
      <c r="O32" s="239">
        <f t="shared" ca="1" si="11"/>
        <v>45647.722314842977</v>
      </c>
      <c r="P32" s="240">
        <f t="shared" ca="1" si="12"/>
        <v>488.45840722696016</v>
      </c>
      <c r="Q32" s="241">
        <f t="shared" ca="1" si="35"/>
        <v>17.390343494066801</v>
      </c>
      <c r="R32" s="241">
        <f t="shared" ca="1" si="35"/>
        <v>66.06439012917312</v>
      </c>
      <c r="S32" s="241">
        <f t="shared" ca="1" si="35"/>
        <v>193.99357114917603</v>
      </c>
      <c r="T32" s="241">
        <f t="shared" ca="1" si="35"/>
        <v>169.06955567136367</v>
      </c>
      <c r="U32" s="241">
        <f t="shared" ca="1" si="35"/>
        <v>-146.19809594608827</v>
      </c>
      <c r="V32" s="241">
        <f t="shared" ca="1" si="35"/>
        <v>111.75673144538527</v>
      </c>
      <c r="W32" s="241">
        <f t="shared" ca="1" si="35"/>
        <v>-45.329574307701911</v>
      </c>
      <c r="X32" s="241">
        <f t="shared" ca="1" si="35"/>
        <v>66.838648807202077</v>
      </c>
      <c r="Y32" s="241">
        <f t="shared" ca="1" si="35"/>
        <v>65.941410213981172</v>
      </c>
      <c r="Z32" s="241">
        <f t="shared" ca="1" si="35"/>
        <v>-10.292454344850169</v>
      </c>
      <c r="AA32" s="241">
        <f t="shared" ca="1" si="36"/>
        <v>47.049747423020889</v>
      </c>
      <c r="AB32" s="241">
        <f t="shared" ca="1" si="36"/>
        <v>-31.683125057924837</v>
      </c>
      <c r="AC32" s="241">
        <f t="shared" ca="1" si="36"/>
        <v>-42.658897375854579</v>
      </c>
      <c r="AD32" s="241">
        <f t="shared" ca="1" si="36"/>
        <v>11.524618555658252</v>
      </c>
      <c r="AE32" s="241">
        <f t="shared" ca="1" si="36"/>
        <v>-0.26487182872707865</v>
      </c>
      <c r="AF32" s="241">
        <f t="shared" ca="1" si="36"/>
        <v>-4.5923983594196693</v>
      </c>
      <c r="AG32" s="241">
        <f t="shared" ca="1" si="36"/>
        <v>16.63515975680243</v>
      </c>
      <c r="AH32" s="241">
        <f t="shared" ca="1" si="36"/>
        <v>7.0892664605426425</v>
      </c>
      <c r="AI32" s="241">
        <f t="shared" ca="1" si="36"/>
        <v>-9.0119793340194736</v>
      </c>
      <c r="AJ32" s="241">
        <f t="shared" ca="1" si="36"/>
        <v>-8.5905314815564218</v>
      </c>
      <c r="AK32" s="241">
        <f t="shared" ca="1" si="36"/>
        <v>11.345374598381568</v>
      </c>
      <c r="AL32" s="241">
        <f t="shared" ca="1" si="36"/>
        <v>11.949547340784125</v>
      </c>
      <c r="AM32" s="241">
        <f t="shared" ca="1" si="36"/>
        <v>-8.931214306593878</v>
      </c>
      <c r="AN32" s="241">
        <f t="shared" ca="1" si="36"/>
        <v>-0.63681547584164699</v>
      </c>
      <c r="CN32" s="248"/>
    </row>
    <row r="33" spans="2:93" ht="40.35" customHeight="1" x14ac:dyDescent="0.1">
      <c r="B33" s="231"/>
      <c r="F33" s="232"/>
      <c r="G33" s="232"/>
      <c r="H33" s="233" t="s">
        <v>36</v>
      </c>
      <c r="I33" s="234">
        <f t="shared" ca="1" si="5"/>
        <v>-2.8614317036474546E-2</v>
      </c>
      <c r="J33" s="235">
        <f t="shared" ca="1" si="6"/>
        <v>366.85087495377218</v>
      </c>
      <c r="K33" s="236">
        <f t="shared" ca="1" si="7"/>
        <v>2460680.6054943693</v>
      </c>
      <c r="L33" s="237">
        <f t="shared" ca="1" si="8"/>
        <v>2460680.9393842239</v>
      </c>
      <c r="M33" s="238">
        <f t="shared" ca="1" si="9"/>
        <v>1.4179680273221204E-3</v>
      </c>
      <c r="N33" s="238">
        <f t="shared" ca="1" si="10"/>
        <v>74.429009944006992</v>
      </c>
      <c r="O33" s="239">
        <f t="shared" ca="1" si="11"/>
        <v>45662.439384223893</v>
      </c>
      <c r="P33" s="240">
        <f t="shared" ca="1" si="12"/>
        <v>146.62990377446525</v>
      </c>
      <c r="Q33" s="241">
        <f t="shared" ca="1" si="35"/>
        <v>10.794837377355464</v>
      </c>
      <c r="R33" s="241">
        <f t="shared" ca="1" si="35"/>
        <v>108.40662047561986</v>
      </c>
      <c r="S33" s="241">
        <f t="shared" ca="1" si="35"/>
        <v>193.99986734606412</v>
      </c>
      <c r="T33" s="241">
        <f t="shared" ca="1" si="35"/>
        <v>-168.41797224598099</v>
      </c>
      <c r="U33" s="241">
        <f t="shared" ca="1" si="35"/>
        <v>-155.87779903608129</v>
      </c>
      <c r="V33" s="241">
        <f t="shared" ca="1" si="35"/>
        <v>98.133091935048057</v>
      </c>
      <c r="W33" s="241">
        <f t="shared" ca="1" si="35"/>
        <v>-68.383617936766015</v>
      </c>
      <c r="X33" s="241">
        <f t="shared" ca="1" si="35"/>
        <v>67.501336829691283</v>
      </c>
      <c r="Y33" s="241">
        <f t="shared" ca="1" si="35"/>
        <v>67.300410365241376</v>
      </c>
      <c r="Z33" s="241">
        <f t="shared" ca="1" si="35"/>
        <v>3.406963691757491</v>
      </c>
      <c r="AA33" s="241">
        <f t="shared" ca="1" si="36"/>
        <v>47.07319008840296</v>
      </c>
      <c r="AB33" s="241">
        <f t="shared" ca="1" si="36"/>
        <v>-31.058394877329711</v>
      </c>
      <c r="AC33" s="241">
        <f t="shared" ca="1" si="36"/>
        <v>-44.710689812777503</v>
      </c>
      <c r="AD33" s="241">
        <f t="shared" ca="1" si="36"/>
        <v>20.59023598979639</v>
      </c>
      <c r="AE33" s="241">
        <f t="shared" ca="1" si="36"/>
        <v>-1.1709598628640387</v>
      </c>
      <c r="AF33" s="241">
        <f t="shared" ca="1" si="36"/>
        <v>-12.046163883935552</v>
      </c>
      <c r="AG33" s="241">
        <f t="shared" ca="1" si="36"/>
        <v>16.738996974980701</v>
      </c>
      <c r="AH33" s="241">
        <f t="shared" ca="1" si="36"/>
        <v>0.26606798173644014</v>
      </c>
      <c r="AI33" s="241">
        <f t="shared" ca="1" si="36"/>
        <v>-11.142401883296131</v>
      </c>
      <c r="AJ33" s="241">
        <f t="shared" ca="1" si="36"/>
        <v>-9.4030677434520431</v>
      </c>
      <c r="AK33" s="241">
        <f t="shared" ca="1" si="36"/>
        <v>11.931089678595329</v>
      </c>
      <c r="AL33" s="241">
        <f t="shared" ca="1" si="36"/>
        <v>11.327559944364461</v>
      </c>
      <c r="AM33" s="241">
        <f t="shared" ca="1" si="36"/>
        <v>-8.9404312961274712</v>
      </c>
      <c r="AN33" s="241">
        <f t="shared" ca="1" si="36"/>
        <v>0.3111336744221101</v>
      </c>
      <c r="CN33" s="248"/>
      <c r="CO33" s="199" t="s">
        <v>623</v>
      </c>
    </row>
    <row r="34" spans="2:93" ht="40.35" customHeight="1" x14ac:dyDescent="0.1">
      <c r="B34" s="231"/>
      <c r="F34" s="232"/>
      <c r="G34" s="232"/>
      <c r="H34" s="233" t="s">
        <v>37</v>
      </c>
      <c r="I34" s="234">
        <f t="shared" ca="1" si="5"/>
        <v>-0.29041370483562368</v>
      </c>
      <c r="J34" s="235">
        <f t="shared" ca="1" si="6"/>
        <v>381.57485790612782</v>
      </c>
      <c r="K34" s="236">
        <f t="shared" ca="1" si="7"/>
        <v>2460695.3294773214</v>
      </c>
      <c r="L34" s="237">
        <f t="shared" ca="1" si="8"/>
        <v>2460695.6668168004</v>
      </c>
      <c r="M34" s="238">
        <f t="shared" ca="1" si="9"/>
        <v>4.8675925174475583E-3</v>
      </c>
      <c r="N34" s="238">
        <f t="shared" ca="1" si="10"/>
        <v>74.429009944006992</v>
      </c>
      <c r="O34" s="239">
        <f t="shared" ca="1" si="11"/>
        <v>45677.166816800367</v>
      </c>
      <c r="P34" s="240">
        <f t="shared" ca="1" si="12"/>
        <v>502.66103135075349</v>
      </c>
      <c r="Q34" s="241">
        <f t="shared" ca="1" si="35"/>
        <v>4.1957181514735691</v>
      </c>
      <c r="R34" s="241">
        <f t="shared" ca="1" si="35"/>
        <v>144.95443931080968</v>
      </c>
      <c r="S34" s="241">
        <f t="shared" ca="1" si="35"/>
        <v>194.00616117148556</v>
      </c>
      <c r="T34" s="241">
        <f t="shared" ca="1" si="35"/>
        <v>167.8050816364553</v>
      </c>
      <c r="U34" s="241">
        <f t="shared" ca="1" si="35"/>
        <v>-150.04110552899809</v>
      </c>
      <c r="V34" s="241">
        <f t="shared" ca="1" si="35"/>
        <v>82.048297176386484</v>
      </c>
      <c r="W34" s="241">
        <f t="shared" ca="1" si="35"/>
        <v>-76.992729656240812</v>
      </c>
      <c r="X34" s="241">
        <f t="shared" ca="1" si="35"/>
        <v>68.133414873814274</v>
      </c>
      <c r="Y34" s="241">
        <f t="shared" ca="1" si="35"/>
        <v>68.38776022563502</v>
      </c>
      <c r="Z34" s="241">
        <f t="shared" ca="1" si="35"/>
        <v>16.918850020406765</v>
      </c>
      <c r="AA34" s="241">
        <f t="shared" ca="1" si="36"/>
        <v>47.096585593466379</v>
      </c>
      <c r="AB34" s="241">
        <f t="shared" ca="1" si="36"/>
        <v>-30.425512005630878</v>
      </c>
      <c r="AC34" s="241">
        <f t="shared" ca="1" si="36"/>
        <v>-44.787927346898471</v>
      </c>
      <c r="AD34" s="241">
        <f t="shared" ca="1" si="36"/>
        <v>28.647363097193828</v>
      </c>
      <c r="AE34" s="241">
        <f t="shared" ca="1" si="36"/>
        <v>-2.0761253926718948</v>
      </c>
      <c r="AF34" s="241">
        <f t="shared" ca="1" si="36"/>
        <v>-16.83140019845915</v>
      </c>
      <c r="AG34" s="241">
        <f t="shared" ca="1" si="36"/>
        <v>16.825614709314792</v>
      </c>
      <c r="AH34" s="241">
        <f t="shared" ca="1" si="36"/>
        <v>-6.6099389813622755</v>
      </c>
      <c r="AI34" s="241">
        <f t="shared" ca="1" si="36"/>
        <v>-12.730513605765623</v>
      </c>
      <c r="AJ34" s="241">
        <f t="shared" ca="1" si="36"/>
        <v>-10.116981645970807</v>
      </c>
      <c r="AK34" s="241">
        <f t="shared" ca="1" si="36"/>
        <v>11.917334807836003</v>
      </c>
      <c r="AL34" s="241">
        <f t="shared" ca="1" si="36"/>
        <v>10.030692745178646</v>
      </c>
      <c r="AM34" s="241">
        <f t="shared" ca="1" si="36"/>
        <v>-8.9489896185938527</v>
      </c>
      <c r="AN34" s="241">
        <f t="shared" ca="1" si="36"/>
        <v>1.2549418118889564</v>
      </c>
      <c r="CN34" s="248"/>
    </row>
    <row r="35" spans="2:93" ht="40.35" customHeight="1" x14ac:dyDescent="0.1">
      <c r="B35" s="231"/>
      <c r="F35" s="232"/>
      <c r="G35" s="232"/>
      <c r="H35" s="233" t="s">
        <v>38</v>
      </c>
      <c r="I35" s="234">
        <f t="shared" ca="1" si="5"/>
        <v>-0.55221309263477281</v>
      </c>
      <c r="J35" s="235">
        <f t="shared" ca="1" si="6"/>
        <v>396.33497738017979</v>
      </c>
      <c r="K35" s="236">
        <f t="shared" ca="1" si="7"/>
        <v>2460710.0895967954</v>
      </c>
      <c r="L35" s="237">
        <f t="shared" ca="1" si="8"/>
        <v>2460710.4241311355</v>
      </c>
      <c r="M35" s="238">
        <f t="shared" ca="1" si="9"/>
        <v>2.0630325649288708E-3</v>
      </c>
      <c r="N35" s="238">
        <f t="shared" ca="1" si="10"/>
        <v>74.479071516062504</v>
      </c>
      <c r="O35" s="239">
        <f t="shared" ca="1" si="11"/>
        <v>45691.924131135456</v>
      </c>
      <c r="P35" s="240">
        <f t="shared" ca="1" si="12"/>
        <v>212.29551908517377</v>
      </c>
      <c r="Q35" s="241">
        <f t="shared" ca="1" si="35"/>
        <v>-2.420375865351299</v>
      </c>
      <c r="R35" s="241">
        <f t="shared" ca="1" si="35"/>
        <v>173.79950727000025</v>
      </c>
      <c r="S35" s="241">
        <f t="shared" ca="1" si="35"/>
        <v>194.01246651590932</v>
      </c>
      <c r="T35" s="241">
        <f t="shared" ca="1" si="35"/>
        <v>-167.72739233806291</v>
      </c>
      <c r="U35" s="241">
        <f t="shared" ca="1" si="35"/>
        <v>-129.19699484017747</v>
      </c>
      <c r="V35" s="241">
        <f t="shared" ca="1" si="35"/>
        <v>63.861577701625038</v>
      </c>
      <c r="W35" s="241">
        <f t="shared" ca="1" si="35"/>
        <v>-69.292235080712416</v>
      </c>
      <c r="X35" s="241">
        <f t="shared" ca="1" si="35"/>
        <v>68.735865403748519</v>
      </c>
      <c r="Y35" s="241">
        <f t="shared" ca="1" si="35"/>
        <v>69.200346719507735</v>
      </c>
      <c r="Z35" s="241">
        <f t="shared" ca="1" si="35"/>
        <v>29.512080883380463</v>
      </c>
      <c r="AA35" s="241">
        <f t="shared" ca="1" si="36"/>
        <v>47.119985390730072</v>
      </c>
      <c r="AB35" s="241">
        <f t="shared" ca="1" si="36"/>
        <v>-29.783209404531068</v>
      </c>
      <c r="AC35" s="241">
        <f t="shared" ca="1" si="36"/>
        <v>-42.879409954894783</v>
      </c>
      <c r="AD35" s="241">
        <f t="shared" ca="1" si="36"/>
        <v>35.312467768876488</v>
      </c>
      <c r="AE35" s="241">
        <f t="shared" ca="1" si="36"/>
        <v>-2.9814752580607609</v>
      </c>
      <c r="AF35" s="241">
        <f t="shared" ca="1" si="36"/>
        <v>-17.882848502503506</v>
      </c>
      <c r="AG35" s="241">
        <f t="shared" ca="1" si="36"/>
        <v>16.895044840254467</v>
      </c>
      <c r="AH35" s="241">
        <f t="shared" ca="1" si="36"/>
        <v>-12.22382951700296</v>
      </c>
      <c r="AI35" s="241">
        <f t="shared" ca="1" si="36"/>
        <v>-13.699924135772198</v>
      </c>
      <c r="AJ35" s="241">
        <f t="shared" ca="1" si="36"/>
        <v>-10.725914017857953</v>
      </c>
      <c r="AK35" s="241">
        <f t="shared" ca="1" si="36"/>
        <v>11.302364945280736</v>
      </c>
      <c r="AL35" s="241">
        <f t="shared" ca="1" si="36"/>
        <v>8.1309711352309151</v>
      </c>
      <c r="AM35" s="241">
        <f t="shared" ca="1" si="36"/>
        <v>-8.9569048703851912</v>
      </c>
      <c r="AN35" s="241">
        <f t="shared" ca="1" si="36"/>
        <v>2.1833542959422902</v>
      </c>
      <c r="CN35" s="248"/>
    </row>
    <row r="36" spans="2:93" ht="40.35" customHeight="1" x14ac:dyDescent="0.1">
      <c r="B36" s="231"/>
      <c r="F36" s="232"/>
      <c r="G36" s="232"/>
      <c r="H36" s="233" t="s">
        <v>39</v>
      </c>
      <c r="I36" s="234">
        <f t="shared" ca="1" si="5"/>
        <v>-0.81401248043392194</v>
      </c>
      <c r="J36" s="235">
        <f t="shared" ca="1" si="6"/>
        <v>411.16164073339218</v>
      </c>
      <c r="K36" s="236">
        <f t="shared" ca="1" si="7"/>
        <v>2460724.9162601489</v>
      </c>
      <c r="L36" s="237">
        <f t="shared" ca="1" si="8"/>
        <v>2460725.2547410829</v>
      </c>
      <c r="M36" s="238">
        <f t="shared" ca="1" si="9"/>
        <v>6.0096264932877836E-3</v>
      </c>
      <c r="N36" s="238">
        <f t="shared" ca="1" si="10"/>
        <v>74.479071516062504</v>
      </c>
      <c r="O36" s="239">
        <f t="shared" ca="1" si="11"/>
        <v>45706.754741082899</v>
      </c>
      <c r="P36" s="240">
        <f t="shared" ca="1" si="12"/>
        <v>615.06656037136929</v>
      </c>
      <c r="Q36" s="241">
        <f t="shared" ca="1" si="35"/>
        <v>-9.0658422730253481</v>
      </c>
      <c r="R36" s="241">
        <f t="shared" ca="1" si="35"/>
        <v>193.35677502388941</v>
      </c>
      <c r="S36" s="241">
        <f t="shared" ca="1" si="35"/>
        <v>194.0187963277983</v>
      </c>
      <c r="T36" s="241">
        <f t="shared" ca="1" si="35"/>
        <v>168.63558179460603</v>
      </c>
      <c r="U36" s="241">
        <f t="shared" ca="1" si="35"/>
        <v>-95.249334543786247</v>
      </c>
      <c r="V36" s="241">
        <f t="shared" ca="1" si="35"/>
        <v>43.975196825886066</v>
      </c>
      <c r="W36" s="241">
        <f t="shared" ca="1" si="35"/>
        <v>-46.74888716817015</v>
      </c>
      <c r="X36" s="241">
        <f t="shared" ca="1" si="35"/>
        <v>69.30932549802732</v>
      </c>
      <c r="Y36" s="241">
        <f t="shared" ca="1" si="35"/>
        <v>69.733620237125052</v>
      </c>
      <c r="Z36" s="241">
        <f t="shared" ca="1" si="35"/>
        <v>40.488616743699971</v>
      </c>
      <c r="AA36" s="241">
        <f t="shared" ca="1" si="36"/>
        <v>47.143437104115883</v>
      </c>
      <c r="AB36" s="241">
        <f t="shared" ca="1" si="36"/>
        <v>-29.130249139225516</v>
      </c>
      <c r="AC36" s="241">
        <f t="shared" ca="1" si="36"/>
        <v>-39.045957266930003</v>
      </c>
      <c r="AD36" s="241">
        <f t="shared" ca="1" si="36"/>
        <v>40.253407519196898</v>
      </c>
      <c r="AE36" s="241">
        <f t="shared" ca="1" si="36"/>
        <v>-3.8879575040516712</v>
      </c>
      <c r="AF36" s="241">
        <f t="shared" ca="1" si="36"/>
        <v>-14.929108842288866</v>
      </c>
      <c r="AG36" s="241">
        <f t="shared" ca="1" si="36"/>
        <v>16.947176090449553</v>
      </c>
      <c r="AH36" s="241">
        <f t="shared" ca="1" si="36"/>
        <v>-15.479669928664061</v>
      </c>
      <c r="AI36" s="241">
        <f t="shared" ca="1" si="36"/>
        <v>-13.99835960899054</v>
      </c>
      <c r="AJ36" s="241">
        <f t="shared" ca="1" si="36"/>
        <v>-11.223525756087781</v>
      </c>
      <c r="AK36" s="241">
        <f t="shared" ca="1" si="36"/>
        <v>10.109972863679403</v>
      </c>
      <c r="AL36" s="241">
        <f t="shared" ca="1" si="36"/>
        <v>5.7328423038302567</v>
      </c>
      <c r="AM36" s="241">
        <f t="shared" ca="1" si="36"/>
        <v>-8.9641858225190223</v>
      </c>
      <c r="AN36" s="241">
        <f t="shared" ca="1" si="36"/>
        <v>3.0848898928041733</v>
      </c>
      <c r="CN36" s="248"/>
    </row>
    <row r="37" spans="2:93" ht="40.35" customHeight="1" x14ac:dyDescent="0.1">
      <c r="B37" s="231"/>
      <c r="F37" s="232"/>
      <c r="G37" s="232"/>
      <c r="H37" s="233" t="s">
        <v>587</v>
      </c>
      <c r="I37" s="234">
        <f t="shared" ca="1" si="5"/>
        <v>-1.0758118682330711</v>
      </c>
      <c r="J37" s="235">
        <f t="shared" ca="1" si="6"/>
        <v>426.08127508104536</v>
      </c>
      <c r="K37" s="236">
        <f t="shared" ca="1" si="7"/>
        <v>2460739.8358944966</v>
      </c>
      <c r="L37" s="237">
        <f t="shared" ca="1" si="8"/>
        <v>2460740.1718480326</v>
      </c>
      <c r="M37" s="238">
        <f t="shared" ca="1" si="9"/>
        <v>3.4828094644220602E-3</v>
      </c>
      <c r="N37" s="238">
        <f t="shared" ca="1" si="10"/>
        <v>74.529210533506898</v>
      </c>
      <c r="O37" s="239">
        <f t="shared" ca="1" si="11"/>
        <v>45721.671848032624</v>
      </c>
      <c r="P37" s="240">
        <f t="shared" ca="1" si="12"/>
        <v>353.96726169909755</v>
      </c>
      <c r="Q37" s="241">
        <f t="shared" ca="1" si="35"/>
        <v>-15.751258278942194</v>
      </c>
      <c r="R37" s="241">
        <f t="shared" ca="1" si="35"/>
        <v>202.4376205533701</v>
      </c>
      <c r="S37" s="241">
        <f t="shared" ca="1" si="35"/>
        <v>194.02516182523183</v>
      </c>
      <c r="T37" s="241">
        <f t="shared" ca="1" si="35"/>
        <v>-170.79222197917994</v>
      </c>
      <c r="U37" s="241">
        <f t="shared" ca="1" si="35"/>
        <v>-51.391573807661253</v>
      </c>
      <c r="V37" s="241">
        <f t="shared" ca="1" si="35"/>
        <v>22.837779525959824</v>
      </c>
      <c r="W37" s="241">
        <f t="shared" ca="1" si="35"/>
        <v>-13.96828257644037</v>
      </c>
      <c r="X37" s="241">
        <f t="shared" ca="1" si="35"/>
        <v>69.854036425414549</v>
      </c>
      <c r="Y37" s="241">
        <f t="shared" ca="1" si="35"/>
        <v>69.981747344277181</v>
      </c>
      <c r="Z37" s="241">
        <f t="shared" ca="1" si="35"/>
        <v>49.211573288267772</v>
      </c>
      <c r="AA37" s="241">
        <f t="shared" ca="1" si="36"/>
        <v>47.166981639966657</v>
      </c>
      <c r="AB37" s="241">
        <f t="shared" ca="1" si="36"/>
        <v>-28.465514026531803</v>
      </c>
      <c r="AC37" s="241">
        <f t="shared" ca="1" si="36"/>
        <v>-33.4233892106365</v>
      </c>
      <c r="AD37" s="241">
        <f t="shared" ca="1" si="36"/>
        <v>43.202454388008206</v>
      </c>
      <c r="AE37" s="241">
        <f t="shared" ca="1" si="36"/>
        <v>-4.7962328276913624</v>
      </c>
      <c r="AF37" s="241">
        <f t="shared" ca="1" si="36"/>
        <v>-8.5727886555273685</v>
      </c>
      <c r="AG37" s="241">
        <f t="shared" ca="1" si="36"/>
        <v>16.981761389164742</v>
      </c>
      <c r="AH37" s="241">
        <f t="shared" ca="1" si="36"/>
        <v>-15.703972366452355</v>
      </c>
      <c r="AI37" s="241">
        <f t="shared" ca="1" si="36"/>
        <v>-13.6006236479823</v>
      </c>
      <c r="AJ37" s="241">
        <f t="shared" ca="1" si="36"/>
        <v>-11.603504631897675</v>
      </c>
      <c r="AK37" s="241">
        <f t="shared" ca="1" si="36"/>
        <v>8.3901856976724076</v>
      </c>
      <c r="AL37" s="241">
        <f t="shared" ca="1" si="36"/>
        <v>2.9704770101191094</v>
      </c>
      <c r="AM37" s="241">
        <f t="shared" ca="1" si="36"/>
        <v>-8.9708340584699311</v>
      </c>
      <c r="AN37" s="241">
        <f t="shared" ca="1" si="36"/>
        <v>3.9476786790582477</v>
      </c>
      <c r="CN37" s="248"/>
      <c r="CO37" s="199" t="s">
        <v>588</v>
      </c>
    </row>
    <row r="38" spans="2:93" ht="40.35" customHeight="1" x14ac:dyDescent="0.1">
      <c r="CN38" s="213"/>
    </row>
    <row r="39" spans="2:93" x14ac:dyDescent="0.1">
      <c r="CN39" s="213"/>
    </row>
    <row r="40" spans="2:93" x14ac:dyDescent="0.1">
      <c r="CN40" s="213"/>
    </row>
    <row r="41" spans="2:93" x14ac:dyDescent="0.1">
      <c r="CO41" s="199" t="s">
        <v>589</v>
      </c>
    </row>
    <row r="46" spans="2:93" x14ac:dyDescent="0.1">
      <c r="CO46" s="199" t="s">
        <v>590</v>
      </c>
    </row>
    <row r="51" spans="12:95" x14ac:dyDescent="0.1">
      <c r="CP51" s="199" t="s">
        <v>624</v>
      </c>
      <c r="CQ51" s="199" t="s">
        <v>625</v>
      </c>
    </row>
    <row r="62" spans="12:95" x14ac:dyDescent="0.1">
      <c r="L62" s="249"/>
      <c r="N62" s="202"/>
    </row>
    <row r="63" spans="12:95" x14ac:dyDescent="0.1">
      <c r="L63" s="249"/>
      <c r="CO63" s="199" t="s">
        <v>591</v>
      </c>
    </row>
    <row r="64" spans="12:95" x14ac:dyDescent="0.1">
      <c r="L64" s="249"/>
    </row>
    <row r="65" spans="12:105" x14ac:dyDescent="0.1">
      <c r="L65" s="249"/>
      <c r="CO65" s="199" t="s">
        <v>592</v>
      </c>
    </row>
    <row r="66" spans="12:105" x14ac:dyDescent="0.1">
      <c r="L66" s="249"/>
    </row>
    <row r="67" spans="12:105" x14ac:dyDescent="0.1">
      <c r="L67" s="249"/>
    </row>
    <row r="68" spans="12:105" x14ac:dyDescent="0.1">
      <c r="L68" s="249"/>
    </row>
    <row r="69" spans="12:105" x14ac:dyDescent="0.1">
      <c r="L69" s="249"/>
    </row>
    <row r="70" spans="12:105" x14ac:dyDescent="0.1">
      <c r="L70" s="249"/>
      <c r="CO70" s="199" t="s">
        <v>626</v>
      </c>
    </row>
    <row r="71" spans="12:105" x14ac:dyDescent="0.1">
      <c r="L71" s="249"/>
    </row>
    <row r="72" spans="12:105" x14ac:dyDescent="0.1">
      <c r="L72" s="249"/>
    </row>
    <row r="73" spans="12:105" x14ac:dyDescent="0.1">
      <c r="L73" s="249"/>
    </row>
    <row r="74" spans="12:105" x14ac:dyDescent="0.1">
      <c r="L74" s="249"/>
    </row>
    <row r="75" spans="12:105" x14ac:dyDescent="0.1">
      <c r="L75" s="249"/>
      <c r="CO75" s="199" t="s">
        <v>627</v>
      </c>
    </row>
    <row r="76" spans="12:105" x14ac:dyDescent="0.1">
      <c r="L76" s="249"/>
      <c r="CO76" s="199" t="s">
        <v>593</v>
      </c>
    </row>
    <row r="77" spans="12:105" ht="20.100000000000001" customHeight="1" x14ac:dyDescent="0.1">
      <c r="L77" s="249"/>
      <c r="CO77" s="467" t="s">
        <v>628</v>
      </c>
      <c r="CP77" s="467"/>
      <c r="CQ77" s="467"/>
      <c r="CR77" s="467"/>
      <c r="CS77" s="467"/>
      <c r="CT77" s="467"/>
      <c r="CU77" s="467"/>
      <c r="CV77" s="467"/>
      <c r="CW77" s="467"/>
      <c r="CX77" s="467"/>
      <c r="CY77" s="467"/>
      <c r="CZ77" s="467"/>
      <c r="DA77" s="467"/>
    </row>
    <row r="78" spans="12:105" ht="20.100000000000001" customHeight="1" x14ac:dyDescent="0.1">
      <c r="L78" s="249"/>
      <c r="CO78" s="467"/>
      <c r="CP78" s="467"/>
      <c r="CQ78" s="467"/>
      <c r="CR78" s="467"/>
      <c r="CS78" s="467"/>
      <c r="CT78" s="467"/>
      <c r="CU78" s="467"/>
      <c r="CV78" s="467"/>
      <c r="CW78" s="467"/>
      <c r="CX78" s="467"/>
      <c r="CY78" s="467"/>
      <c r="CZ78" s="467"/>
      <c r="DA78" s="467"/>
    </row>
    <row r="79" spans="12:105" ht="20.100000000000001" customHeight="1" x14ac:dyDescent="0.1">
      <c r="L79" s="249"/>
      <c r="CO79" s="467"/>
      <c r="CP79" s="467"/>
      <c r="CQ79" s="467"/>
      <c r="CR79" s="467"/>
      <c r="CS79" s="467"/>
      <c r="CT79" s="467"/>
      <c r="CU79" s="467"/>
      <c r="CV79" s="467"/>
      <c r="CW79" s="467"/>
      <c r="CX79" s="467"/>
      <c r="CY79" s="467"/>
      <c r="CZ79" s="467"/>
      <c r="DA79" s="467"/>
    </row>
    <row r="80" spans="12:105" x14ac:dyDescent="0.1">
      <c r="L80" s="249"/>
    </row>
    <row r="81" spans="12:93" x14ac:dyDescent="0.1">
      <c r="L81" s="249"/>
      <c r="CO81" s="199" t="s">
        <v>629</v>
      </c>
    </row>
    <row r="82" spans="12:93" x14ac:dyDescent="0.1">
      <c r="L82" s="249"/>
    </row>
  </sheetData>
  <sheetProtection password="DE02" sheet="1" objects="1" scenarios="1" selectLockedCells="1" selectUnlockedCells="1"/>
  <mergeCells count="11">
    <mergeCell ref="G1:L1"/>
    <mergeCell ref="G2:L2"/>
    <mergeCell ref="G3:L3"/>
    <mergeCell ref="G4:L4"/>
    <mergeCell ref="CO77:DA79"/>
    <mergeCell ref="CO1:DC1"/>
    <mergeCell ref="CO2:DD2"/>
    <mergeCell ref="CO8:DD8"/>
    <mergeCell ref="CO12:DD14"/>
    <mergeCell ref="CO15:DD16"/>
    <mergeCell ref="CO20:DD22"/>
  </mergeCells>
  <phoneticPr fontId="26" type="noConversion"/>
  <dataValidations count="1">
    <dataValidation allowBlank="1" showInputMessage="1" showErrorMessage="1" error="_x000a_ 輸入年分日期請介於 [ -7000 ~ 7000 ]" promptTitle="   輸 入 格 式 提 醒" prompt="_x000a_   請輸入年分日期_x000a__x000a_ex [-7000 ~ 7000]" sqref="B1" xr:uid="{00000000-0002-0000-0300-000000000000}"/>
  </dataValidations>
  <hyperlinks>
    <hyperlink ref="G3" r:id="rId1" display="http://jieqi.911cha.com/" xr:uid="{00000000-0004-0000-0300-000000000000}"/>
    <hyperlink ref="G2" r:id="rId2" display="天文與曆法" xr:uid="{00000000-0004-0000-0300-000001000000}"/>
    <hyperlink ref="CO1:DC1" r:id="rId3" display="用橢圓軌道公式求出24節氣" xr:uid="{00000000-0004-0000-0300-000002000000}"/>
    <hyperlink ref="G4" r:id="rId4" xr:uid="{00000000-0004-0000-0300-000003000000}"/>
    <hyperlink ref="G7" r:id="rId5" xr:uid="{00000000-0004-0000-0300-000004000000}"/>
  </hyperlinks>
  <pageMargins left="0.23622047244094491" right="0.23622047244094491" top="0.74803149606299213" bottom="0.74803149606299213" header="0.31496062992125984" footer="0.31496062992125984"/>
  <pageSetup paperSize="9" orientation="landscape"/>
  <headerFooter alignWithMargins="0"/>
  <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7030A0"/>
  </sheetPr>
  <dimension ref="A1:CN2055"/>
  <sheetViews>
    <sheetView topLeftCell="CD1" zoomScale="200" workbookViewId="0">
      <selection activeCell="A28" sqref="A1:CC65536"/>
    </sheetView>
  </sheetViews>
  <sheetFormatPr defaultColWidth="9" defaultRowHeight="11.25" x14ac:dyDescent="0.1"/>
  <cols>
    <col min="1" max="1" width="12.125" style="6" hidden="1" customWidth="1"/>
    <col min="2" max="2" width="20.5" style="9" hidden="1" customWidth="1"/>
    <col min="3" max="3" width="12.125" style="9" hidden="1" customWidth="1"/>
    <col min="4" max="4" width="4.5" style="14" hidden="1" customWidth="1"/>
    <col min="5" max="5" width="6" style="6" hidden="1" customWidth="1"/>
    <col min="6" max="6" width="4.5" style="2" hidden="1" customWidth="1"/>
    <col min="7" max="7" width="2.125" style="2" hidden="1" customWidth="1"/>
    <col min="8" max="8" width="5" style="3" hidden="1" customWidth="1"/>
    <col min="9" max="9" width="4.5" style="2" hidden="1" customWidth="1"/>
    <col min="10" max="10" width="4.125" style="2" hidden="1" customWidth="1"/>
    <col min="11" max="11" width="4.875" style="2" hidden="1" customWidth="1"/>
    <col min="12" max="13" width="3" style="2" hidden="1" customWidth="1"/>
    <col min="14" max="14" width="6.625" style="2" hidden="1" customWidth="1"/>
    <col min="15" max="15" width="9.625" style="2" hidden="1" customWidth="1"/>
    <col min="16" max="16" width="9" style="2" hidden="1" customWidth="1"/>
    <col min="17" max="17" width="5.625" style="16" hidden="1" customWidth="1"/>
    <col min="18" max="19" width="5.625" style="7" hidden="1" customWidth="1"/>
    <col min="20" max="22" width="5.625" style="17" hidden="1" customWidth="1"/>
    <col min="23" max="23" width="7.625" style="17" hidden="1" customWidth="1"/>
    <col min="24" max="24" width="5.625" style="17" hidden="1" customWidth="1"/>
    <col min="25" max="25" width="5.875" style="18" hidden="1" customWidth="1"/>
    <col min="26" max="26" width="8.125" style="19" hidden="1" customWidth="1"/>
    <col min="27" max="27" width="13.875" style="20" hidden="1" customWidth="1"/>
    <col min="28" max="28" width="5.625" style="17" hidden="1" customWidth="1"/>
    <col min="29" max="29" width="5.625" style="21" hidden="1" customWidth="1"/>
    <col min="30" max="30" width="5.625" style="7" hidden="1" customWidth="1"/>
    <col min="31" max="31" width="5.625" style="22" hidden="1" customWidth="1"/>
    <col min="32" max="32" width="9.875" style="7" hidden="1" customWidth="1"/>
    <col min="33" max="33" width="9.125" style="7" hidden="1" customWidth="1"/>
    <col min="34" max="35" width="5.625" style="5" hidden="1" customWidth="1"/>
    <col min="36" max="36" width="5.625" style="7" hidden="1" customWidth="1"/>
    <col min="37" max="38" width="5.625" style="2" hidden="1" customWidth="1"/>
    <col min="39" max="39" width="10.125" style="2" hidden="1" customWidth="1"/>
    <col min="40" max="40" width="11.625" style="23" hidden="1" customWidth="1"/>
    <col min="41" max="41" width="7.875" style="1" hidden="1" customWidth="1"/>
    <col min="42" max="42" width="5.125" style="2" hidden="1" customWidth="1"/>
    <col min="43" max="43" width="7.125" style="3" hidden="1" customWidth="1"/>
    <col min="44" max="44" width="8.125" style="3" hidden="1" customWidth="1"/>
    <col min="45" max="45" width="18" style="3" hidden="1" customWidth="1"/>
    <col min="46" max="46" width="8.125" style="2" hidden="1" customWidth="1"/>
    <col min="47" max="47" width="5.625" style="2" hidden="1" customWidth="1"/>
    <col min="48" max="48" width="7.375" style="3" hidden="1" customWidth="1"/>
    <col min="49" max="49" width="8.5" style="3" hidden="1" customWidth="1"/>
    <col min="50" max="50" width="9.125" style="24" hidden="1" customWidth="1"/>
    <col min="51" max="51" width="7.625" style="24" hidden="1" customWidth="1"/>
    <col min="52" max="52" width="6.125" style="24" hidden="1" customWidth="1"/>
    <col min="53" max="53" width="4.125" style="24" hidden="1" customWidth="1"/>
    <col min="54" max="75" width="5.625" style="3" hidden="1" customWidth="1"/>
    <col min="76" max="81" width="5.625" style="2" hidden="1" customWidth="1"/>
    <col min="82" max="92" width="5.625" style="2" customWidth="1"/>
    <col min="93" max="16384" width="9" style="169"/>
  </cols>
  <sheetData>
    <row r="1" spans="1:92" s="157" customFormat="1" ht="14.25" customHeight="1" x14ac:dyDescent="0.1">
      <c r="A1" s="12" t="s">
        <v>385</v>
      </c>
      <c r="B1" s="471" t="s">
        <v>548</v>
      </c>
      <c r="C1" s="471"/>
      <c r="D1" s="472" t="s">
        <v>382</v>
      </c>
      <c r="E1" s="473"/>
      <c r="F1" s="474" t="s">
        <v>383</v>
      </c>
      <c r="G1" s="474"/>
      <c r="H1" s="473"/>
      <c r="I1" s="472" t="s">
        <v>384</v>
      </c>
      <c r="J1" s="474"/>
      <c r="K1" s="473"/>
      <c r="L1" s="36"/>
      <c r="M1" s="36"/>
      <c r="N1" s="12" t="s">
        <v>549</v>
      </c>
      <c r="O1" s="49" t="s">
        <v>114</v>
      </c>
      <c r="P1" s="27" t="s">
        <v>387</v>
      </c>
      <c r="Q1" s="27" t="s">
        <v>388</v>
      </c>
      <c r="R1" s="10" t="s">
        <v>389</v>
      </c>
      <c r="S1" s="10" t="s">
        <v>390</v>
      </c>
      <c r="T1" s="28" t="s">
        <v>386</v>
      </c>
      <c r="U1" s="28" t="s">
        <v>0</v>
      </c>
      <c r="V1" s="28" t="s">
        <v>1</v>
      </c>
      <c r="W1" s="28" t="s">
        <v>103</v>
      </c>
      <c r="X1" s="28" t="s">
        <v>391</v>
      </c>
      <c r="Y1" s="29" t="s">
        <v>392</v>
      </c>
      <c r="Z1" s="30" t="s">
        <v>392</v>
      </c>
      <c r="AA1" s="29" t="s">
        <v>393</v>
      </c>
      <c r="AB1" s="28" t="s">
        <v>394</v>
      </c>
      <c r="AC1" s="470" t="s">
        <v>395</v>
      </c>
      <c r="AD1" s="470"/>
      <c r="AE1" s="31" t="s">
        <v>396</v>
      </c>
      <c r="AF1" s="10" t="s">
        <v>397</v>
      </c>
      <c r="AG1" s="10"/>
      <c r="AH1" s="10" t="s">
        <v>398</v>
      </c>
      <c r="AI1" s="10" t="s">
        <v>399</v>
      </c>
      <c r="AJ1" s="11" t="s">
        <v>400</v>
      </c>
      <c r="AK1" s="12"/>
      <c r="AL1" s="12" t="s">
        <v>401</v>
      </c>
      <c r="AM1" s="12" t="s">
        <v>402</v>
      </c>
      <c r="AN1" s="32" t="s">
        <v>550</v>
      </c>
      <c r="AO1" s="33" t="s">
        <v>403</v>
      </c>
      <c r="AP1" s="12" t="s">
        <v>404</v>
      </c>
      <c r="AQ1" s="26" t="s">
        <v>405</v>
      </c>
      <c r="AR1" s="153" t="s">
        <v>406</v>
      </c>
      <c r="AS1" s="153" t="s">
        <v>407</v>
      </c>
      <c r="AT1" s="154" t="s">
        <v>151</v>
      </c>
      <c r="AU1" s="155" t="s">
        <v>212</v>
      </c>
      <c r="AV1" s="155" t="s">
        <v>213</v>
      </c>
      <c r="AW1" s="155" t="s">
        <v>214</v>
      </c>
      <c r="AX1" s="156" t="s">
        <v>215</v>
      </c>
      <c r="AY1" s="156" t="s">
        <v>216</v>
      </c>
      <c r="AZ1" s="156" t="s">
        <v>217</v>
      </c>
      <c r="BA1" s="156" t="s">
        <v>218</v>
      </c>
      <c r="BB1" s="26"/>
      <c r="BC1" s="26"/>
      <c r="BD1" s="26"/>
      <c r="BE1" s="26"/>
      <c r="BF1" s="26"/>
      <c r="BG1" s="26"/>
      <c r="BH1" s="26"/>
      <c r="BI1" s="26"/>
      <c r="BJ1" s="26"/>
      <c r="BK1" s="26"/>
      <c r="BL1" s="26"/>
      <c r="BM1" s="26"/>
      <c r="BN1" s="26"/>
      <c r="BO1" s="26"/>
      <c r="BP1" s="26"/>
      <c r="BQ1" s="26"/>
      <c r="BR1" s="26"/>
      <c r="BS1" s="26"/>
      <c r="BT1" s="26"/>
      <c r="BU1" s="26"/>
      <c r="BV1" s="26"/>
      <c r="BW1" s="26"/>
      <c r="BX1" s="12"/>
      <c r="BY1" s="12"/>
      <c r="BZ1" s="12"/>
      <c r="CA1" s="12"/>
      <c r="CB1" s="12"/>
      <c r="CC1" s="12"/>
      <c r="CD1" s="12"/>
      <c r="CE1" s="12"/>
      <c r="CF1" s="12"/>
      <c r="CG1" s="12"/>
      <c r="CH1" s="12"/>
      <c r="CI1" s="12"/>
      <c r="CJ1" s="12"/>
      <c r="CK1" s="12"/>
      <c r="CL1" s="12"/>
      <c r="CM1" s="12"/>
      <c r="CN1" s="12"/>
    </row>
    <row r="2" spans="1:92" x14ac:dyDescent="0.1">
      <c r="A2" s="6" t="s">
        <v>409</v>
      </c>
      <c r="B2" s="14" t="str">
        <f ca="1">OFFSET(天干列,C2,0)</f>
        <v>甲</v>
      </c>
      <c r="C2" s="9">
        <f ca="1">IF((MOD(阴历年-3,10))=0,10,(MOD(阴历年-3,10)))</f>
        <v>1</v>
      </c>
      <c r="D2" s="37" t="str">
        <f ca="1">OFFSET(天干列,E2,0)</f>
        <v>壬</v>
      </c>
      <c r="E2" s="46">
        <f ca="1">IF(MOD(阴历月+E4-1,10)=0,10,MOD(阴历月+E4-1,10))</f>
        <v>9</v>
      </c>
      <c r="F2" s="3" t="str">
        <f ca="1">OFFSET(天干列,G2,0)</f>
        <v>癸</v>
      </c>
      <c r="G2" s="1">
        <f ca="1">IF((MOD(H2,10))=0,10,(MOD(H2,10)))</f>
        <v>10</v>
      </c>
      <c r="H2" s="42">
        <f ca="1">1+INT(在查日期- DATE(1900,1,1))-I3</f>
        <v>45530</v>
      </c>
      <c r="I2" s="37">
        <f ca="1">(G2-5)*2-1</f>
        <v>9</v>
      </c>
      <c r="J2" s="6" t="str">
        <f ca="1">OFFSET(天干列,K2,0)</f>
        <v>癸</v>
      </c>
      <c r="K2" s="38">
        <f ca="1">IF((MOD(K3+I2-1,10))=0,10,(MOD(K3+I2-1,10)))</f>
        <v>10</v>
      </c>
      <c r="N2" s="2">
        <v>0</v>
      </c>
      <c r="O2" s="50">
        <v>1</v>
      </c>
      <c r="P2" s="2" t="s">
        <v>410</v>
      </c>
      <c r="Q2" s="16">
        <v>1</v>
      </c>
      <c r="R2" s="7">
        <v>31</v>
      </c>
      <c r="S2" s="7">
        <v>0</v>
      </c>
      <c r="T2" s="17" t="s">
        <v>11</v>
      </c>
      <c r="U2" s="17" t="s">
        <v>12</v>
      </c>
      <c r="V2" s="17" t="s">
        <v>13</v>
      </c>
      <c r="W2" s="18">
        <f t="shared" ref="W2:W25" ca="1" si="0">MONTH(AA2)*100+DAY(AA2)</f>
        <v>106</v>
      </c>
      <c r="X2" s="17" t="s">
        <v>36</v>
      </c>
      <c r="Y2" s="18">
        <v>0</v>
      </c>
      <c r="Z2" s="158">
        <v>0</v>
      </c>
      <c r="AA2" s="159">
        <f ca="1">节气初始时刻+节气跨度</f>
        <v>45297.170299999998</v>
      </c>
      <c r="AC2" s="160">
        <v>101</v>
      </c>
      <c r="AD2" s="161" t="s">
        <v>62</v>
      </c>
      <c r="AE2" s="162">
        <v>0</v>
      </c>
      <c r="AF2" s="7">
        <v>100</v>
      </c>
      <c r="AG2" s="7" t="s">
        <v>411</v>
      </c>
      <c r="AH2" s="163" t="s">
        <v>412</v>
      </c>
      <c r="AI2" s="5" t="s">
        <v>413</v>
      </c>
      <c r="AJ2" s="163">
        <v>1900</v>
      </c>
      <c r="AL2" s="2">
        <f ca="1">时</f>
        <v>15</v>
      </c>
      <c r="AM2" s="2" t="str">
        <f ca="1">AM3&amp;AM4&amp;AM5&amp;AM6&amp;AM7&amp;AM8&amp;AM9&amp;AM10</f>
        <v>下午好! 现在是:</v>
      </c>
      <c r="AN2" s="35">
        <v>1</v>
      </c>
      <c r="AO2" s="4" t="s">
        <v>414</v>
      </c>
      <c r="AP2" s="164" t="s">
        <v>115</v>
      </c>
      <c r="AQ2" s="3">
        <v>1</v>
      </c>
      <c r="AR2" s="163">
        <v>25</v>
      </c>
      <c r="AS2" s="165">
        <v>220</v>
      </c>
      <c r="AT2" s="163" t="s">
        <v>152</v>
      </c>
      <c r="AU2" s="166" t="s">
        <v>310</v>
      </c>
      <c r="AV2" s="163"/>
      <c r="AW2" s="163"/>
      <c r="AY2" s="167" t="s">
        <v>153</v>
      </c>
      <c r="AZ2" s="168" t="s">
        <v>154</v>
      </c>
      <c r="BA2" s="168"/>
      <c r="BM2" s="26"/>
      <c r="BN2" s="26"/>
      <c r="BO2" s="26"/>
      <c r="BP2" s="26"/>
      <c r="BQ2" s="26"/>
      <c r="BR2" s="26"/>
      <c r="BS2" s="26"/>
      <c r="BT2" s="26"/>
      <c r="BU2" s="26"/>
      <c r="BV2" s="26"/>
      <c r="BW2" s="26"/>
      <c r="BX2" s="12"/>
      <c r="BY2" s="12"/>
      <c r="BZ2" s="12"/>
      <c r="CA2" s="12"/>
      <c r="CB2" s="12"/>
      <c r="CC2" s="12"/>
      <c r="CD2" s="12"/>
      <c r="CE2" s="12"/>
      <c r="CF2" s="12"/>
      <c r="CG2" s="12"/>
      <c r="CH2" s="12"/>
      <c r="CI2" s="12"/>
      <c r="CJ2" s="12"/>
      <c r="CK2" s="12"/>
      <c r="CL2" s="12"/>
      <c r="CM2" s="12"/>
      <c r="CN2" s="12"/>
    </row>
    <row r="3" spans="1:92" x14ac:dyDescent="0.1">
      <c r="A3" s="6" t="s">
        <v>415</v>
      </c>
      <c r="B3" s="14" t="str">
        <f ca="1">OFFSET(地支列,C3,0)</f>
        <v>辰</v>
      </c>
      <c r="C3" s="9">
        <f ca="1">IF((MOD(阴历年-3,12))=0,12,(MOD(阴历年-3,12)))</f>
        <v>5</v>
      </c>
      <c r="D3" s="37" t="str">
        <f ca="1">OFFSET(地支列,E3,0)</f>
        <v>申</v>
      </c>
      <c r="E3" s="46">
        <f ca="1">IF(MOD(阴历月+2,12)=0,12,MOD(阴历月+2,12))</f>
        <v>9</v>
      </c>
      <c r="F3" s="45" t="str">
        <f ca="1">OFFSET(地支列,G3,0)</f>
        <v>亥</v>
      </c>
      <c r="G3" s="43">
        <f ca="1">IF((MOD(H3,12))=0,12,(MOD(H3,12)))</f>
        <v>12</v>
      </c>
      <c r="H3" s="44">
        <f ca="1">11+INT(在查日期- DATE(1900,1,1))-I3</f>
        <v>45540</v>
      </c>
      <c r="I3" s="39">
        <f ca="1">IF(DATE(年份,月份,在查日)&lt;=DATE(1900,2,28),0,系统误差)</f>
        <v>1</v>
      </c>
      <c r="J3" s="2" t="str">
        <f ca="1">OFFSET(地支列,K3,0)</f>
        <v>亥</v>
      </c>
      <c r="K3" s="38">
        <f ca="1">INT((MOD(在查时,23)+1)/2)+1</f>
        <v>12</v>
      </c>
      <c r="N3" s="2">
        <v>1</v>
      </c>
      <c r="O3" s="50">
        <v>2</v>
      </c>
      <c r="P3" s="2" t="s">
        <v>416</v>
      </c>
      <c r="Q3" s="16">
        <v>2</v>
      </c>
      <c r="R3" s="7">
        <f ca="1">IF(闰年否,29,28)</f>
        <v>29</v>
      </c>
      <c r="S3" s="7">
        <f t="shared" ref="S3:S14" si="1">S2+R2</f>
        <v>31</v>
      </c>
      <c r="T3" s="17" t="s">
        <v>14</v>
      </c>
      <c r="U3" s="17" t="s">
        <v>15</v>
      </c>
      <c r="V3" s="17" t="s">
        <v>16</v>
      </c>
      <c r="W3" s="18">
        <f t="shared" ca="1" si="0"/>
        <v>120</v>
      </c>
      <c r="X3" s="17" t="s">
        <v>37</v>
      </c>
      <c r="Y3" s="18">
        <v>21208</v>
      </c>
      <c r="Z3" s="158">
        <v>14.724999999998545</v>
      </c>
      <c r="AA3" s="159">
        <f t="shared" ref="AA3:AA25" ca="1" si="2">AA2+Z3</f>
        <v>45311.895299999996</v>
      </c>
      <c r="AB3" s="17">
        <v>12</v>
      </c>
      <c r="AC3" s="160">
        <v>105</v>
      </c>
      <c r="AD3" s="161" t="s">
        <v>417</v>
      </c>
      <c r="AE3" s="162">
        <v>1985</v>
      </c>
      <c r="AF3" s="7">
        <v>101</v>
      </c>
      <c r="AG3" s="7" t="s">
        <v>69</v>
      </c>
      <c r="AH3" s="163" t="s">
        <v>71</v>
      </c>
      <c r="AI3" s="5" t="s">
        <v>418</v>
      </c>
      <c r="AJ3" s="163">
        <v>1901</v>
      </c>
      <c r="AL3" s="2">
        <v>0</v>
      </c>
      <c r="AM3" s="2" t="str">
        <f ca="1">IF(AND($AL$2&gt;=AL3,$AL$2&lt;AL4),"夜深了, 该睡了! 现在是:","")</f>
        <v/>
      </c>
      <c r="AN3" s="35">
        <v>31</v>
      </c>
      <c r="AO3" s="4" t="s">
        <v>100</v>
      </c>
      <c r="AP3" s="164" t="s">
        <v>138</v>
      </c>
      <c r="AQ3" s="3">
        <v>2</v>
      </c>
      <c r="AR3" s="163">
        <v>220</v>
      </c>
      <c r="AS3" s="165">
        <v>265</v>
      </c>
      <c r="AT3" s="163" t="s">
        <v>419</v>
      </c>
      <c r="AU3" s="166" t="s">
        <v>310</v>
      </c>
      <c r="AV3" s="163"/>
      <c r="AW3" s="163"/>
      <c r="AY3" s="167" t="s">
        <v>155</v>
      </c>
      <c r="AZ3" s="168" t="s">
        <v>154</v>
      </c>
      <c r="BA3" s="168"/>
    </row>
    <row r="4" spans="1:92" x14ac:dyDescent="0.1">
      <c r="A4" s="6" t="s">
        <v>386</v>
      </c>
      <c r="B4" s="14" t="str">
        <f ca="1">OFFSET(生肖列,C3,0)</f>
        <v>龙</v>
      </c>
      <c r="C4" s="25">
        <f ca="1">IF(ISERROR(Ponstellation＿Pic_Arr*1),10,Ponstellation＿Pic_Arr)</f>
        <v>10</v>
      </c>
      <c r="D4" s="47"/>
      <c r="E4" s="48">
        <f ca="1">IF(((MOD(阴历年,5)-2)*2-1)&lt;0,((MOD(阴历年,5)-2)*2-1)+10,((MOD(阴历年,5)-2)*2-1))</f>
        <v>3</v>
      </c>
      <c r="F4" s="163"/>
      <c r="H4" s="2"/>
      <c r="I4" s="40" t="s">
        <v>423</v>
      </c>
      <c r="J4" s="170" t="str">
        <f ca="1">J2&amp;J3</f>
        <v>癸亥</v>
      </c>
      <c r="K4" s="41"/>
      <c r="N4" s="2">
        <v>2</v>
      </c>
      <c r="O4" s="50">
        <v>3</v>
      </c>
      <c r="P4" s="2" t="s">
        <v>420</v>
      </c>
      <c r="Q4" s="16">
        <v>3</v>
      </c>
      <c r="R4" s="7">
        <v>31</v>
      </c>
      <c r="S4" s="7">
        <f t="shared" ca="1" si="1"/>
        <v>60</v>
      </c>
      <c r="T4" s="17" t="s">
        <v>17</v>
      </c>
      <c r="U4" s="17" t="s">
        <v>18</v>
      </c>
      <c r="V4" s="17" t="s">
        <v>19</v>
      </c>
      <c r="W4" s="18">
        <f t="shared" ca="1" si="0"/>
        <v>204</v>
      </c>
      <c r="X4" s="17" t="s">
        <v>38</v>
      </c>
      <c r="Y4" s="18">
        <v>21259</v>
      </c>
      <c r="Z4" s="158">
        <v>14.761111111110949</v>
      </c>
      <c r="AA4" s="159">
        <f t="shared" ca="1" si="2"/>
        <v>45326.656411111107</v>
      </c>
      <c r="AC4" s="160">
        <v>207</v>
      </c>
      <c r="AD4" s="161" t="s">
        <v>421</v>
      </c>
      <c r="AE4" s="162">
        <v>1923</v>
      </c>
      <c r="AF4" s="7">
        <v>115</v>
      </c>
      <c r="AG4" s="7" t="s">
        <v>63</v>
      </c>
      <c r="AH4" s="163" t="s">
        <v>72</v>
      </c>
      <c r="AI4" s="5" t="s">
        <v>422</v>
      </c>
      <c r="AJ4" s="163">
        <v>1902</v>
      </c>
      <c r="AL4" s="2">
        <v>3</v>
      </c>
      <c r="AM4" s="2" t="str">
        <f ca="1">IF(AND($AL$2&gt;=AL4,$AL$2&lt;AL5),"天快亮了! 已经是:","")</f>
        <v/>
      </c>
      <c r="AN4" s="35">
        <v>61</v>
      </c>
      <c r="AO4" s="4" t="s">
        <v>104</v>
      </c>
      <c r="AP4" s="164" t="s">
        <v>116</v>
      </c>
      <c r="AQ4" s="3">
        <v>3</v>
      </c>
      <c r="AR4" s="163">
        <v>221</v>
      </c>
      <c r="AS4" s="165">
        <v>263</v>
      </c>
      <c r="AT4" s="163" t="s">
        <v>156</v>
      </c>
      <c r="AU4" s="166" t="s">
        <v>310</v>
      </c>
      <c r="AV4" s="163"/>
      <c r="AW4" s="163"/>
      <c r="AY4" s="167" t="s">
        <v>157</v>
      </c>
      <c r="AZ4" s="168" t="s">
        <v>158</v>
      </c>
      <c r="BA4" s="168"/>
    </row>
    <row r="5" spans="1:92" x14ac:dyDescent="0.1">
      <c r="N5" s="2">
        <v>3</v>
      </c>
      <c r="O5" s="50">
        <v>4</v>
      </c>
      <c r="P5" s="2" t="s">
        <v>424</v>
      </c>
      <c r="Q5" s="16">
        <v>4</v>
      </c>
      <c r="R5" s="7">
        <v>30</v>
      </c>
      <c r="S5" s="7">
        <f t="shared" ca="1" si="1"/>
        <v>91</v>
      </c>
      <c r="T5" s="17" t="s">
        <v>20</v>
      </c>
      <c r="U5" s="17" t="s">
        <v>21</v>
      </c>
      <c r="V5" s="17" t="s">
        <v>22</v>
      </c>
      <c r="W5" s="18">
        <f t="shared" ca="1" si="0"/>
        <v>219</v>
      </c>
      <c r="X5" s="17" t="s">
        <v>39</v>
      </c>
      <c r="Y5" s="18">
        <v>21369</v>
      </c>
      <c r="Z5" s="158">
        <v>14.829861111109494</v>
      </c>
      <c r="AA5" s="159">
        <f t="shared" ca="1" si="2"/>
        <v>45341.486272222217</v>
      </c>
      <c r="AB5" s="17">
        <v>1</v>
      </c>
      <c r="AC5" s="160">
        <v>214</v>
      </c>
      <c r="AD5" s="161" t="s">
        <v>59</v>
      </c>
      <c r="AE5" s="162">
        <v>300</v>
      </c>
      <c r="AF5" s="7">
        <v>202</v>
      </c>
      <c r="AG5" s="7" t="s">
        <v>425</v>
      </c>
      <c r="AH5" s="163" t="s">
        <v>73</v>
      </c>
      <c r="AI5" s="5" t="s">
        <v>426</v>
      </c>
      <c r="AJ5" s="163">
        <v>1903</v>
      </c>
      <c r="AL5" s="2">
        <v>5</v>
      </c>
      <c r="AM5" s="2" t="str">
        <f ca="1">IF(AND($AL$2&gt;=AL5,$AL$2&lt;AL6),"早上好! 现在是:","")</f>
        <v/>
      </c>
      <c r="AN5" s="35">
        <v>91</v>
      </c>
      <c r="AO5" s="4" t="s">
        <v>105</v>
      </c>
      <c r="AP5" s="164" t="s">
        <v>117</v>
      </c>
      <c r="AQ5" s="3">
        <v>4</v>
      </c>
      <c r="AR5" s="163">
        <v>229</v>
      </c>
      <c r="AS5" s="165">
        <v>280</v>
      </c>
      <c r="AT5" s="163" t="s">
        <v>159</v>
      </c>
      <c r="AU5" s="166" t="s">
        <v>310</v>
      </c>
      <c r="AV5" s="163"/>
      <c r="AW5" s="163"/>
      <c r="AY5" s="167" t="s">
        <v>160</v>
      </c>
      <c r="AZ5" s="168" t="s">
        <v>161</v>
      </c>
      <c r="BA5" s="168"/>
    </row>
    <row r="6" spans="1:92" x14ac:dyDescent="0.1">
      <c r="A6" s="6" t="s">
        <v>136</v>
      </c>
      <c r="B6" s="9" t="b">
        <f ca="1">IF(MOD(年份,400)=0,TRUE,IF(AND(MOD(年份,4)=0,MOD(年份,100)&lt;&gt;0),TRUE,FALSE))</f>
        <v>1</v>
      </c>
      <c r="N6" s="2">
        <v>4</v>
      </c>
      <c r="O6" s="50">
        <v>5</v>
      </c>
      <c r="P6" s="2" t="s">
        <v>427</v>
      </c>
      <c r="Q6" s="16">
        <v>5</v>
      </c>
      <c r="R6" s="7">
        <v>31</v>
      </c>
      <c r="S6" s="7">
        <f t="shared" ca="1" si="1"/>
        <v>121</v>
      </c>
      <c r="T6" s="17" t="s">
        <v>23</v>
      </c>
      <c r="U6" s="17" t="s">
        <v>24</v>
      </c>
      <c r="V6" s="17" t="s">
        <v>25</v>
      </c>
      <c r="W6" s="18">
        <f t="shared" ca="1" si="0"/>
        <v>305</v>
      </c>
      <c r="X6" s="17" t="s">
        <v>40</v>
      </c>
      <c r="Y6" s="18">
        <v>21501</v>
      </c>
      <c r="Z6" s="158">
        <v>14.922222222223354</v>
      </c>
      <c r="AA6" s="159">
        <f t="shared" ca="1" si="2"/>
        <v>45356.40849444444</v>
      </c>
      <c r="AC6" s="160">
        <v>305</v>
      </c>
      <c r="AD6" s="161" t="s">
        <v>428</v>
      </c>
      <c r="AE6" s="162">
        <v>1967</v>
      </c>
      <c r="AF6" s="7">
        <v>208</v>
      </c>
      <c r="AG6" s="7" t="s">
        <v>429</v>
      </c>
      <c r="AH6" s="163" t="s">
        <v>74</v>
      </c>
      <c r="AI6" s="5" t="s">
        <v>430</v>
      </c>
      <c r="AJ6" s="163">
        <v>1904</v>
      </c>
      <c r="AL6" s="2">
        <v>8.5</v>
      </c>
      <c r="AM6" s="2" t="str">
        <f ca="1">IF(AND($AL$2&gt;=AL6,$AL$2&lt;AL7),"上午好! 现在是:","")</f>
        <v/>
      </c>
      <c r="AN6" s="35">
        <v>120</v>
      </c>
      <c r="AO6" s="4" t="s">
        <v>106</v>
      </c>
      <c r="AP6" s="164" t="s">
        <v>139</v>
      </c>
      <c r="AQ6" s="3">
        <v>5</v>
      </c>
      <c r="AR6" s="163">
        <v>265</v>
      </c>
      <c r="AS6" s="165">
        <v>316</v>
      </c>
      <c r="AT6" s="163" t="s">
        <v>162</v>
      </c>
      <c r="AU6" s="166" t="s">
        <v>310</v>
      </c>
      <c r="AV6" s="163"/>
      <c r="AW6" s="163"/>
      <c r="AY6" s="167" t="s">
        <v>163</v>
      </c>
      <c r="AZ6" s="168" t="s">
        <v>154</v>
      </c>
      <c r="BA6" s="168"/>
    </row>
    <row r="7" spans="1:92" x14ac:dyDescent="0.1">
      <c r="A7" s="6" t="s">
        <v>137</v>
      </c>
      <c r="B7" s="25" t="b">
        <f ca="1">IF(OR(C7=0,C7=3,C7=6,C7=9,C7=11,C7=14,C7=17),TRUE,FALSE)</f>
        <v>0</v>
      </c>
      <c r="C7" s="25">
        <f ca="1">MOD((年份-1900),19)</f>
        <v>10</v>
      </c>
      <c r="N7" s="2">
        <v>5</v>
      </c>
      <c r="O7" s="50">
        <v>6</v>
      </c>
      <c r="P7" s="2" t="s">
        <v>431</v>
      </c>
      <c r="Q7" s="16">
        <v>6</v>
      </c>
      <c r="R7" s="7">
        <v>30</v>
      </c>
      <c r="S7" s="7">
        <f t="shared" ca="1" si="1"/>
        <v>152</v>
      </c>
      <c r="T7" s="17" t="s">
        <v>26</v>
      </c>
      <c r="U7" s="17" t="s">
        <v>27</v>
      </c>
      <c r="V7" s="17" t="s">
        <v>28</v>
      </c>
      <c r="W7" s="18">
        <f t="shared" ca="1" si="0"/>
        <v>320</v>
      </c>
      <c r="X7" s="17" t="s">
        <v>41</v>
      </c>
      <c r="Y7" s="18">
        <v>21677</v>
      </c>
      <c r="Z7" s="158">
        <v>15.038888888884685</v>
      </c>
      <c r="AA7" s="159">
        <f t="shared" ca="1" si="2"/>
        <v>45371.447383333325</v>
      </c>
      <c r="AB7" s="17">
        <v>2</v>
      </c>
      <c r="AC7" s="160">
        <v>308</v>
      </c>
      <c r="AD7" s="161" t="s">
        <v>432</v>
      </c>
      <c r="AE7" s="162">
        <v>1910</v>
      </c>
      <c r="AF7" s="7">
        <v>303</v>
      </c>
      <c r="AG7" s="7" t="s">
        <v>433</v>
      </c>
      <c r="AH7" s="163" t="s">
        <v>75</v>
      </c>
      <c r="AI7" s="5" t="s">
        <v>434</v>
      </c>
      <c r="AJ7" s="163">
        <v>1905</v>
      </c>
      <c r="AL7" s="2">
        <v>11</v>
      </c>
      <c r="AM7" s="2" t="str">
        <f ca="1">IF(AND($AL$2&gt;=AL7,$AL$2&lt;AL8),"中午好! 现在是:","")</f>
        <v/>
      </c>
      <c r="AN7" s="35">
        <v>149</v>
      </c>
      <c r="AO7" s="4" t="s">
        <v>107</v>
      </c>
      <c r="AP7" s="164" t="s">
        <v>140</v>
      </c>
      <c r="AQ7" s="3" t="s">
        <v>435</v>
      </c>
      <c r="AR7" s="163">
        <v>317</v>
      </c>
      <c r="AS7" s="165">
        <v>420</v>
      </c>
      <c r="AT7" s="163" t="s">
        <v>164</v>
      </c>
      <c r="AU7" s="166" t="s">
        <v>310</v>
      </c>
      <c r="AV7" s="163"/>
      <c r="AW7" s="163"/>
      <c r="AY7" s="167" t="s">
        <v>165</v>
      </c>
      <c r="AZ7" s="168" t="s">
        <v>166</v>
      </c>
      <c r="BA7" s="168"/>
    </row>
    <row r="8" spans="1:92" x14ac:dyDescent="0.1">
      <c r="A8" s="6" t="s">
        <v>70</v>
      </c>
      <c r="B8" s="9">
        <f ca="1">OFFSET(每月天数,月份,0)</f>
        <v>31</v>
      </c>
      <c r="N8" s="2">
        <v>6</v>
      </c>
      <c r="O8" s="50">
        <v>7</v>
      </c>
      <c r="P8" s="2" t="s">
        <v>436</v>
      </c>
      <c r="Q8" s="16">
        <v>7</v>
      </c>
      <c r="R8" s="7">
        <v>31</v>
      </c>
      <c r="S8" s="7">
        <f t="shared" ca="1" si="1"/>
        <v>182</v>
      </c>
      <c r="T8" s="17" t="s">
        <v>29</v>
      </c>
      <c r="U8" s="17" t="s">
        <v>30</v>
      </c>
      <c r="V8" s="17" t="s">
        <v>31</v>
      </c>
      <c r="W8" s="18">
        <f t="shared" ca="1" si="0"/>
        <v>404</v>
      </c>
      <c r="X8" s="17" t="s">
        <v>42</v>
      </c>
      <c r="Y8" s="18">
        <v>21853</v>
      </c>
      <c r="Z8" s="158">
        <v>15.167361111110949</v>
      </c>
      <c r="AA8" s="159">
        <f t="shared" ca="1" si="2"/>
        <v>45386.614744444436</v>
      </c>
      <c r="AC8" s="160">
        <v>312</v>
      </c>
      <c r="AD8" s="161" t="s">
        <v>437</v>
      </c>
      <c r="AE8" s="162">
        <v>1979</v>
      </c>
      <c r="AF8" s="7">
        <v>408</v>
      </c>
      <c r="AG8" s="7" t="s">
        <v>438</v>
      </c>
      <c r="AH8" s="163" t="s">
        <v>76</v>
      </c>
      <c r="AI8" s="5" t="s">
        <v>439</v>
      </c>
      <c r="AJ8" s="163">
        <v>1906</v>
      </c>
      <c r="AL8" s="2">
        <v>13</v>
      </c>
      <c r="AM8" s="2" t="str">
        <f ca="1">IF(AND($AL$2&gt;=AL8,$AL$2&lt;AL9),"下午好! 现在是:","")</f>
        <v>下午好! 现在是:</v>
      </c>
      <c r="AN8" s="35">
        <v>179</v>
      </c>
      <c r="AO8" s="4" t="s">
        <v>108</v>
      </c>
      <c r="AP8" s="164" t="s">
        <v>118</v>
      </c>
      <c r="AR8" s="163">
        <v>386</v>
      </c>
      <c r="AS8" s="165">
        <v>534</v>
      </c>
      <c r="AT8" s="163" t="s">
        <v>440</v>
      </c>
      <c r="AU8" s="166" t="s">
        <v>310</v>
      </c>
      <c r="AV8" s="163"/>
      <c r="AW8" s="163"/>
      <c r="AY8" s="167" t="s">
        <v>174</v>
      </c>
      <c r="AZ8" s="168" t="s">
        <v>175</v>
      </c>
      <c r="BA8" s="168"/>
    </row>
    <row r="9" spans="1:92" x14ac:dyDescent="0.1">
      <c r="A9" s="6" t="s">
        <v>441</v>
      </c>
      <c r="B9" s="9">
        <f ca="1">OFFSET(每月天数,IF(月份=1,12,月份-1),0)</f>
        <v>31</v>
      </c>
      <c r="N9" s="2">
        <v>7</v>
      </c>
      <c r="O9" s="50">
        <v>8</v>
      </c>
      <c r="P9" s="2" t="s">
        <v>442</v>
      </c>
      <c r="Q9" s="16">
        <v>8</v>
      </c>
      <c r="R9" s="7">
        <v>31</v>
      </c>
      <c r="S9" s="7">
        <f t="shared" ca="1" si="1"/>
        <v>213</v>
      </c>
      <c r="T9" s="17" t="s">
        <v>32</v>
      </c>
      <c r="U9" s="17" t="s">
        <v>33</v>
      </c>
      <c r="V9" s="17" t="s">
        <v>4</v>
      </c>
      <c r="W9" s="18">
        <f t="shared" ca="1" si="0"/>
        <v>419</v>
      </c>
      <c r="X9" s="17" t="s">
        <v>43</v>
      </c>
      <c r="Y9" s="18">
        <v>22054</v>
      </c>
      <c r="Z9" s="158">
        <v>15.297222222223354</v>
      </c>
      <c r="AA9" s="159">
        <f t="shared" ca="1" si="2"/>
        <v>45401.911966666659</v>
      </c>
      <c r="AB9" s="17">
        <v>3</v>
      </c>
      <c r="AC9" s="160">
        <v>315</v>
      </c>
      <c r="AD9" s="161" t="s">
        <v>443</v>
      </c>
      <c r="AE9" s="162">
        <v>1990</v>
      </c>
      <c r="AF9" s="7">
        <v>505</v>
      </c>
      <c r="AG9" s="7" t="s">
        <v>64</v>
      </c>
      <c r="AH9" s="163" t="s">
        <v>77</v>
      </c>
      <c r="AJ9" s="163">
        <v>1907</v>
      </c>
      <c r="AL9" s="2">
        <v>18</v>
      </c>
      <c r="AM9" s="2" t="str">
        <f ca="1">IF(AND($AL$2&gt;=AL9,$AL$2&lt;AL10),"晚上好! 现在是:","")</f>
        <v/>
      </c>
      <c r="AN9" s="35">
        <v>208</v>
      </c>
      <c r="AO9" s="4" t="s">
        <v>109</v>
      </c>
      <c r="AP9" s="164" t="s">
        <v>119</v>
      </c>
      <c r="AR9" s="163">
        <v>420</v>
      </c>
      <c r="AS9" s="165">
        <v>479</v>
      </c>
      <c r="AT9" s="163" t="s">
        <v>444</v>
      </c>
      <c r="AU9" s="166" t="s">
        <v>310</v>
      </c>
      <c r="AV9" s="163"/>
      <c r="AW9" s="163"/>
      <c r="AY9" s="167" t="s">
        <v>167</v>
      </c>
      <c r="AZ9" s="168" t="s">
        <v>166</v>
      </c>
      <c r="BA9" s="168"/>
    </row>
    <row r="10" spans="1:92" x14ac:dyDescent="0.1">
      <c r="A10" s="6" t="s">
        <v>445</v>
      </c>
      <c r="B10" s="9">
        <f ca="1">IF(AND(年份=1900,月份&lt;=2),WEEKDAY(DATE(年份,月份,1))+1,WEEKDAY(DATE(年份,月份,1)))</f>
        <v>5</v>
      </c>
      <c r="N10" s="2">
        <v>8</v>
      </c>
      <c r="O10" s="50">
        <v>9</v>
      </c>
      <c r="P10" s="2" t="s">
        <v>446</v>
      </c>
      <c r="Q10" s="16">
        <v>9</v>
      </c>
      <c r="R10" s="7">
        <v>30</v>
      </c>
      <c r="S10" s="7">
        <f t="shared" ca="1" si="1"/>
        <v>244</v>
      </c>
      <c r="T10" s="17" t="s">
        <v>34</v>
      </c>
      <c r="U10" s="17" t="s">
        <v>35</v>
      </c>
      <c r="V10" s="17" t="s">
        <v>7</v>
      </c>
      <c r="W10" s="18">
        <f t="shared" ca="1" si="0"/>
        <v>505</v>
      </c>
      <c r="X10" s="17" t="s">
        <v>44</v>
      </c>
      <c r="Y10" s="18">
        <v>22228</v>
      </c>
      <c r="Z10" s="158">
        <v>15.42500000000291</v>
      </c>
      <c r="AA10" s="159">
        <f t="shared" ca="1" si="2"/>
        <v>45417.336966666662</v>
      </c>
      <c r="AC10" s="160">
        <v>323</v>
      </c>
      <c r="AD10" s="161" t="s">
        <v>447</v>
      </c>
      <c r="AE10" s="162">
        <v>1951</v>
      </c>
      <c r="AF10" s="7">
        <v>610</v>
      </c>
      <c r="AG10" s="7" t="s">
        <v>448</v>
      </c>
      <c r="AH10" s="163" t="s">
        <v>78</v>
      </c>
      <c r="AJ10" s="163">
        <v>1908</v>
      </c>
      <c r="AL10" s="2">
        <v>23</v>
      </c>
      <c r="AM10" s="2" t="str">
        <f ca="1">IF($AL$2&gt;=AL10,"晚安! 现在是:","")</f>
        <v/>
      </c>
      <c r="AN10" s="35">
        <v>238</v>
      </c>
      <c r="AO10" s="4" t="s">
        <v>110</v>
      </c>
      <c r="AP10" s="164" t="s">
        <v>449</v>
      </c>
      <c r="AR10" s="163">
        <v>479</v>
      </c>
      <c r="AS10" s="165">
        <v>502</v>
      </c>
      <c r="AT10" s="163" t="s">
        <v>168</v>
      </c>
      <c r="AU10" s="166" t="s">
        <v>310</v>
      </c>
      <c r="AV10" s="163"/>
      <c r="AW10" s="163"/>
      <c r="AY10" s="167" t="s">
        <v>169</v>
      </c>
      <c r="AZ10" s="168" t="s">
        <v>166</v>
      </c>
      <c r="BA10" s="168"/>
    </row>
    <row r="11" spans="1:92" x14ac:dyDescent="0.1">
      <c r="A11" s="6" t="s">
        <v>450</v>
      </c>
      <c r="B11" s="9" t="str">
        <f ca="1">OFFSET(P1,月份,0)</f>
        <v>A U G U S T</v>
      </c>
      <c r="N11" s="2">
        <v>9</v>
      </c>
      <c r="O11" s="50">
        <v>10</v>
      </c>
      <c r="P11" s="2" t="s">
        <v>451</v>
      </c>
      <c r="Q11" s="16">
        <v>10</v>
      </c>
      <c r="R11" s="7">
        <v>31</v>
      </c>
      <c r="S11" s="7">
        <f t="shared" ca="1" si="1"/>
        <v>274</v>
      </c>
      <c r="T11" s="17" t="s">
        <v>2</v>
      </c>
      <c r="U11" s="17" t="s">
        <v>3</v>
      </c>
      <c r="V11" s="17" t="s">
        <v>10</v>
      </c>
      <c r="W11" s="18">
        <f t="shared" ca="1" si="0"/>
        <v>520</v>
      </c>
      <c r="X11" s="17" t="s">
        <v>45</v>
      </c>
      <c r="Y11" s="18">
        <v>22402</v>
      </c>
      <c r="Z11" s="158">
        <v>15.54374999999709</v>
      </c>
      <c r="AA11" s="159">
        <f t="shared" ca="1" si="2"/>
        <v>45432.880716666659</v>
      </c>
      <c r="AB11" s="17">
        <v>4</v>
      </c>
      <c r="AC11" s="160">
        <v>401</v>
      </c>
      <c r="AD11" s="161" t="s">
        <v>452</v>
      </c>
      <c r="AE11" s="162">
        <v>1564</v>
      </c>
      <c r="AF11" s="7">
        <v>623</v>
      </c>
      <c r="AG11" s="7" t="s">
        <v>453</v>
      </c>
      <c r="AH11" s="163" t="s">
        <v>79</v>
      </c>
      <c r="AJ11" s="163">
        <v>1909</v>
      </c>
      <c r="AN11" s="35">
        <v>268</v>
      </c>
      <c r="AO11" s="4" t="s">
        <v>141</v>
      </c>
      <c r="AP11" s="164" t="s">
        <v>454</v>
      </c>
      <c r="AQ11" s="171"/>
      <c r="AR11" s="163">
        <v>502</v>
      </c>
      <c r="AS11" s="165">
        <v>557</v>
      </c>
      <c r="AT11" s="163" t="s">
        <v>170</v>
      </c>
      <c r="AU11" s="166" t="s">
        <v>310</v>
      </c>
      <c r="AV11" s="163"/>
      <c r="AW11" s="163"/>
      <c r="AY11" s="167" t="s">
        <v>171</v>
      </c>
      <c r="AZ11" s="168" t="s">
        <v>166</v>
      </c>
      <c r="BA11" s="168"/>
    </row>
    <row r="12" spans="1:92" x14ac:dyDescent="0.1">
      <c r="A12" s="6" t="s">
        <v>455</v>
      </c>
      <c r="B12" s="9" t="e">
        <f>ROW(#REF!)</f>
        <v>#REF!</v>
      </c>
      <c r="N12" s="2">
        <v>10</v>
      </c>
      <c r="O12" s="50">
        <v>11</v>
      </c>
      <c r="P12" s="2" t="s">
        <v>456</v>
      </c>
      <c r="Q12" s="16">
        <v>11</v>
      </c>
      <c r="R12" s="7">
        <v>30</v>
      </c>
      <c r="S12" s="7">
        <f t="shared" ca="1" si="1"/>
        <v>305</v>
      </c>
      <c r="T12" s="17" t="s">
        <v>5</v>
      </c>
      <c r="U12" s="17" t="s">
        <v>6</v>
      </c>
      <c r="W12" s="18">
        <f t="shared" ca="1" si="0"/>
        <v>605</v>
      </c>
      <c r="X12" s="17" t="s">
        <v>46</v>
      </c>
      <c r="Y12" s="18">
        <v>22521</v>
      </c>
      <c r="Z12" s="158">
        <v>15.660416666665697</v>
      </c>
      <c r="AA12" s="159">
        <f t="shared" ca="1" si="2"/>
        <v>45448.541133333325</v>
      </c>
      <c r="AC12" s="160">
        <v>407</v>
      </c>
      <c r="AD12" s="161" t="s">
        <v>457</v>
      </c>
      <c r="AE12" s="162">
        <v>1948</v>
      </c>
      <c r="AF12" s="7">
        <v>707</v>
      </c>
      <c r="AG12" s="7" t="s">
        <v>458</v>
      </c>
      <c r="AH12" s="163" t="s">
        <v>80</v>
      </c>
      <c r="AJ12" s="163">
        <v>1910</v>
      </c>
      <c r="AN12" s="35">
        <v>297</v>
      </c>
      <c r="AO12" s="4" t="s">
        <v>111</v>
      </c>
      <c r="AP12" s="164" t="s">
        <v>459</v>
      </c>
      <c r="AR12" s="163">
        <v>534</v>
      </c>
      <c r="AS12" s="165">
        <v>550</v>
      </c>
      <c r="AT12" s="163" t="s">
        <v>176</v>
      </c>
      <c r="AU12" s="166" t="s">
        <v>310</v>
      </c>
      <c r="AV12" s="163"/>
      <c r="AW12" s="163"/>
      <c r="AY12" s="167" t="s">
        <v>177</v>
      </c>
      <c r="AZ12" s="168" t="s">
        <v>178</v>
      </c>
      <c r="BA12" s="168"/>
    </row>
    <row r="13" spans="1:92" x14ac:dyDescent="0.1">
      <c r="A13" s="6" t="s">
        <v>460</v>
      </c>
      <c r="B13" s="9" t="e">
        <f>COLUMN(#REF!)</f>
        <v>#REF!</v>
      </c>
      <c r="N13" s="2">
        <v>11</v>
      </c>
      <c r="O13" s="50">
        <v>12</v>
      </c>
      <c r="P13" s="2" t="s">
        <v>461</v>
      </c>
      <c r="Q13" s="16">
        <v>12</v>
      </c>
      <c r="R13" s="7">
        <v>31</v>
      </c>
      <c r="S13" s="7">
        <f t="shared" ca="1" si="1"/>
        <v>335</v>
      </c>
      <c r="T13" s="17" t="s">
        <v>8</v>
      </c>
      <c r="U13" s="17" t="s">
        <v>9</v>
      </c>
      <c r="W13" s="18">
        <f t="shared" ca="1" si="0"/>
        <v>621</v>
      </c>
      <c r="X13" s="17" t="s">
        <v>47</v>
      </c>
      <c r="Y13" s="18">
        <v>22621</v>
      </c>
      <c r="Z13" s="158">
        <v>15.674305555556202</v>
      </c>
      <c r="AA13" s="159">
        <f t="shared" ca="1" si="2"/>
        <v>45464.215438888881</v>
      </c>
      <c r="AB13" s="17">
        <v>5</v>
      </c>
      <c r="AC13" s="160">
        <v>422</v>
      </c>
      <c r="AD13" s="161" t="s">
        <v>462</v>
      </c>
      <c r="AE13" s="162">
        <v>1990</v>
      </c>
      <c r="AF13" s="7">
        <v>715</v>
      </c>
      <c r="AG13" s="7" t="s">
        <v>65</v>
      </c>
      <c r="AH13" s="163" t="s">
        <v>81</v>
      </c>
      <c r="AJ13" s="163">
        <v>1911</v>
      </c>
      <c r="AN13" s="35">
        <v>327</v>
      </c>
      <c r="AO13" s="4" t="s">
        <v>112</v>
      </c>
      <c r="AP13" s="164" t="s">
        <v>463</v>
      </c>
      <c r="AR13" s="163">
        <v>535</v>
      </c>
      <c r="AS13" s="165">
        <v>557</v>
      </c>
      <c r="AT13" s="163" t="s">
        <v>179</v>
      </c>
      <c r="AU13" s="166" t="s">
        <v>310</v>
      </c>
      <c r="AV13" s="163"/>
      <c r="AW13" s="163"/>
      <c r="AY13" s="167" t="s">
        <v>180</v>
      </c>
      <c r="AZ13" s="168" t="s">
        <v>181</v>
      </c>
      <c r="BA13" s="168"/>
    </row>
    <row r="14" spans="1:92" x14ac:dyDescent="0.1">
      <c r="A14" s="6" t="s">
        <v>464</v>
      </c>
      <c r="B14" s="34">
        <v>31</v>
      </c>
      <c r="N14" s="2">
        <v>12</v>
      </c>
      <c r="O14" s="50">
        <v>13</v>
      </c>
      <c r="R14" s="7">
        <f ca="1">SUM(R2:R13)</f>
        <v>366</v>
      </c>
      <c r="S14" s="7">
        <f t="shared" ca="1" si="1"/>
        <v>366</v>
      </c>
      <c r="W14" s="18">
        <f t="shared" ca="1" si="0"/>
        <v>706</v>
      </c>
      <c r="X14" s="17" t="s">
        <v>48</v>
      </c>
      <c r="Y14" s="18">
        <v>22650</v>
      </c>
      <c r="Z14" s="158">
        <v>15.758333333338669</v>
      </c>
      <c r="AA14" s="159">
        <f t="shared" ca="1" si="2"/>
        <v>45479.97377222222</v>
      </c>
      <c r="AC14" s="160">
        <v>501</v>
      </c>
      <c r="AD14" s="161" t="s">
        <v>465</v>
      </c>
      <c r="AE14" s="162">
        <v>1920</v>
      </c>
      <c r="AF14" s="7">
        <v>815</v>
      </c>
      <c r="AG14" s="7" t="s">
        <v>66</v>
      </c>
      <c r="AH14" s="163" t="s">
        <v>82</v>
      </c>
      <c r="AJ14" s="163">
        <v>1912</v>
      </c>
      <c r="AN14" s="35">
        <v>357</v>
      </c>
      <c r="AO14" s="4" t="s">
        <v>379</v>
      </c>
      <c r="AP14" s="164" t="s">
        <v>466</v>
      </c>
      <c r="AR14" s="163">
        <v>550</v>
      </c>
      <c r="AS14" s="165">
        <v>577</v>
      </c>
      <c r="AT14" s="163" t="s">
        <v>182</v>
      </c>
      <c r="AU14" s="166" t="s">
        <v>310</v>
      </c>
      <c r="AV14" s="163"/>
      <c r="AW14" s="163"/>
      <c r="AY14" s="167" t="s">
        <v>183</v>
      </c>
      <c r="AZ14" s="168" t="s">
        <v>178</v>
      </c>
      <c r="BA14" s="168"/>
    </row>
    <row r="15" spans="1:92" x14ac:dyDescent="0.1">
      <c r="A15" s="6" t="s">
        <v>467</v>
      </c>
      <c r="B15" s="5"/>
      <c r="N15" s="2">
        <v>13</v>
      </c>
      <c r="O15" s="50">
        <v>14</v>
      </c>
      <c r="W15" s="18">
        <f t="shared" ca="1" si="0"/>
        <v>722</v>
      </c>
      <c r="X15" s="17" t="s">
        <v>49</v>
      </c>
      <c r="Y15" s="18">
        <v>22646</v>
      </c>
      <c r="Z15" s="158">
        <v>15.696527777778101</v>
      </c>
      <c r="AA15" s="159">
        <f t="shared" ca="1" si="2"/>
        <v>45495.670299999998</v>
      </c>
      <c r="AB15" s="17">
        <v>6</v>
      </c>
      <c r="AC15" s="160">
        <v>504</v>
      </c>
      <c r="AD15" s="161" t="s">
        <v>60</v>
      </c>
      <c r="AE15" s="162">
        <v>1919</v>
      </c>
      <c r="AF15" s="7">
        <v>909</v>
      </c>
      <c r="AG15" s="7" t="s">
        <v>67</v>
      </c>
      <c r="AH15" s="163" t="s">
        <v>83</v>
      </c>
      <c r="AJ15" s="163">
        <v>1913</v>
      </c>
      <c r="AN15" s="35">
        <v>386</v>
      </c>
      <c r="AO15" s="4" t="s">
        <v>113</v>
      </c>
      <c r="AP15" s="164" t="s">
        <v>468</v>
      </c>
      <c r="AR15" s="163">
        <v>557</v>
      </c>
      <c r="AS15" s="165">
        <v>581</v>
      </c>
      <c r="AT15" s="163" t="s">
        <v>184</v>
      </c>
      <c r="AU15" s="166" t="s">
        <v>310</v>
      </c>
      <c r="AV15" s="163"/>
      <c r="AW15" s="163"/>
      <c r="AY15" s="167" t="s">
        <v>185</v>
      </c>
      <c r="AZ15" s="168" t="s">
        <v>181</v>
      </c>
      <c r="BA15" s="168"/>
    </row>
    <row r="16" spans="1:92" x14ac:dyDescent="0.1">
      <c r="A16" s="6" t="s">
        <v>469</v>
      </c>
      <c r="B16" s="9">
        <f>IF(ISERROR(WEEKDAY("1900/2/29")),0,1)</f>
        <v>1</v>
      </c>
      <c r="N16" s="2">
        <v>14</v>
      </c>
      <c r="O16" s="50">
        <v>15</v>
      </c>
      <c r="W16" s="18">
        <f t="shared" ca="1" si="0"/>
        <v>807</v>
      </c>
      <c r="X16" s="17" t="s">
        <v>50</v>
      </c>
      <c r="Y16" s="18">
        <v>22574</v>
      </c>
      <c r="Z16" s="158">
        <v>15.679861111108039</v>
      </c>
      <c r="AA16" s="159">
        <f t="shared" ca="1" si="2"/>
        <v>45511.350161111106</v>
      </c>
      <c r="AC16" s="160">
        <v>512</v>
      </c>
      <c r="AD16" s="161" t="s">
        <v>470</v>
      </c>
      <c r="AE16" s="162">
        <v>1910</v>
      </c>
      <c r="AF16" s="7">
        <v>1208</v>
      </c>
      <c r="AG16" s="7" t="s">
        <v>68</v>
      </c>
      <c r="AH16" s="163" t="s">
        <v>84</v>
      </c>
      <c r="AJ16" s="163">
        <v>1914</v>
      </c>
      <c r="AN16" s="35">
        <v>416</v>
      </c>
      <c r="AO16" s="4" t="s">
        <v>100</v>
      </c>
      <c r="AP16" s="164" t="s">
        <v>471</v>
      </c>
      <c r="AR16" s="163">
        <v>557</v>
      </c>
      <c r="AS16" s="165">
        <v>589</v>
      </c>
      <c r="AT16" s="163" t="s">
        <v>172</v>
      </c>
      <c r="AU16" s="166" t="s">
        <v>310</v>
      </c>
      <c r="AV16" s="163"/>
      <c r="AW16" s="163"/>
      <c r="AY16" s="167" t="s">
        <v>173</v>
      </c>
      <c r="AZ16" s="168" t="s">
        <v>166</v>
      </c>
      <c r="BA16" s="168"/>
    </row>
    <row r="17" spans="1:53" x14ac:dyDescent="0.1">
      <c r="A17" s="6" t="s">
        <v>472</v>
      </c>
      <c r="B17" s="172">
        <v>6.1375000000000002</v>
      </c>
      <c r="F17" s="6"/>
      <c r="G17" s="6"/>
      <c r="H17" s="14"/>
      <c r="I17" s="6"/>
      <c r="J17" s="6"/>
      <c r="K17" s="6"/>
      <c r="L17" s="6"/>
      <c r="M17" s="6"/>
      <c r="N17" s="2">
        <v>15</v>
      </c>
      <c r="O17" s="50">
        <v>16</v>
      </c>
      <c r="W17" s="18">
        <f t="shared" ca="1" si="0"/>
        <v>822</v>
      </c>
      <c r="X17" s="17" t="s">
        <v>51</v>
      </c>
      <c r="Y17" s="18">
        <v>22470</v>
      </c>
      <c r="Z17" s="158">
        <v>15.61250000000291</v>
      </c>
      <c r="AA17" s="159">
        <f t="shared" ca="1" si="2"/>
        <v>45526.962661111109</v>
      </c>
      <c r="AB17" s="17">
        <v>7</v>
      </c>
      <c r="AC17" s="160">
        <v>516</v>
      </c>
      <c r="AD17" s="161" t="s">
        <v>473</v>
      </c>
      <c r="AE17" s="162">
        <v>1990</v>
      </c>
      <c r="AH17" s="163" t="s">
        <v>85</v>
      </c>
      <c r="AJ17" s="163">
        <v>1915</v>
      </c>
      <c r="AN17" s="35">
        <v>445</v>
      </c>
      <c r="AO17" s="4" t="s">
        <v>104</v>
      </c>
      <c r="AP17" s="164" t="s">
        <v>474</v>
      </c>
      <c r="AR17" s="163">
        <v>581</v>
      </c>
      <c r="AS17" s="165">
        <v>618</v>
      </c>
      <c r="AT17" s="163" t="s">
        <v>186</v>
      </c>
      <c r="AU17" s="166" t="s">
        <v>310</v>
      </c>
      <c r="AV17" s="163"/>
      <c r="AW17" s="163"/>
      <c r="AY17" s="167" t="s">
        <v>187</v>
      </c>
      <c r="AZ17" s="168" t="s">
        <v>188</v>
      </c>
      <c r="BA17" s="168"/>
    </row>
    <row r="18" spans="1:53" x14ac:dyDescent="0.1">
      <c r="A18" s="6" t="s">
        <v>475</v>
      </c>
      <c r="B18" s="173">
        <f ca="1">(年份-1900)*365.2422+(DATE(年份,月份,1)&gt;DATE(1900,2,28))*1</f>
        <v>45291.032800000001</v>
      </c>
      <c r="F18" s="6"/>
      <c r="G18" s="6"/>
      <c r="H18" s="14"/>
      <c r="I18" s="6"/>
      <c r="J18" s="6"/>
      <c r="K18" s="6"/>
      <c r="L18" s="6"/>
      <c r="M18" s="6"/>
      <c r="N18" s="2">
        <v>16</v>
      </c>
      <c r="O18" s="50">
        <v>17</v>
      </c>
      <c r="W18" s="18">
        <f t="shared" ca="1" si="0"/>
        <v>907</v>
      </c>
      <c r="X18" s="17" t="s">
        <v>52</v>
      </c>
      <c r="Y18" s="18">
        <v>22317</v>
      </c>
      <c r="Z18" s="158">
        <v>15.506249999998545</v>
      </c>
      <c r="AA18" s="159">
        <f t="shared" ca="1" si="2"/>
        <v>45542.468911111107</v>
      </c>
      <c r="AC18" s="160">
        <v>531</v>
      </c>
      <c r="AD18" s="161" t="s">
        <v>476</v>
      </c>
      <c r="AE18" s="162">
        <v>1988</v>
      </c>
      <c r="AH18" s="163" t="s">
        <v>86</v>
      </c>
      <c r="AJ18" s="163">
        <v>1916</v>
      </c>
      <c r="AN18" s="35">
        <v>475</v>
      </c>
      <c r="AO18" s="4" t="s">
        <v>105</v>
      </c>
      <c r="AP18" s="164" t="s">
        <v>477</v>
      </c>
      <c r="AR18" s="174">
        <v>618</v>
      </c>
      <c r="AS18" s="174">
        <v>626</v>
      </c>
      <c r="AT18" s="163" t="s">
        <v>189</v>
      </c>
      <c r="AU18" s="174" t="s">
        <v>311</v>
      </c>
      <c r="AV18" s="175">
        <v>53</v>
      </c>
      <c r="AW18" s="175">
        <v>9</v>
      </c>
      <c r="AX18" s="175">
        <v>70</v>
      </c>
      <c r="AY18" s="175" t="s">
        <v>313</v>
      </c>
      <c r="AZ18" s="174" t="s">
        <v>312</v>
      </c>
      <c r="BA18" s="174" t="s">
        <v>381</v>
      </c>
    </row>
    <row r="19" spans="1:53" x14ac:dyDescent="0.1">
      <c r="A19" s="6" t="s">
        <v>478</v>
      </c>
      <c r="B19" s="173">
        <v>0.99726851851851839</v>
      </c>
      <c r="F19" s="6"/>
      <c r="G19" s="6"/>
      <c r="H19" s="14"/>
      <c r="I19" s="6"/>
      <c r="J19" s="6"/>
      <c r="K19" s="6"/>
      <c r="L19" s="6"/>
      <c r="M19" s="6"/>
      <c r="N19" s="2">
        <v>17</v>
      </c>
      <c r="O19" s="50">
        <v>18</v>
      </c>
      <c r="W19" s="18">
        <f t="shared" ca="1" si="0"/>
        <v>922</v>
      </c>
      <c r="X19" s="17" t="s">
        <v>53</v>
      </c>
      <c r="Y19" s="18">
        <v>22144</v>
      </c>
      <c r="Z19" s="158">
        <v>15.391666666662786</v>
      </c>
      <c r="AA19" s="159">
        <f t="shared" ca="1" si="2"/>
        <v>45557.86057777777</v>
      </c>
      <c r="AB19" s="17">
        <v>8</v>
      </c>
      <c r="AC19" s="160">
        <v>601</v>
      </c>
      <c r="AD19" s="161" t="s">
        <v>479</v>
      </c>
      <c r="AE19" s="162">
        <v>1949</v>
      </c>
      <c r="AH19" s="163" t="s">
        <v>87</v>
      </c>
      <c r="AJ19" s="163">
        <v>1917</v>
      </c>
      <c r="AN19" s="35">
        <v>504</v>
      </c>
      <c r="AO19" s="4" t="s">
        <v>106</v>
      </c>
      <c r="AP19" s="164" t="s">
        <v>480</v>
      </c>
      <c r="AR19" s="174">
        <v>626</v>
      </c>
      <c r="AS19" s="174">
        <v>649</v>
      </c>
      <c r="AT19" s="163" t="s">
        <v>189</v>
      </c>
      <c r="AU19" s="174" t="s">
        <v>481</v>
      </c>
      <c r="AV19" s="175">
        <v>28</v>
      </c>
      <c r="AW19" s="175">
        <v>24</v>
      </c>
      <c r="AX19" s="175">
        <v>51</v>
      </c>
      <c r="AY19" s="175" t="s">
        <v>316</v>
      </c>
      <c r="AZ19" s="174" t="s">
        <v>314</v>
      </c>
      <c r="BA19" s="174" t="s">
        <v>315</v>
      </c>
    </row>
    <row r="20" spans="1:53" x14ac:dyDescent="0.1">
      <c r="A20" s="6" t="s">
        <v>482</v>
      </c>
      <c r="B20" s="173">
        <v>365.24220000000003</v>
      </c>
      <c r="F20" s="6"/>
      <c r="G20" s="6"/>
      <c r="H20" s="14"/>
      <c r="I20" s="6"/>
      <c r="J20" s="6"/>
      <c r="K20" s="6"/>
      <c r="L20" s="6"/>
      <c r="M20" s="6"/>
      <c r="N20" s="2">
        <v>18</v>
      </c>
      <c r="O20" s="50">
        <v>19</v>
      </c>
      <c r="W20" s="18">
        <f t="shared" ca="1" si="0"/>
        <v>1008</v>
      </c>
      <c r="X20" s="17" t="s">
        <v>54</v>
      </c>
      <c r="Y20" s="18">
        <v>21953</v>
      </c>
      <c r="Z20" s="158">
        <v>15.256249999998545</v>
      </c>
      <c r="AA20" s="159">
        <f t="shared" ca="1" si="2"/>
        <v>45573.116827777769</v>
      </c>
      <c r="AC20" s="160">
        <v>605</v>
      </c>
      <c r="AD20" s="161" t="s">
        <v>483</v>
      </c>
      <c r="AE20" s="162">
        <v>1972</v>
      </c>
      <c r="AH20" s="163" t="s">
        <v>88</v>
      </c>
      <c r="AJ20" s="163">
        <v>1918</v>
      </c>
      <c r="AN20" s="35">
        <v>533</v>
      </c>
      <c r="AO20" s="4" t="s">
        <v>107</v>
      </c>
      <c r="AP20" s="164" t="s">
        <v>484</v>
      </c>
      <c r="AR20" s="174">
        <v>649</v>
      </c>
      <c r="AS20" s="174">
        <v>690</v>
      </c>
      <c r="AT20" s="163" t="s">
        <v>189</v>
      </c>
      <c r="AU20" s="174" t="s">
        <v>485</v>
      </c>
      <c r="AV20" s="175">
        <v>22</v>
      </c>
      <c r="AW20" s="175">
        <v>35</v>
      </c>
      <c r="AX20" s="175">
        <v>56</v>
      </c>
      <c r="AY20" s="175" t="s">
        <v>319</v>
      </c>
      <c r="AZ20" s="174" t="s">
        <v>317</v>
      </c>
      <c r="BA20" s="174" t="s">
        <v>318</v>
      </c>
    </row>
    <row r="21" spans="1:53" ht="12.75" x14ac:dyDescent="0.1">
      <c r="A21" s="6" t="s">
        <v>486</v>
      </c>
      <c r="B21" s="9">
        <v>108000</v>
      </c>
      <c r="F21" s="6"/>
      <c r="G21" s="6"/>
      <c r="H21" s="14"/>
      <c r="I21" s="6"/>
      <c r="J21" s="6"/>
      <c r="K21" s="6"/>
      <c r="L21" s="6"/>
      <c r="M21" s="6"/>
      <c r="N21" s="2">
        <v>19</v>
      </c>
      <c r="O21" s="50">
        <v>20</v>
      </c>
      <c r="W21" s="18">
        <f t="shared" ca="1" si="0"/>
        <v>1023</v>
      </c>
      <c r="X21" s="17" t="s">
        <v>55</v>
      </c>
      <c r="Y21" s="18">
        <v>21763</v>
      </c>
      <c r="Z21" s="158">
        <v>15.128472222226264</v>
      </c>
      <c r="AA21" s="159">
        <f t="shared" ca="1" si="2"/>
        <v>45588.245299999995</v>
      </c>
      <c r="AB21" s="17">
        <v>9</v>
      </c>
      <c r="AC21" s="160">
        <v>606</v>
      </c>
      <c r="AD21" s="161" t="s">
        <v>487</v>
      </c>
      <c r="AE21" s="162">
        <v>1997</v>
      </c>
      <c r="AH21" s="163" t="s">
        <v>89</v>
      </c>
      <c r="AJ21" s="163">
        <v>1919</v>
      </c>
      <c r="AN21" s="35">
        <v>563</v>
      </c>
      <c r="AO21" s="4" t="s">
        <v>108</v>
      </c>
      <c r="AP21" s="164" t="s">
        <v>488</v>
      </c>
      <c r="AR21" s="174">
        <v>690</v>
      </c>
      <c r="AS21" s="174">
        <v>705</v>
      </c>
      <c r="AT21" s="163" t="s">
        <v>189</v>
      </c>
      <c r="AU21" s="174" t="s">
        <v>489</v>
      </c>
      <c r="AV21" s="175">
        <v>67</v>
      </c>
      <c r="AW21" s="175">
        <v>16</v>
      </c>
      <c r="AX21" s="175">
        <v>82</v>
      </c>
      <c r="AY21" s="175" t="s">
        <v>322</v>
      </c>
      <c r="AZ21" s="174" t="s">
        <v>320</v>
      </c>
      <c r="BA21" s="174" t="s">
        <v>321</v>
      </c>
    </row>
    <row r="22" spans="1:53" x14ac:dyDescent="0.1">
      <c r="C22" s="9" t="s">
        <v>490</v>
      </c>
      <c r="F22" s="12"/>
      <c r="G22" s="12"/>
      <c r="H22" s="26"/>
      <c r="I22" s="12"/>
      <c r="J22" s="12"/>
      <c r="K22" s="12"/>
      <c r="L22" s="12"/>
      <c r="M22" s="12"/>
      <c r="N22" s="2">
        <v>20</v>
      </c>
      <c r="O22" s="50">
        <v>21</v>
      </c>
      <c r="W22" s="18">
        <f t="shared" ca="1" si="0"/>
        <v>1107</v>
      </c>
      <c r="X22" s="17" t="s">
        <v>56</v>
      </c>
      <c r="Y22" s="18">
        <v>21585</v>
      </c>
      <c r="Z22" s="158">
        <v>15</v>
      </c>
      <c r="AA22" s="159">
        <f t="shared" ca="1" si="2"/>
        <v>45603.245299999995</v>
      </c>
      <c r="AC22" s="160">
        <v>626</v>
      </c>
      <c r="AD22" s="161" t="s">
        <v>491</v>
      </c>
      <c r="AE22" s="162">
        <v>1990</v>
      </c>
      <c r="AH22" s="163" t="s">
        <v>90</v>
      </c>
      <c r="AJ22" s="163">
        <v>1920</v>
      </c>
      <c r="AN22" s="35">
        <v>592</v>
      </c>
      <c r="AO22" s="4" t="s">
        <v>109</v>
      </c>
      <c r="AP22" s="164" t="s">
        <v>492</v>
      </c>
      <c r="AR22" s="174">
        <v>705</v>
      </c>
      <c r="AS22" s="174">
        <v>710</v>
      </c>
      <c r="AT22" s="163" t="s">
        <v>189</v>
      </c>
      <c r="AU22" s="174" t="s">
        <v>493</v>
      </c>
      <c r="AV22" s="175">
        <v>28</v>
      </c>
      <c r="AW22" s="175" t="s">
        <v>326</v>
      </c>
      <c r="AX22" s="175">
        <v>55</v>
      </c>
      <c r="AY22" s="175" t="s">
        <v>325</v>
      </c>
      <c r="AZ22" s="174" t="s">
        <v>323</v>
      </c>
      <c r="BA22" s="174" t="s">
        <v>324</v>
      </c>
    </row>
    <row r="23" spans="1:53" x14ac:dyDescent="0.1">
      <c r="A23" s="6" t="s">
        <v>494</v>
      </c>
      <c r="B23" s="9">
        <v>29.563300000000002</v>
      </c>
      <c r="E23" s="12"/>
      <c r="N23" s="2">
        <v>21</v>
      </c>
      <c r="O23" s="50">
        <v>22</v>
      </c>
      <c r="W23" s="18">
        <f t="shared" ca="1" si="0"/>
        <v>1122</v>
      </c>
      <c r="X23" s="17" t="s">
        <v>57</v>
      </c>
      <c r="Y23" s="18">
        <v>21429</v>
      </c>
      <c r="Z23" s="158">
        <v>14.895138888889051</v>
      </c>
      <c r="AA23" s="159">
        <f t="shared" ca="1" si="2"/>
        <v>45618.140438888884</v>
      </c>
      <c r="AB23" s="17">
        <v>10</v>
      </c>
      <c r="AC23" s="160">
        <v>701</v>
      </c>
      <c r="AD23" s="161" t="s">
        <v>495</v>
      </c>
      <c r="AE23" s="162">
        <v>1941</v>
      </c>
      <c r="AH23" s="163" t="s">
        <v>91</v>
      </c>
      <c r="AJ23" s="163">
        <v>1921</v>
      </c>
      <c r="AN23" s="35">
        <v>622</v>
      </c>
      <c r="AO23" s="4" t="s">
        <v>110</v>
      </c>
      <c r="AP23" s="164" t="s">
        <v>496</v>
      </c>
      <c r="AR23" s="174">
        <v>710</v>
      </c>
      <c r="AS23" s="174">
        <v>712</v>
      </c>
      <c r="AT23" s="163" t="s">
        <v>189</v>
      </c>
      <c r="AU23" s="174" t="s">
        <v>497</v>
      </c>
      <c r="AV23" s="175">
        <v>23</v>
      </c>
      <c r="AW23" s="175" t="s">
        <v>330</v>
      </c>
      <c r="AX23" s="175">
        <v>55</v>
      </c>
      <c r="AY23" s="175" t="s">
        <v>329</v>
      </c>
      <c r="AZ23" s="174" t="s">
        <v>327</v>
      </c>
      <c r="BA23" s="174" t="s">
        <v>328</v>
      </c>
    </row>
    <row r="24" spans="1:53" x14ac:dyDescent="0.1">
      <c r="A24" s="6" t="s">
        <v>498</v>
      </c>
      <c r="B24" s="9">
        <f ca="1">YEAR(NOW())</f>
        <v>2024</v>
      </c>
      <c r="C24" s="33"/>
      <c r="D24" s="26"/>
      <c r="N24" s="2">
        <v>22</v>
      </c>
      <c r="O24" s="50">
        <v>23</v>
      </c>
      <c r="W24" s="18">
        <f t="shared" ca="1" si="0"/>
        <v>1206</v>
      </c>
      <c r="X24" s="17" t="s">
        <v>58</v>
      </c>
      <c r="Y24" s="18">
        <v>21308</v>
      </c>
      <c r="Z24" s="158">
        <v>14.813194444446708</v>
      </c>
      <c r="AA24" s="159">
        <f t="shared" ca="1" si="2"/>
        <v>45632.953633333331</v>
      </c>
      <c r="AC24" s="160">
        <v>711</v>
      </c>
      <c r="AD24" s="161" t="s">
        <v>499</v>
      </c>
      <c r="AE24" s="162">
        <v>1987</v>
      </c>
      <c r="AH24" s="163" t="s">
        <v>92</v>
      </c>
      <c r="AJ24" s="163">
        <v>1922</v>
      </c>
      <c r="AN24" s="35">
        <v>651</v>
      </c>
      <c r="AO24" s="4" t="s">
        <v>111</v>
      </c>
      <c r="AP24" s="164" t="s">
        <v>500</v>
      </c>
      <c r="AR24" s="174">
        <v>712</v>
      </c>
      <c r="AS24" s="174">
        <v>756</v>
      </c>
      <c r="AT24" s="163" t="s">
        <v>189</v>
      </c>
      <c r="AU24" s="174" t="s">
        <v>501</v>
      </c>
      <c r="AV24" s="175">
        <v>28</v>
      </c>
      <c r="AW24" s="175">
        <v>45</v>
      </c>
      <c r="AX24" s="175">
        <v>78</v>
      </c>
      <c r="AY24" s="175" t="s">
        <v>333</v>
      </c>
      <c r="AZ24" s="174" t="s">
        <v>331</v>
      </c>
      <c r="BA24" s="174" t="s">
        <v>332</v>
      </c>
    </row>
    <row r="25" spans="1:53" x14ac:dyDescent="0.1">
      <c r="A25" s="6" t="s">
        <v>502</v>
      </c>
      <c r="B25" s="9">
        <f ca="1">MONTH(NOW())</f>
        <v>8</v>
      </c>
      <c r="N25" s="2">
        <v>23</v>
      </c>
      <c r="O25" s="50">
        <v>24</v>
      </c>
      <c r="W25" s="18">
        <f t="shared" ca="1" si="0"/>
        <v>1221</v>
      </c>
      <c r="X25" s="17" t="s">
        <v>503</v>
      </c>
      <c r="Y25" s="18">
        <v>21226</v>
      </c>
      <c r="Z25" s="158">
        <v>14.740972222221899</v>
      </c>
      <c r="AA25" s="159">
        <f t="shared" ca="1" si="2"/>
        <v>45647.694605555553</v>
      </c>
      <c r="AB25" s="17">
        <v>11</v>
      </c>
      <c r="AC25" s="160">
        <v>801</v>
      </c>
      <c r="AD25" s="161" t="s">
        <v>504</v>
      </c>
      <c r="AE25" s="162">
        <v>1933</v>
      </c>
      <c r="AH25" s="163" t="s">
        <v>93</v>
      </c>
      <c r="AJ25" s="163">
        <v>1923</v>
      </c>
      <c r="AN25" s="35">
        <v>681</v>
      </c>
      <c r="AO25" s="4" t="s">
        <v>112</v>
      </c>
      <c r="AP25" s="164" t="s">
        <v>505</v>
      </c>
      <c r="AR25" s="174">
        <v>756</v>
      </c>
      <c r="AS25" s="174">
        <v>762</v>
      </c>
      <c r="AT25" s="163" t="s">
        <v>189</v>
      </c>
      <c r="AU25" s="174" t="s">
        <v>506</v>
      </c>
      <c r="AV25" s="175">
        <v>46</v>
      </c>
      <c r="AW25" s="175">
        <v>7</v>
      </c>
      <c r="AX25" s="175">
        <v>52</v>
      </c>
      <c r="AY25" s="175" t="s">
        <v>336</v>
      </c>
      <c r="AZ25" s="174" t="s">
        <v>334</v>
      </c>
      <c r="BA25" s="174" t="s">
        <v>335</v>
      </c>
    </row>
    <row r="26" spans="1:53" x14ac:dyDescent="0.1">
      <c r="A26" s="6" t="s">
        <v>507</v>
      </c>
      <c r="B26" s="9">
        <f ca="1">DAY(NOW())</f>
        <v>27</v>
      </c>
      <c r="O26" s="50">
        <v>25</v>
      </c>
      <c r="Z26" s="158"/>
      <c r="AA26" s="176"/>
      <c r="AC26" s="160">
        <v>908</v>
      </c>
      <c r="AD26" s="161" t="s">
        <v>508</v>
      </c>
      <c r="AE26" s="162">
        <v>1949</v>
      </c>
      <c r="AH26" s="163" t="s">
        <v>94</v>
      </c>
      <c r="AJ26" s="163">
        <v>1924</v>
      </c>
      <c r="AN26" s="35">
        <v>711</v>
      </c>
      <c r="AO26" s="4" t="s">
        <v>379</v>
      </c>
      <c r="AP26" s="164" t="s">
        <v>509</v>
      </c>
      <c r="AR26" s="174">
        <v>762</v>
      </c>
      <c r="AS26" s="174">
        <v>779</v>
      </c>
      <c r="AT26" s="163" t="s">
        <v>189</v>
      </c>
      <c r="AU26" s="174" t="s">
        <v>510</v>
      </c>
      <c r="AV26" s="175">
        <v>37</v>
      </c>
      <c r="AW26" s="175">
        <v>18</v>
      </c>
      <c r="AX26" s="175">
        <v>54</v>
      </c>
      <c r="AY26" s="175" t="s">
        <v>339</v>
      </c>
      <c r="AZ26" s="174" t="s">
        <v>337</v>
      </c>
      <c r="BA26" s="174" t="s">
        <v>338</v>
      </c>
    </row>
    <row r="27" spans="1:53" x14ac:dyDescent="0.1">
      <c r="A27" s="6" t="s">
        <v>150</v>
      </c>
      <c r="B27" s="9">
        <f ca="1">HOUR(NOW())</f>
        <v>15</v>
      </c>
      <c r="O27" s="50">
        <v>26</v>
      </c>
      <c r="Z27" s="158"/>
      <c r="AA27" s="176"/>
      <c r="AC27" s="160">
        <v>910</v>
      </c>
      <c r="AD27" s="161" t="s">
        <v>511</v>
      </c>
      <c r="AE27" s="162">
        <v>1985</v>
      </c>
      <c r="AH27" s="163" t="s">
        <v>95</v>
      </c>
      <c r="AJ27" s="163">
        <v>1925</v>
      </c>
      <c r="AN27" s="35">
        <v>741</v>
      </c>
      <c r="AO27" s="4" t="s">
        <v>113</v>
      </c>
      <c r="AP27" s="164" t="s">
        <v>512</v>
      </c>
      <c r="AR27" s="174">
        <v>779</v>
      </c>
      <c r="AS27" s="174">
        <v>805</v>
      </c>
      <c r="AT27" s="163" t="s">
        <v>189</v>
      </c>
      <c r="AU27" s="174" t="s">
        <v>513</v>
      </c>
      <c r="AV27" s="175">
        <v>38</v>
      </c>
      <c r="AW27" s="175">
        <v>27</v>
      </c>
      <c r="AX27" s="175">
        <v>64</v>
      </c>
      <c r="AY27" s="175" t="s">
        <v>342</v>
      </c>
      <c r="AZ27" s="174" t="s">
        <v>340</v>
      </c>
      <c r="BA27" s="174" t="s">
        <v>341</v>
      </c>
    </row>
    <row r="28" spans="1:53" x14ac:dyDescent="0.1">
      <c r="A28" s="6" t="s">
        <v>514</v>
      </c>
      <c r="B28" s="9">
        <f ca="1">MINUTE(NOW())</f>
        <v>5</v>
      </c>
      <c r="O28" s="50">
        <v>27</v>
      </c>
      <c r="AC28" s="160">
        <v>918</v>
      </c>
      <c r="AD28" s="161" t="s">
        <v>515</v>
      </c>
      <c r="AE28" s="162">
        <v>1945</v>
      </c>
      <c r="AH28" s="163" t="s">
        <v>96</v>
      </c>
      <c r="AJ28" s="163">
        <v>1926</v>
      </c>
      <c r="AN28" s="35">
        <v>770</v>
      </c>
      <c r="AO28" s="4" t="s">
        <v>100</v>
      </c>
      <c r="AP28" s="164" t="s">
        <v>516</v>
      </c>
      <c r="AR28" s="174">
        <v>805</v>
      </c>
      <c r="AS28" s="174">
        <v>805</v>
      </c>
      <c r="AT28" s="163" t="s">
        <v>189</v>
      </c>
      <c r="AU28" s="174" t="s">
        <v>343</v>
      </c>
      <c r="AV28" s="175">
        <v>45</v>
      </c>
      <c r="AW28" s="175"/>
      <c r="AX28" s="175">
        <v>46</v>
      </c>
      <c r="AY28" s="175" t="s">
        <v>346</v>
      </c>
      <c r="AZ28" s="174" t="s">
        <v>344</v>
      </c>
      <c r="BA28" s="174" t="s">
        <v>345</v>
      </c>
    </row>
    <row r="29" spans="1:53" x14ac:dyDescent="0.1">
      <c r="A29" s="6" t="s">
        <v>551</v>
      </c>
      <c r="B29" s="177">
        <f ca="1">OFFSET(阴历月pnt,E31,0)</f>
        <v>45479</v>
      </c>
      <c r="C29" s="8" t="str">
        <f ca="1">OFFSET(阴历月pnt,E31,1)</f>
        <v>六月</v>
      </c>
      <c r="D29" s="5">
        <f ca="1">FIND(LEFT(RIGHT(C29,2),1),"正二三四五六七八九十仲腊")</f>
        <v>6</v>
      </c>
      <c r="E29" s="6" t="s">
        <v>517</v>
      </c>
      <c r="F29" s="2">
        <f ca="1">IF(OR(Display_Year&gt;2050,Display_Year&lt;1900),Display_Year,年份-(月份&lt;阴历月)*1)</f>
        <v>2024</v>
      </c>
      <c r="O29" s="50">
        <v>28</v>
      </c>
      <c r="AC29" s="160">
        <v>920</v>
      </c>
      <c r="AD29" s="161" t="s">
        <v>518</v>
      </c>
      <c r="AE29" s="162">
        <v>1989</v>
      </c>
      <c r="AH29" s="163" t="s">
        <v>97</v>
      </c>
      <c r="AJ29" s="163">
        <v>1927</v>
      </c>
      <c r="AN29" s="35">
        <v>800</v>
      </c>
      <c r="AO29" s="4" t="s">
        <v>104</v>
      </c>
      <c r="AP29" s="164" t="s">
        <v>519</v>
      </c>
      <c r="AR29" s="174">
        <v>805</v>
      </c>
      <c r="AS29" s="174">
        <v>820</v>
      </c>
      <c r="AT29" s="163" t="s">
        <v>189</v>
      </c>
      <c r="AU29" s="174" t="s">
        <v>347</v>
      </c>
      <c r="AV29" s="175">
        <v>28</v>
      </c>
      <c r="AW29" s="175">
        <v>16</v>
      </c>
      <c r="AX29" s="175">
        <v>43</v>
      </c>
      <c r="AY29" s="175" t="s">
        <v>350</v>
      </c>
      <c r="AZ29" s="174" t="s">
        <v>348</v>
      </c>
      <c r="BA29" s="174" t="s">
        <v>349</v>
      </c>
    </row>
    <row r="30" spans="1:53" x14ac:dyDescent="0.1">
      <c r="A30" s="6" t="s">
        <v>552</v>
      </c>
      <c r="B30" s="177">
        <f ca="1">OFFSET(阴历月pnt,E31+1,0)</f>
        <v>45508</v>
      </c>
      <c r="C30" s="8" t="str">
        <f ca="1">OFFSET(阴历月pnt,E31+1,1)</f>
        <v>七月</v>
      </c>
      <c r="D30" s="5">
        <f ca="1">FIND(LEFT(RIGHT(C30,2),1),"正二三四五六七八九十仲腊")</f>
        <v>7</v>
      </c>
      <c r="E30" s="6" t="s">
        <v>520</v>
      </c>
      <c r="F30" s="2">
        <f ca="1">IF(OR(Display_Year&gt;2050,Display_Year&lt;1900),月份,OFFSET(阴历本月,MATCH(在查日期,B29:B31)-1,2))</f>
        <v>7</v>
      </c>
      <c r="O30" s="50">
        <f ca="1">IF(O29&gt;=本月天数,"",O29+1)</f>
        <v>29</v>
      </c>
      <c r="AC30" s="160">
        <v>927</v>
      </c>
      <c r="AD30" s="161" t="s">
        <v>521</v>
      </c>
      <c r="AE30" s="162">
        <v>1975</v>
      </c>
      <c r="AH30" s="163" t="s">
        <v>98</v>
      </c>
      <c r="AJ30" s="163">
        <v>1928</v>
      </c>
      <c r="AN30" s="35">
        <v>829</v>
      </c>
      <c r="AO30" s="4" t="s">
        <v>105</v>
      </c>
      <c r="AP30" s="164" t="s">
        <v>522</v>
      </c>
      <c r="AR30" s="174">
        <v>820</v>
      </c>
      <c r="AS30" s="174">
        <v>824</v>
      </c>
      <c r="AT30" s="163" t="s">
        <v>189</v>
      </c>
      <c r="AU30" s="174" t="s">
        <v>523</v>
      </c>
      <c r="AV30" s="175">
        <v>26</v>
      </c>
      <c r="AW30" s="175">
        <v>5</v>
      </c>
      <c r="AX30" s="175">
        <v>30</v>
      </c>
      <c r="AY30" s="175" t="s">
        <v>353</v>
      </c>
      <c r="AZ30" s="174" t="s">
        <v>351</v>
      </c>
      <c r="BA30" s="174" t="s">
        <v>352</v>
      </c>
    </row>
    <row r="31" spans="1:53" x14ac:dyDescent="0.1">
      <c r="A31" s="6" t="s">
        <v>553</v>
      </c>
      <c r="B31" s="177">
        <f ca="1">OFFSET(阴历月pnt,E31+2,0)</f>
        <v>45538</v>
      </c>
      <c r="C31" s="8" t="str">
        <f ca="1">OFFSET(阴历月pnt,E31+2,1)</f>
        <v>八月</v>
      </c>
      <c r="D31" s="5">
        <f ca="1">FIND(LEFT(RIGHT(C31,2),1),"正二三四五六七八九十仲腊")</f>
        <v>8</v>
      </c>
      <c r="E31" s="9">
        <f ca="1">MATCH(DATE(F31,月份,1),AN2:AN1873)</f>
        <v>1541</v>
      </c>
      <c r="F31" s="2">
        <f ca="1">IF(OR(Display_Year&gt;2050,Display_Year&lt;1900),MOD(Display_Year,76)+1900,年份)</f>
        <v>2024</v>
      </c>
      <c r="O31" s="50">
        <f ca="1">IF(O30&gt;=本月天数,"",O30+1)</f>
        <v>30</v>
      </c>
      <c r="AC31" s="160">
        <v>1001</v>
      </c>
      <c r="AD31" s="161" t="s">
        <v>61</v>
      </c>
      <c r="AE31" s="162">
        <v>1949</v>
      </c>
      <c r="AH31" s="163" t="s">
        <v>99</v>
      </c>
      <c r="AJ31" s="163">
        <v>1929</v>
      </c>
      <c r="AN31" s="35">
        <v>859</v>
      </c>
      <c r="AO31" s="4" t="s">
        <v>106</v>
      </c>
      <c r="AP31" s="164" t="s">
        <v>524</v>
      </c>
      <c r="AR31" s="174">
        <v>824</v>
      </c>
      <c r="AS31" s="174">
        <v>827</v>
      </c>
      <c r="AT31" s="163" t="s">
        <v>189</v>
      </c>
      <c r="AU31" s="174" t="s">
        <v>525</v>
      </c>
      <c r="AV31" s="175">
        <v>16</v>
      </c>
      <c r="AW31" s="175">
        <v>3</v>
      </c>
      <c r="AX31" s="175">
        <v>18</v>
      </c>
      <c r="AY31" s="175" t="s">
        <v>356</v>
      </c>
      <c r="AZ31" s="174" t="s">
        <v>354</v>
      </c>
      <c r="BA31" s="174" t="s">
        <v>355</v>
      </c>
    </row>
    <row r="32" spans="1:53" x14ac:dyDescent="0.1">
      <c r="A32" s="6" t="s">
        <v>526</v>
      </c>
      <c r="B32" s="9" t="b">
        <v>0</v>
      </c>
      <c r="O32" s="50">
        <f ca="1">IF(O31&gt;=本月天数,"",O31+1)</f>
        <v>31</v>
      </c>
      <c r="AC32" s="160">
        <v>1009</v>
      </c>
      <c r="AD32" s="161" t="s">
        <v>527</v>
      </c>
      <c r="AE32" s="162">
        <v>1969</v>
      </c>
      <c r="AJ32" s="163">
        <v>1930</v>
      </c>
      <c r="AN32" s="35">
        <v>888</v>
      </c>
      <c r="AO32" s="4" t="s">
        <v>107</v>
      </c>
      <c r="AP32" s="164" t="s">
        <v>528</v>
      </c>
      <c r="AR32" s="174">
        <v>827</v>
      </c>
      <c r="AS32" s="174">
        <v>840</v>
      </c>
      <c r="AT32" s="163" t="s">
        <v>189</v>
      </c>
      <c r="AU32" s="174" t="s">
        <v>529</v>
      </c>
      <c r="AV32" s="175">
        <v>19</v>
      </c>
      <c r="AW32" s="175">
        <v>14</v>
      </c>
      <c r="AX32" s="175">
        <v>32</v>
      </c>
      <c r="AY32" s="175" t="s">
        <v>359</v>
      </c>
      <c r="AZ32" s="174" t="s">
        <v>357</v>
      </c>
      <c r="BA32" s="174" t="s">
        <v>358</v>
      </c>
    </row>
    <row r="33" spans="1:53" x14ac:dyDescent="0.1">
      <c r="A33" s="6" t="s">
        <v>530</v>
      </c>
      <c r="B33" s="9" t="b">
        <v>1</v>
      </c>
      <c r="O33" s="51" t="str">
        <f ca="1">"Data!O2:O"&amp; (COUNT(O2:O32)+1)</f>
        <v>Data!O2:O32</v>
      </c>
      <c r="AC33" s="160">
        <v>1101</v>
      </c>
      <c r="AD33" s="161" t="s">
        <v>101</v>
      </c>
      <c r="AE33" s="162">
        <v>0</v>
      </c>
      <c r="AJ33" s="163">
        <v>1931</v>
      </c>
      <c r="AN33" s="35">
        <v>917</v>
      </c>
      <c r="AO33" s="4" t="s">
        <v>108</v>
      </c>
      <c r="AP33" s="164" t="s">
        <v>531</v>
      </c>
      <c r="AR33" s="174">
        <v>840</v>
      </c>
      <c r="AS33" s="174">
        <v>846</v>
      </c>
      <c r="AT33" s="163" t="s">
        <v>189</v>
      </c>
      <c r="AU33" s="174" t="s">
        <v>532</v>
      </c>
      <c r="AV33" s="175">
        <v>27</v>
      </c>
      <c r="AW33" s="175">
        <v>7</v>
      </c>
      <c r="AX33" s="175">
        <v>33</v>
      </c>
      <c r="AY33" s="175" t="s">
        <v>362</v>
      </c>
      <c r="AZ33" s="174" t="s">
        <v>360</v>
      </c>
      <c r="BA33" s="174" t="s">
        <v>361</v>
      </c>
    </row>
    <row r="34" spans="1:53" x14ac:dyDescent="0.1">
      <c r="A34" s="6" t="s">
        <v>852</v>
      </c>
      <c r="B34" s="9">
        <f ca="1">IF(查询状态,IF(Mirror!B2&lt;=1899,Mirror!B2+7600,Mirror!B2),年)</f>
        <v>2024</v>
      </c>
      <c r="AC34" s="160">
        <v>1206</v>
      </c>
      <c r="AD34" s="161" t="s">
        <v>533</v>
      </c>
      <c r="AE34" s="162">
        <v>0</v>
      </c>
      <c r="AJ34" s="163">
        <v>1932</v>
      </c>
      <c r="AN34" s="35">
        <v>947</v>
      </c>
      <c r="AO34" s="4" t="s">
        <v>109</v>
      </c>
      <c r="AP34" s="164" t="s">
        <v>120</v>
      </c>
      <c r="AR34" s="174">
        <v>846</v>
      </c>
      <c r="AS34" s="174">
        <v>859</v>
      </c>
      <c r="AT34" s="163" t="s">
        <v>189</v>
      </c>
      <c r="AU34" s="174" t="s">
        <v>534</v>
      </c>
      <c r="AV34" s="175">
        <v>37</v>
      </c>
      <c r="AW34" s="175">
        <v>14</v>
      </c>
      <c r="AX34" s="175">
        <v>50</v>
      </c>
      <c r="AY34" s="175" t="s">
        <v>365</v>
      </c>
      <c r="AZ34" s="174" t="s">
        <v>363</v>
      </c>
      <c r="BA34" s="174" t="s">
        <v>364</v>
      </c>
    </row>
    <row r="35" spans="1:53" x14ac:dyDescent="0.1">
      <c r="A35" s="6" t="s">
        <v>853</v>
      </c>
      <c r="B35" s="9">
        <f ca="1">IF(查询状态,Mirror!E2,月)</f>
        <v>8</v>
      </c>
      <c r="AC35" s="160">
        <v>1225</v>
      </c>
      <c r="AD35" s="161" t="s">
        <v>102</v>
      </c>
      <c r="AE35" s="162">
        <v>0</v>
      </c>
      <c r="AJ35" s="163">
        <v>1933</v>
      </c>
      <c r="AN35" s="35">
        <v>976</v>
      </c>
      <c r="AO35" s="4" t="s">
        <v>110</v>
      </c>
      <c r="AP35" s="164" t="s">
        <v>121</v>
      </c>
      <c r="AR35" s="174">
        <v>859</v>
      </c>
      <c r="AS35" s="174">
        <v>873</v>
      </c>
      <c r="AT35" s="163" t="s">
        <v>189</v>
      </c>
      <c r="AU35" s="174" t="s">
        <v>535</v>
      </c>
      <c r="AV35" s="175">
        <v>27</v>
      </c>
      <c r="AW35" s="175">
        <v>15</v>
      </c>
      <c r="AX35" s="175">
        <v>41</v>
      </c>
      <c r="AY35" s="175" t="s">
        <v>368</v>
      </c>
      <c r="AZ35" s="174" t="s">
        <v>366</v>
      </c>
      <c r="BA35" s="174" t="s">
        <v>367</v>
      </c>
    </row>
    <row r="36" spans="1:53" x14ac:dyDescent="0.1">
      <c r="A36" s="6" t="s">
        <v>854</v>
      </c>
      <c r="B36" s="9">
        <f ca="1">IF(查询状态,Mirror!G2,日)</f>
        <v>27</v>
      </c>
      <c r="AD36" s="7" t="s">
        <v>536</v>
      </c>
      <c r="AE36" s="22">
        <v>1914</v>
      </c>
      <c r="AJ36" s="163">
        <v>1934</v>
      </c>
      <c r="AN36" s="35">
        <v>1006</v>
      </c>
      <c r="AO36" s="4" t="s">
        <v>111</v>
      </c>
      <c r="AP36" s="164" t="s">
        <v>122</v>
      </c>
      <c r="AR36" s="174">
        <v>873</v>
      </c>
      <c r="AS36" s="174">
        <v>888</v>
      </c>
      <c r="AT36" s="163" t="s">
        <v>189</v>
      </c>
      <c r="AU36" s="174" t="s">
        <v>537</v>
      </c>
      <c r="AV36" s="175">
        <v>12</v>
      </c>
      <c r="AW36" s="175">
        <v>16</v>
      </c>
      <c r="AX36" s="175">
        <v>37</v>
      </c>
      <c r="AY36" s="175" t="s">
        <v>371</v>
      </c>
      <c r="AZ36" s="174" t="s">
        <v>369</v>
      </c>
      <c r="BA36" s="174" t="s">
        <v>370</v>
      </c>
    </row>
    <row r="37" spans="1:53" x14ac:dyDescent="0.1">
      <c r="A37" s="6" t="s">
        <v>855</v>
      </c>
      <c r="B37" s="9">
        <f ca="1">IF(查询状态,阴历下下月,时)</f>
        <v>45538</v>
      </c>
      <c r="AC37" s="21">
        <v>37045</v>
      </c>
      <c r="AD37" s="7" t="s">
        <v>538</v>
      </c>
      <c r="AE37" s="22">
        <v>1912</v>
      </c>
      <c r="AJ37" s="163">
        <v>1935</v>
      </c>
      <c r="AN37" s="35">
        <v>1035</v>
      </c>
      <c r="AO37" s="4" t="s">
        <v>112</v>
      </c>
      <c r="AP37" s="164" t="s">
        <v>123</v>
      </c>
      <c r="AR37" s="174">
        <v>888</v>
      </c>
      <c r="AS37" s="174">
        <v>904</v>
      </c>
      <c r="AT37" s="163" t="s">
        <v>189</v>
      </c>
      <c r="AU37" s="174" t="s">
        <v>539</v>
      </c>
      <c r="AV37" s="175">
        <v>21</v>
      </c>
      <c r="AW37" s="175">
        <v>17</v>
      </c>
      <c r="AX37" s="175">
        <v>38</v>
      </c>
      <c r="AY37" s="175" t="s">
        <v>374</v>
      </c>
      <c r="AZ37" s="174" t="s">
        <v>372</v>
      </c>
      <c r="BA37" s="174" t="s">
        <v>373</v>
      </c>
    </row>
    <row r="38" spans="1:53" x14ac:dyDescent="0.1">
      <c r="A38" s="6" t="s">
        <v>540</v>
      </c>
      <c r="B38" s="34">
        <f ca="1">DATE(年份,月份,在查日)</f>
        <v>45531</v>
      </c>
      <c r="C38" s="34">
        <f ca="1">DATE(F31,月份,在查日)</f>
        <v>45531</v>
      </c>
      <c r="AJ38" s="163">
        <v>1936</v>
      </c>
      <c r="AN38" s="35">
        <v>1065</v>
      </c>
      <c r="AO38" s="4" t="s">
        <v>379</v>
      </c>
      <c r="AP38" s="164" t="s">
        <v>124</v>
      </c>
      <c r="AR38" s="174">
        <v>904</v>
      </c>
      <c r="AS38" s="174">
        <v>907</v>
      </c>
      <c r="AT38" s="163" t="s">
        <v>189</v>
      </c>
      <c r="AU38" s="175" t="s">
        <v>375</v>
      </c>
      <c r="AV38" s="175">
        <v>13</v>
      </c>
      <c r="AW38" s="175">
        <v>4</v>
      </c>
      <c r="AX38" s="175">
        <v>17</v>
      </c>
      <c r="AY38" s="175" t="s">
        <v>378</v>
      </c>
      <c r="AZ38" s="174" t="s">
        <v>376</v>
      </c>
      <c r="BA38" s="174" t="s">
        <v>377</v>
      </c>
    </row>
    <row r="39" spans="1:53" x14ac:dyDescent="0.1">
      <c r="A39" s="6" t="s">
        <v>541</v>
      </c>
      <c r="B39" s="9" t="str">
        <f>IF(ISERROR(#REF!*1),"年","")</f>
        <v>年</v>
      </c>
      <c r="AJ39" s="163">
        <v>1937</v>
      </c>
      <c r="AN39" s="35">
        <v>1095</v>
      </c>
      <c r="AO39" s="4" t="s">
        <v>113</v>
      </c>
      <c r="AP39" s="164" t="s">
        <v>125</v>
      </c>
      <c r="AR39" s="163">
        <v>907</v>
      </c>
      <c r="AS39" s="165">
        <v>960</v>
      </c>
      <c r="AT39" s="163" t="s">
        <v>190</v>
      </c>
      <c r="AU39" s="166" t="s">
        <v>310</v>
      </c>
      <c r="AV39" s="163"/>
      <c r="AW39" s="163"/>
      <c r="AX39" s="167"/>
      <c r="AY39" s="168"/>
      <c r="AZ39" s="168"/>
      <c r="BA39" s="168"/>
    </row>
    <row r="40" spans="1:53" x14ac:dyDescent="0.1">
      <c r="A40" s="6" t="s">
        <v>541</v>
      </c>
      <c r="B40" s="9" t="str">
        <f>IF(ISERROR(#REF!*1),"月","")</f>
        <v>月</v>
      </c>
      <c r="AJ40" s="163">
        <v>1938</v>
      </c>
      <c r="AN40" s="35">
        <v>1125</v>
      </c>
      <c r="AO40" s="4" t="s">
        <v>100</v>
      </c>
      <c r="AP40" s="164" t="s">
        <v>126</v>
      </c>
      <c r="AR40" s="163">
        <v>960</v>
      </c>
      <c r="AS40" s="165">
        <v>1127</v>
      </c>
      <c r="AT40" s="163" t="s">
        <v>191</v>
      </c>
      <c r="AU40" s="166" t="s">
        <v>310</v>
      </c>
      <c r="AV40" s="163"/>
      <c r="AW40" s="163"/>
      <c r="AX40" s="167" t="s">
        <v>192</v>
      </c>
      <c r="AY40" s="168" t="s">
        <v>193</v>
      </c>
      <c r="AZ40" s="168"/>
      <c r="BA40" s="168"/>
    </row>
    <row r="41" spans="1:53" x14ac:dyDescent="0.1">
      <c r="A41" s="6" t="s">
        <v>542</v>
      </c>
      <c r="B41" s="9" t="str">
        <f ca="1">IF(C38&lt;阴历下月,C29,C30)&amp;OFFSET(阴历初Start,C41,0)</f>
        <v>七月廿四</v>
      </c>
      <c r="C41" s="6">
        <f ca="1">IF(C38-阴历下月&gt;=0,C38-阴历下月,C38-阴历本月)</f>
        <v>23</v>
      </c>
      <c r="AJ41" s="163">
        <v>1939</v>
      </c>
      <c r="AN41" s="35">
        <v>1154</v>
      </c>
      <c r="AO41" s="4" t="s">
        <v>104</v>
      </c>
      <c r="AP41" s="164" t="s">
        <v>127</v>
      </c>
      <c r="AR41" s="163">
        <v>1127</v>
      </c>
      <c r="AS41" s="165">
        <v>1279</v>
      </c>
      <c r="AT41" s="163" t="s">
        <v>194</v>
      </c>
      <c r="AU41" s="166" t="s">
        <v>310</v>
      </c>
      <c r="AV41" s="163"/>
      <c r="AW41" s="163"/>
      <c r="AX41" s="167" t="s">
        <v>195</v>
      </c>
      <c r="AY41" s="168" t="s">
        <v>196</v>
      </c>
      <c r="AZ41" s="168"/>
      <c r="BA41" s="168"/>
    </row>
    <row r="42" spans="1:53" x14ac:dyDescent="0.1">
      <c r="A42" s="6" t="s">
        <v>543</v>
      </c>
      <c r="B42" s="14">
        <f ca="1">IF(查询状态,IF(Mirror!B2&lt;=1899,年份-7600,年份),年份)</f>
        <v>2024</v>
      </c>
      <c r="AJ42" s="163">
        <v>1940</v>
      </c>
      <c r="AN42" s="35">
        <v>1184</v>
      </c>
      <c r="AO42" s="4" t="s">
        <v>105</v>
      </c>
      <c r="AP42" s="164" t="s">
        <v>128</v>
      </c>
      <c r="AR42" s="163">
        <v>916</v>
      </c>
      <c r="AS42" s="165">
        <v>1125</v>
      </c>
      <c r="AT42" s="163" t="s">
        <v>197</v>
      </c>
      <c r="AU42" s="166" t="s">
        <v>310</v>
      </c>
      <c r="AV42" s="163"/>
      <c r="AW42" s="163"/>
      <c r="AX42" s="167" t="s">
        <v>198</v>
      </c>
      <c r="AY42" s="168" t="s">
        <v>199</v>
      </c>
      <c r="AZ42" s="168"/>
      <c r="BA42" s="168"/>
    </row>
    <row r="43" spans="1:53" x14ac:dyDescent="0.1">
      <c r="A43" s="52" t="s">
        <v>544</v>
      </c>
      <c r="B43" s="178" t="str">
        <f ca="1">IF(ISERROR(B44),"",B44)</f>
        <v/>
      </c>
      <c r="C43" s="53">
        <f ca="1">MATCH(Display_Year,AR2:AR78,1)</f>
        <v>72</v>
      </c>
      <c r="D43" s="54">
        <f ca="1">OFFSET(朝代起年,C43,0)</f>
        <v>1949</v>
      </c>
      <c r="AJ43" s="163">
        <v>1941</v>
      </c>
      <c r="AN43" s="35">
        <v>1213</v>
      </c>
      <c r="AO43" s="4" t="s">
        <v>106</v>
      </c>
      <c r="AP43" s="164" t="s">
        <v>129</v>
      </c>
      <c r="AR43" s="163">
        <v>1038</v>
      </c>
      <c r="AS43" s="165">
        <v>1227</v>
      </c>
      <c r="AT43" s="163" t="s">
        <v>200</v>
      </c>
      <c r="AU43" s="166" t="s">
        <v>310</v>
      </c>
      <c r="AV43" s="163"/>
      <c r="AW43" s="163"/>
      <c r="AX43" s="167" t="s">
        <v>201</v>
      </c>
      <c r="AY43" s="168" t="s">
        <v>202</v>
      </c>
      <c r="AZ43" s="168"/>
      <c r="BA43" s="168"/>
    </row>
    <row r="44" spans="1:53" x14ac:dyDescent="0.1">
      <c r="A44" s="55" t="s">
        <v>545</v>
      </c>
      <c r="B44" s="5" t="str">
        <f ca="1">IF(Display_Year&gt;=1949,"",OFFSET(朝代起年,C43,2)&amp;" "&amp;OFFSET(朝代起年,C43,3)&amp;" "&amp;IF(Display_Year=D43,"元",Display_Year-D43)&amp;" 年 ")</f>
        <v/>
      </c>
      <c r="D44" s="56"/>
      <c r="AJ44" s="163">
        <v>1942</v>
      </c>
      <c r="AN44" s="35">
        <v>1243</v>
      </c>
      <c r="AO44" s="4" t="s">
        <v>107</v>
      </c>
      <c r="AP44" s="164" t="s">
        <v>130</v>
      </c>
      <c r="AR44" s="163">
        <v>1115</v>
      </c>
      <c r="AS44" s="165">
        <v>1234</v>
      </c>
      <c r="AT44" s="163" t="s">
        <v>203</v>
      </c>
      <c r="AU44" s="166" t="s">
        <v>310</v>
      </c>
      <c r="AV44" s="163"/>
      <c r="AW44" s="163"/>
      <c r="AX44" s="167" t="s">
        <v>204</v>
      </c>
      <c r="AY44" s="168" t="s">
        <v>205</v>
      </c>
      <c r="AZ44" s="168"/>
      <c r="BA44" s="168"/>
    </row>
    <row r="45" spans="1:53" x14ac:dyDescent="0.1">
      <c r="A45" s="55" t="s">
        <v>546</v>
      </c>
      <c r="B45" s="9" t="str">
        <f ca="1">IF(AND(Mirror!B2&gt;=1900,年号&lt;&gt;""),年号,"公元 "&amp;Display_Year&amp;" 年 ")&amp;月份&amp;" 月 "&amp;在查日&amp;" 日 "</f>
        <v xml:space="preserve">公元 2024 年 8 月 27 日 </v>
      </c>
      <c r="C45" s="15"/>
      <c r="D45" s="58"/>
      <c r="AJ45" s="163">
        <v>1943</v>
      </c>
      <c r="AN45" s="35">
        <v>1272</v>
      </c>
      <c r="AO45" s="4" t="s">
        <v>142</v>
      </c>
      <c r="AP45" s="164" t="s">
        <v>131</v>
      </c>
      <c r="AR45" s="163">
        <v>1271</v>
      </c>
      <c r="AS45" s="165">
        <v>1368</v>
      </c>
      <c r="AT45" s="163" t="s">
        <v>206</v>
      </c>
      <c r="AU45" s="166" t="s">
        <v>310</v>
      </c>
      <c r="AV45" s="163"/>
      <c r="AW45" s="163"/>
      <c r="AX45" s="167" t="s">
        <v>207</v>
      </c>
      <c r="AY45" s="168" t="s">
        <v>208</v>
      </c>
      <c r="AZ45" s="168"/>
      <c r="BA45" s="168"/>
    </row>
    <row r="46" spans="1:53" ht="12.75" x14ac:dyDescent="0.1">
      <c r="A46" s="52" t="s">
        <v>554</v>
      </c>
      <c r="B46" s="179" t="str">
        <f ca="1">OFFSET(节气名称,月份*2-1,0)</f>
        <v>立秋</v>
      </c>
      <c r="C46" s="180">
        <f ca="1">DAY(OFFSET(节气名称,月份*2-1,3))</f>
        <v>7</v>
      </c>
      <c r="D46" s="6"/>
      <c r="AJ46" s="163">
        <v>1944</v>
      </c>
      <c r="AN46" s="35">
        <v>1301</v>
      </c>
      <c r="AO46" s="4" t="s">
        <v>108</v>
      </c>
      <c r="AP46" s="164" t="s">
        <v>380</v>
      </c>
      <c r="AR46" s="181">
        <v>1368</v>
      </c>
      <c r="AS46" s="181">
        <v>1398</v>
      </c>
      <c r="AT46" s="163" t="s">
        <v>209</v>
      </c>
      <c r="AU46" s="182" t="s">
        <v>219</v>
      </c>
      <c r="AV46" s="182">
        <v>41</v>
      </c>
      <c r="AW46" s="182">
        <v>31</v>
      </c>
      <c r="AX46" s="175">
        <v>71</v>
      </c>
      <c r="AY46" s="175" t="s">
        <v>220</v>
      </c>
      <c r="AZ46" s="175" t="s">
        <v>221</v>
      </c>
      <c r="BA46" s="175" t="s">
        <v>222</v>
      </c>
    </row>
    <row r="47" spans="1:53" ht="14.25" x14ac:dyDescent="0.1">
      <c r="A47" s="57" t="s">
        <v>555</v>
      </c>
      <c r="B47" s="170" t="str">
        <f ca="1">OFFSET(节气名称,月份*2,0)</f>
        <v>处暑</v>
      </c>
      <c r="C47" s="183">
        <f ca="1">DAY(OFFSET(节气名称,月份*2,3))</f>
        <v>22</v>
      </c>
      <c r="D47" s="6"/>
      <c r="AJ47" s="163">
        <v>1945</v>
      </c>
      <c r="AN47" s="35">
        <v>1331</v>
      </c>
      <c r="AO47" s="4" t="s">
        <v>109</v>
      </c>
      <c r="AP47" s="164" t="s">
        <v>132</v>
      </c>
      <c r="AR47" s="181">
        <v>1398</v>
      </c>
      <c r="AS47" s="181">
        <f>AS46+AX47</f>
        <v>1398</v>
      </c>
      <c r="AT47" s="163" t="s">
        <v>209</v>
      </c>
      <c r="AU47" s="182" t="s">
        <v>223</v>
      </c>
      <c r="AV47" s="182">
        <v>22</v>
      </c>
      <c r="AW47" s="182">
        <v>4</v>
      </c>
      <c r="AX47" s="175"/>
      <c r="AY47" s="175" t="s">
        <v>224</v>
      </c>
      <c r="AZ47" s="175" t="s">
        <v>225</v>
      </c>
      <c r="BA47" s="175"/>
    </row>
    <row r="48" spans="1:53" x14ac:dyDescent="0.1">
      <c r="A48" s="15"/>
      <c r="B48" s="5"/>
      <c r="C48" s="5"/>
      <c r="D48" s="8"/>
      <c r="E48" s="15"/>
      <c r="AJ48" s="163">
        <v>1946</v>
      </c>
      <c r="AN48" s="35">
        <v>1360</v>
      </c>
      <c r="AO48" s="4" t="s">
        <v>110</v>
      </c>
      <c r="AP48" s="164" t="s">
        <v>133</v>
      </c>
      <c r="AR48" s="181">
        <f>AR47+AW47</f>
        <v>1402</v>
      </c>
      <c r="AS48" s="181">
        <v>1424</v>
      </c>
      <c r="AT48" s="163" t="s">
        <v>209</v>
      </c>
      <c r="AU48" s="182" t="s">
        <v>226</v>
      </c>
      <c r="AV48" s="182">
        <v>43</v>
      </c>
      <c r="AW48" s="182">
        <v>22</v>
      </c>
      <c r="AX48" s="175">
        <v>65</v>
      </c>
      <c r="AY48" s="175" t="s">
        <v>227</v>
      </c>
      <c r="AZ48" s="175" t="s">
        <v>228</v>
      </c>
      <c r="BA48" s="175" t="s">
        <v>229</v>
      </c>
    </row>
    <row r="49" spans="36:53" x14ac:dyDescent="0.1">
      <c r="AJ49" s="163">
        <v>1947</v>
      </c>
      <c r="AN49" s="35">
        <v>1389</v>
      </c>
      <c r="AO49" s="4" t="s">
        <v>111</v>
      </c>
      <c r="AP49" s="164" t="s">
        <v>134</v>
      </c>
      <c r="AR49" s="181">
        <v>1424</v>
      </c>
      <c r="AS49" s="181">
        <v>1425</v>
      </c>
      <c r="AT49" s="163" t="s">
        <v>209</v>
      </c>
      <c r="AU49" s="182" t="s">
        <v>230</v>
      </c>
      <c r="AV49" s="182">
        <v>47</v>
      </c>
      <c r="AW49" s="182">
        <v>1</v>
      </c>
      <c r="AX49" s="175">
        <v>48</v>
      </c>
      <c r="AY49" s="175" t="s">
        <v>231</v>
      </c>
      <c r="AZ49" s="175" t="s">
        <v>232</v>
      </c>
      <c r="BA49" s="175" t="s">
        <v>233</v>
      </c>
    </row>
    <row r="50" spans="36:53" x14ac:dyDescent="0.1">
      <c r="AJ50" s="163">
        <v>1948</v>
      </c>
      <c r="AN50" s="35">
        <v>1419</v>
      </c>
      <c r="AO50" s="4" t="s">
        <v>112</v>
      </c>
      <c r="AP50" s="164" t="s">
        <v>135</v>
      </c>
      <c r="AR50" s="181">
        <v>1425</v>
      </c>
      <c r="AS50" s="181">
        <v>1435</v>
      </c>
      <c r="AT50" s="163" t="s">
        <v>209</v>
      </c>
      <c r="AU50" s="182" t="s">
        <v>234</v>
      </c>
      <c r="AV50" s="182">
        <v>28</v>
      </c>
      <c r="AW50" s="182">
        <v>10</v>
      </c>
      <c r="AX50" s="175">
        <v>38</v>
      </c>
      <c r="AY50" s="175" t="s">
        <v>235</v>
      </c>
      <c r="AZ50" s="175" t="s">
        <v>236</v>
      </c>
      <c r="BA50" s="175" t="s">
        <v>237</v>
      </c>
    </row>
    <row r="51" spans="36:53" x14ac:dyDescent="0.1">
      <c r="AJ51" s="163">
        <v>1949</v>
      </c>
      <c r="AN51" s="35">
        <v>1449</v>
      </c>
      <c r="AO51" s="4" t="s">
        <v>379</v>
      </c>
      <c r="AR51" s="181">
        <v>1435</v>
      </c>
      <c r="AS51" s="181">
        <v>1450</v>
      </c>
      <c r="AT51" s="163" t="s">
        <v>209</v>
      </c>
      <c r="AU51" s="182" t="s">
        <v>238</v>
      </c>
      <c r="AV51" s="182">
        <v>9</v>
      </c>
      <c r="AW51" s="182">
        <v>14</v>
      </c>
      <c r="AX51" s="175"/>
      <c r="AY51" s="175" t="s">
        <v>239</v>
      </c>
      <c r="AZ51" s="175" t="s">
        <v>240</v>
      </c>
      <c r="BA51" s="175" t="s">
        <v>241</v>
      </c>
    </row>
    <row r="52" spans="36:53" x14ac:dyDescent="0.1">
      <c r="AJ52" s="163">
        <v>1950</v>
      </c>
      <c r="AN52" s="35">
        <v>1478</v>
      </c>
      <c r="AO52" s="4" t="s">
        <v>113</v>
      </c>
      <c r="AR52" s="181">
        <v>1450</v>
      </c>
      <c r="AS52" s="181">
        <v>1457</v>
      </c>
      <c r="AT52" s="163" t="s">
        <v>209</v>
      </c>
      <c r="AU52" s="182" t="s">
        <v>242</v>
      </c>
      <c r="AV52" s="182">
        <v>22</v>
      </c>
      <c r="AW52" s="182">
        <v>8</v>
      </c>
      <c r="AX52" s="175">
        <v>30</v>
      </c>
      <c r="AY52" s="175" t="s">
        <v>243</v>
      </c>
      <c r="AZ52" s="175" t="s">
        <v>244</v>
      </c>
      <c r="BA52" s="175" t="s">
        <v>245</v>
      </c>
    </row>
    <row r="53" spans="36:53" x14ac:dyDescent="0.1">
      <c r="AJ53" s="163">
        <v>1951</v>
      </c>
      <c r="AN53" s="35">
        <v>1508</v>
      </c>
      <c r="AO53" s="4" t="s">
        <v>100</v>
      </c>
      <c r="AR53" s="181">
        <v>1457</v>
      </c>
      <c r="AS53" s="181">
        <v>1564</v>
      </c>
      <c r="AT53" s="163" t="s">
        <v>209</v>
      </c>
      <c r="AU53" s="182" t="s">
        <v>246</v>
      </c>
      <c r="AV53" s="182">
        <v>31</v>
      </c>
      <c r="AW53" s="182">
        <v>8</v>
      </c>
      <c r="AX53" s="175">
        <v>38</v>
      </c>
      <c r="AY53" s="175" t="s">
        <v>239</v>
      </c>
      <c r="AZ53" s="175"/>
      <c r="BA53" s="175" t="s">
        <v>241</v>
      </c>
    </row>
    <row r="54" spans="36:53" x14ac:dyDescent="0.1">
      <c r="AJ54" s="163">
        <v>1952</v>
      </c>
      <c r="AN54" s="35">
        <v>1538</v>
      </c>
      <c r="AO54" s="4" t="s">
        <v>104</v>
      </c>
      <c r="AR54" s="181">
        <v>1564</v>
      </c>
      <c r="AS54" s="181">
        <v>1487</v>
      </c>
      <c r="AT54" s="163" t="s">
        <v>209</v>
      </c>
      <c r="AU54" s="182" t="s">
        <v>247</v>
      </c>
      <c r="AV54" s="182">
        <v>18</v>
      </c>
      <c r="AW54" s="182">
        <v>23</v>
      </c>
      <c r="AX54" s="175">
        <v>41</v>
      </c>
      <c r="AY54" s="175" t="s">
        <v>248</v>
      </c>
      <c r="AZ54" s="175" t="s">
        <v>249</v>
      </c>
      <c r="BA54" s="175" t="s">
        <v>250</v>
      </c>
    </row>
    <row r="55" spans="36:53" x14ac:dyDescent="0.1">
      <c r="AJ55" s="163">
        <v>1953</v>
      </c>
      <c r="AN55" s="35">
        <v>1568</v>
      </c>
      <c r="AO55" s="4" t="s">
        <v>105</v>
      </c>
      <c r="AR55" s="181">
        <v>1487</v>
      </c>
      <c r="AS55" s="181">
        <v>1505</v>
      </c>
      <c r="AT55" s="163" t="s">
        <v>209</v>
      </c>
      <c r="AU55" s="182" t="s">
        <v>251</v>
      </c>
      <c r="AV55" s="182">
        <v>18</v>
      </c>
      <c r="AW55" s="182">
        <v>18</v>
      </c>
      <c r="AX55" s="175">
        <v>36</v>
      </c>
      <c r="AY55" s="175" t="s">
        <v>252</v>
      </c>
      <c r="AZ55" s="175" t="s">
        <v>253</v>
      </c>
      <c r="BA55" s="175" t="s">
        <v>254</v>
      </c>
    </row>
    <row r="56" spans="36:53" x14ac:dyDescent="0.1">
      <c r="AJ56" s="163">
        <v>1954</v>
      </c>
      <c r="AN56" s="35">
        <v>1597</v>
      </c>
      <c r="AO56" s="4" t="s">
        <v>106</v>
      </c>
      <c r="AR56" s="181">
        <v>1505</v>
      </c>
      <c r="AS56" s="181">
        <v>1521</v>
      </c>
      <c r="AT56" s="163" t="s">
        <v>209</v>
      </c>
      <c r="AU56" s="182" t="s">
        <v>255</v>
      </c>
      <c r="AV56" s="182">
        <v>15</v>
      </c>
      <c r="AW56" s="182">
        <v>16</v>
      </c>
      <c r="AX56" s="175">
        <v>31</v>
      </c>
      <c r="AY56" s="175" t="s">
        <v>256</v>
      </c>
      <c r="AZ56" s="175" t="s">
        <v>257</v>
      </c>
      <c r="BA56" s="175" t="s">
        <v>258</v>
      </c>
    </row>
    <row r="57" spans="36:53" x14ac:dyDescent="0.1">
      <c r="AJ57" s="163">
        <v>1955</v>
      </c>
      <c r="AN57" s="35">
        <v>1627</v>
      </c>
      <c r="AO57" s="4" t="s">
        <v>107</v>
      </c>
      <c r="AR57" s="181">
        <v>1521</v>
      </c>
      <c r="AS57" s="181">
        <v>1567</v>
      </c>
      <c r="AT57" s="163" t="s">
        <v>209</v>
      </c>
      <c r="AU57" s="182" t="s">
        <v>259</v>
      </c>
      <c r="AV57" s="182">
        <v>15</v>
      </c>
      <c r="AW57" s="182">
        <v>45</v>
      </c>
      <c r="AX57" s="175">
        <v>60</v>
      </c>
      <c r="AY57" s="175" t="s">
        <v>260</v>
      </c>
      <c r="AZ57" s="175" t="s">
        <v>261</v>
      </c>
      <c r="BA57" s="175" t="s">
        <v>262</v>
      </c>
    </row>
    <row r="58" spans="36:53" x14ac:dyDescent="0.1">
      <c r="AJ58" s="163">
        <v>1956</v>
      </c>
      <c r="AN58" s="35">
        <v>1656</v>
      </c>
      <c r="AO58" s="4" t="s">
        <v>108</v>
      </c>
      <c r="AR58" s="181">
        <v>1567</v>
      </c>
      <c r="AS58" s="181">
        <v>1572</v>
      </c>
      <c r="AT58" s="163" t="s">
        <v>209</v>
      </c>
      <c r="AU58" s="182" t="s">
        <v>263</v>
      </c>
      <c r="AV58" s="182">
        <v>30</v>
      </c>
      <c r="AW58" s="182">
        <v>6</v>
      </c>
      <c r="AX58" s="175">
        <v>36</v>
      </c>
      <c r="AY58" s="175" t="s">
        <v>264</v>
      </c>
      <c r="AZ58" s="175" t="s">
        <v>265</v>
      </c>
      <c r="BA58" s="175" t="s">
        <v>266</v>
      </c>
    </row>
    <row r="59" spans="36:53" x14ac:dyDescent="0.1">
      <c r="AJ59" s="163">
        <v>1957</v>
      </c>
      <c r="AN59" s="35">
        <v>1685</v>
      </c>
      <c r="AO59" s="4" t="s">
        <v>109</v>
      </c>
      <c r="AR59" s="181">
        <v>1572</v>
      </c>
      <c r="AS59" s="181">
        <v>1620</v>
      </c>
      <c r="AT59" s="163" t="s">
        <v>209</v>
      </c>
      <c r="AU59" s="182" t="s">
        <v>267</v>
      </c>
      <c r="AV59" s="182">
        <v>10</v>
      </c>
      <c r="AW59" s="182">
        <v>48</v>
      </c>
      <c r="AX59" s="175">
        <v>58</v>
      </c>
      <c r="AY59" s="175" t="s">
        <v>268</v>
      </c>
      <c r="AZ59" s="175" t="s">
        <v>269</v>
      </c>
      <c r="BA59" s="175" t="s">
        <v>270</v>
      </c>
    </row>
    <row r="60" spans="36:53" x14ac:dyDescent="0.1">
      <c r="AJ60" s="163">
        <v>1958</v>
      </c>
      <c r="AN60" s="35">
        <v>1715</v>
      </c>
      <c r="AO60" s="4" t="s">
        <v>110</v>
      </c>
      <c r="AR60" s="181">
        <v>1620</v>
      </c>
      <c r="AS60" s="181">
        <v>1627</v>
      </c>
      <c r="AT60" s="163" t="s">
        <v>209</v>
      </c>
      <c r="AU60" s="182" t="s">
        <v>271</v>
      </c>
      <c r="AV60" s="182">
        <v>39</v>
      </c>
      <c r="AW60" s="182" t="s">
        <v>272</v>
      </c>
      <c r="AX60" s="175">
        <v>39</v>
      </c>
      <c r="AY60" s="175" t="s">
        <v>273</v>
      </c>
      <c r="AZ60" s="175" t="s">
        <v>274</v>
      </c>
      <c r="BA60" s="175" t="s">
        <v>275</v>
      </c>
    </row>
    <row r="61" spans="36:53" x14ac:dyDescent="0.1">
      <c r="AJ61" s="163">
        <v>1959</v>
      </c>
      <c r="AN61" s="35">
        <v>1744</v>
      </c>
      <c r="AO61" s="4" t="s">
        <v>111</v>
      </c>
      <c r="AR61" s="181">
        <v>1627</v>
      </c>
      <c r="AS61" s="181">
        <v>1643</v>
      </c>
      <c r="AT61" s="163" t="s">
        <v>209</v>
      </c>
      <c r="AU61" s="182" t="s">
        <v>276</v>
      </c>
      <c r="AV61" s="182">
        <v>18</v>
      </c>
      <c r="AW61" s="182">
        <v>17</v>
      </c>
      <c r="AX61" s="175">
        <v>35</v>
      </c>
      <c r="AY61" s="175" t="s">
        <v>277</v>
      </c>
      <c r="AZ61" s="175" t="s">
        <v>278</v>
      </c>
      <c r="BA61" s="175" t="s">
        <v>279</v>
      </c>
    </row>
    <row r="62" spans="36:53" x14ac:dyDescent="0.1">
      <c r="AJ62" s="163">
        <v>1960</v>
      </c>
      <c r="AN62" s="35">
        <v>1773</v>
      </c>
      <c r="AO62" s="4" t="s">
        <v>112</v>
      </c>
      <c r="AR62" s="181">
        <v>1643</v>
      </c>
      <c r="AS62" s="181">
        <v>1661</v>
      </c>
      <c r="AT62" s="163" t="s">
        <v>210</v>
      </c>
      <c r="AU62" s="182" t="s">
        <v>280</v>
      </c>
      <c r="AV62" s="182">
        <v>6</v>
      </c>
      <c r="AW62" s="182">
        <v>18</v>
      </c>
      <c r="AX62" s="175">
        <v>24</v>
      </c>
      <c r="AY62" s="175" t="s">
        <v>281</v>
      </c>
      <c r="AZ62" s="175" t="s">
        <v>282</v>
      </c>
      <c r="BA62" s="168"/>
    </row>
    <row r="63" spans="36:53" x14ac:dyDescent="0.1">
      <c r="AJ63" s="163">
        <v>1961</v>
      </c>
      <c r="AN63" s="35">
        <v>1803</v>
      </c>
      <c r="AO63" s="4" t="s">
        <v>379</v>
      </c>
      <c r="AR63" s="181">
        <v>1661</v>
      </c>
      <c r="AS63" s="181">
        <v>1722</v>
      </c>
      <c r="AT63" s="163" t="s">
        <v>210</v>
      </c>
      <c r="AU63" s="182" t="s">
        <v>283</v>
      </c>
      <c r="AV63" s="182">
        <v>8</v>
      </c>
      <c r="AW63" s="182">
        <v>61</v>
      </c>
      <c r="AX63" s="175">
        <v>69</v>
      </c>
      <c r="AY63" s="175" t="s">
        <v>284</v>
      </c>
      <c r="AZ63" s="175" t="s">
        <v>285</v>
      </c>
      <c r="BA63" s="168"/>
    </row>
    <row r="64" spans="36:53" x14ac:dyDescent="0.1">
      <c r="AJ64" s="163">
        <v>1962</v>
      </c>
      <c r="AN64" s="35">
        <v>1833</v>
      </c>
      <c r="AO64" s="4" t="s">
        <v>113</v>
      </c>
      <c r="AR64" s="181">
        <v>1722</v>
      </c>
      <c r="AS64" s="181">
        <v>1735</v>
      </c>
      <c r="AT64" s="163" t="s">
        <v>210</v>
      </c>
      <c r="AU64" s="182" t="s">
        <v>286</v>
      </c>
      <c r="AV64" s="182">
        <v>45</v>
      </c>
      <c r="AW64" s="182">
        <v>13</v>
      </c>
      <c r="AX64" s="175">
        <v>58</v>
      </c>
      <c r="AY64" s="175" t="s">
        <v>287</v>
      </c>
      <c r="AZ64" s="175" t="s">
        <v>288</v>
      </c>
      <c r="BA64" s="168"/>
    </row>
    <row r="65" spans="36:53" x14ac:dyDescent="0.1">
      <c r="AJ65" s="163">
        <v>1963</v>
      </c>
      <c r="AN65" s="35">
        <v>1862</v>
      </c>
      <c r="AO65" s="4" t="s">
        <v>100</v>
      </c>
      <c r="AR65" s="181">
        <v>1735</v>
      </c>
      <c r="AS65" s="181">
        <v>1796</v>
      </c>
      <c r="AT65" s="163" t="s">
        <v>210</v>
      </c>
      <c r="AU65" s="182" t="s">
        <v>289</v>
      </c>
      <c r="AV65" s="182">
        <v>25</v>
      </c>
      <c r="AW65" s="182">
        <v>60</v>
      </c>
      <c r="AX65" s="175">
        <v>89</v>
      </c>
      <c r="AY65" s="175" t="s">
        <v>290</v>
      </c>
      <c r="AZ65" s="175" t="s">
        <v>291</v>
      </c>
      <c r="BA65" s="168"/>
    </row>
    <row r="66" spans="36:53" x14ac:dyDescent="0.1">
      <c r="AJ66" s="163">
        <v>1964</v>
      </c>
      <c r="AN66" s="35">
        <v>1892</v>
      </c>
      <c r="AO66" s="4" t="s">
        <v>104</v>
      </c>
      <c r="AR66" s="181">
        <v>1796</v>
      </c>
      <c r="AS66" s="181">
        <v>1820</v>
      </c>
      <c r="AT66" s="163" t="s">
        <v>210</v>
      </c>
      <c r="AU66" s="182" t="s">
        <v>292</v>
      </c>
      <c r="AV66" s="182">
        <v>37</v>
      </c>
      <c r="AW66" s="182">
        <v>25</v>
      </c>
      <c r="AX66" s="175">
        <v>61</v>
      </c>
      <c r="AY66" s="175" t="s">
        <v>293</v>
      </c>
      <c r="AZ66" s="175" t="s">
        <v>294</v>
      </c>
      <c r="BA66" s="168"/>
    </row>
    <row r="67" spans="36:53" x14ac:dyDescent="0.1">
      <c r="AJ67" s="163">
        <v>1965</v>
      </c>
      <c r="AN67" s="35">
        <v>1922</v>
      </c>
      <c r="AO67" s="4" t="s">
        <v>105</v>
      </c>
      <c r="AR67" s="181">
        <v>1820</v>
      </c>
      <c r="AS67" s="181">
        <v>1850</v>
      </c>
      <c r="AT67" s="163" t="s">
        <v>210</v>
      </c>
      <c r="AU67" s="182" t="s">
        <v>295</v>
      </c>
      <c r="AV67" s="182">
        <v>39</v>
      </c>
      <c r="AW67" s="182">
        <v>30</v>
      </c>
      <c r="AX67" s="175">
        <v>69</v>
      </c>
      <c r="AY67" s="175" t="s">
        <v>296</v>
      </c>
      <c r="AZ67" s="175" t="s">
        <v>297</v>
      </c>
      <c r="BA67" s="168"/>
    </row>
    <row r="68" spans="36:53" x14ac:dyDescent="0.1">
      <c r="AJ68" s="163">
        <v>1966</v>
      </c>
      <c r="AN68" s="35">
        <v>1951</v>
      </c>
      <c r="AO68" s="4" t="s">
        <v>106</v>
      </c>
      <c r="AR68" s="181">
        <v>1850</v>
      </c>
      <c r="AS68" s="181">
        <v>1861</v>
      </c>
      <c r="AT68" s="163" t="s">
        <v>210</v>
      </c>
      <c r="AU68" s="182" t="s">
        <v>298</v>
      </c>
      <c r="AV68" s="182">
        <v>20</v>
      </c>
      <c r="AW68" s="182">
        <v>11</v>
      </c>
      <c r="AX68" s="175">
        <v>31</v>
      </c>
      <c r="AY68" s="175" t="s">
        <v>299</v>
      </c>
      <c r="AZ68" s="175" t="s">
        <v>300</v>
      </c>
      <c r="BA68" s="168"/>
    </row>
    <row r="69" spans="36:53" x14ac:dyDescent="0.1">
      <c r="AJ69" s="163">
        <v>1967</v>
      </c>
      <c r="AN69" s="35">
        <v>1981</v>
      </c>
      <c r="AO69" s="4" t="s">
        <v>107</v>
      </c>
      <c r="AR69" s="181">
        <v>1861</v>
      </c>
      <c r="AS69" s="181">
        <v>1875</v>
      </c>
      <c r="AT69" s="163" t="s">
        <v>210</v>
      </c>
      <c r="AU69" s="182" t="s">
        <v>301</v>
      </c>
      <c r="AV69" s="182">
        <v>6</v>
      </c>
      <c r="AW69" s="182">
        <v>13</v>
      </c>
      <c r="AX69" s="175">
        <v>19</v>
      </c>
      <c r="AY69" s="175" t="s">
        <v>302</v>
      </c>
      <c r="AZ69" s="175" t="s">
        <v>303</v>
      </c>
      <c r="BA69" s="168"/>
    </row>
    <row r="70" spans="36:53" x14ac:dyDescent="0.1">
      <c r="AJ70" s="163">
        <v>1968</v>
      </c>
      <c r="AN70" s="35">
        <v>2011</v>
      </c>
      <c r="AO70" s="4" t="s">
        <v>108</v>
      </c>
      <c r="AR70" s="181">
        <v>1875</v>
      </c>
      <c r="AS70" s="181">
        <v>1908</v>
      </c>
      <c r="AT70" s="163" t="s">
        <v>210</v>
      </c>
      <c r="AU70" s="182" t="s">
        <v>304</v>
      </c>
      <c r="AV70" s="182">
        <v>4</v>
      </c>
      <c r="AW70" s="182">
        <v>34</v>
      </c>
      <c r="AX70" s="175">
        <v>38</v>
      </c>
      <c r="AY70" s="175" t="s">
        <v>305</v>
      </c>
      <c r="AZ70" s="175" t="s">
        <v>306</v>
      </c>
      <c r="BA70" s="168"/>
    </row>
    <row r="71" spans="36:53" x14ac:dyDescent="0.1">
      <c r="AJ71" s="163">
        <v>1969</v>
      </c>
      <c r="AN71" s="35">
        <v>2040</v>
      </c>
      <c r="AO71" s="4" t="s">
        <v>109</v>
      </c>
      <c r="AR71" s="181">
        <v>1908</v>
      </c>
      <c r="AS71" s="165">
        <v>1911</v>
      </c>
      <c r="AT71" s="163" t="s">
        <v>210</v>
      </c>
      <c r="AU71" s="182" t="s">
        <v>307</v>
      </c>
      <c r="AV71" s="182">
        <v>3</v>
      </c>
      <c r="AW71" s="182">
        <v>3</v>
      </c>
      <c r="AX71" s="175">
        <v>61</v>
      </c>
      <c r="AY71" s="175" t="s">
        <v>308</v>
      </c>
      <c r="AZ71" s="175" t="s">
        <v>309</v>
      </c>
      <c r="BA71" s="168"/>
    </row>
    <row r="72" spans="36:53" x14ac:dyDescent="0.1">
      <c r="AJ72" s="163">
        <v>1970</v>
      </c>
      <c r="AN72" s="35">
        <v>2069</v>
      </c>
      <c r="AO72" s="4" t="s">
        <v>110</v>
      </c>
      <c r="AR72" s="165">
        <v>1911</v>
      </c>
      <c r="AS72" s="165">
        <v>1949</v>
      </c>
      <c r="AT72" s="163" t="s">
        <v>547</v>
      </c>
      <c r="AU72" s="166" t="s">
        <v>310</v>
      </c>
      <c r="AV72" s="163"/>
      <c r="AW72" s="163"/>
      <c r="AX72" s="168"/>
      <c r="AY72" s="168" t="s">
        <v>211</v>
      </c>
      <c r="AZ72" s="168"/>
      <c r="BA72" s="168"/>
    </row>
    <row r="73" spans="36:53" x14ac:dyDescent="0.1">
      <c r="AJ73" s="163">
        <v>1971</v>
      </c>
      <c r="AN73" s="35">
        <v>2099</v>
      </c>
      <c r="AO73" s="4" t="s">
        <v>111</v>
      </c>
      <c r="AR73" s="3">
        <v>1949</v>
      </c>
      <c r="AT73" s="166" t="s">
        <v>310</v>
      </c>
      <c r="AU73" s="166" t="s">
        <v>310</v>
      </c>
    </row>
    <row r="74" spans="36:53" x14ac:dyDescent="0.1">
      <c r="AJ74" s="163">
        <v>1972</v>
      </c>
      <c r="AN74" s="35">
        <v>2128</v>
      </c>
      <c r="AO74" s="4" t="s">
        <v>112</v>
      </c>
    </row>
    <row r="75" spans="36:53" x14ac:dyDescent="0.1">
      <c r="AJ75" s="163">
        <v>1973</v>
      </c>
      <c r="AN75" s="35">
        <v>2158</v>
      </c>
      <c r="AO75" s="4" t="s">
        <v>379</v>
      </c>
    </row>
    <row r="76" spans="36:53" x14ac:dyDescent="0.1">
      <c r="AJ76" s="163">
        <v>1974</v>
      </c>
      <c r="AN76" s="35">
        <v>2187</v>
      </c>
      <c r="AO76" s="4" t="s">
        <v>113</v>
      </c>
    </row>
    <row r="77" spans="36:53" x14ac:dyDescent="0.1">
      <c r="AJ77" s="163">
        <v>1975</v>
      </c>
      <c r="AN77" s="35">
        <v>2217</v>
      </c>
      <c r="AO77" s="4" t="s">
        <v>100</v>
      </c>
    </row>
    <row r="78" spans="36:53" x14ac:dyDescent="0.1">
      <c r="AJ78" s="163">
        <v>1976</v>
      </c>
      <c r="AN78" s="35">
        <v>2246</v>
      </c>
      <c r="AO78" s="4" t="s">
        <v>104</v>
      </c>
    </row>
    <row r="79" spans="36:53" x14ac:dyDescent="0.1">
      <c r="AJ79" s="163">
        <v>1977</v>
      </c>
      <c r="AN79" s="35">
        <v>2276</v>
      </c>
      <c r="AO79" s="4" t="s">
        <v>105</v>
      </c>
    </row>
    <row r="80" spans="36:53" x14ac:dyDescent="0.1">
      <c r="AJ80" s="163">
        <v>1978</v>
      </c>
      <c r="AN80" s="35">
        <v>2306</v>
      </c>
      <c r="AO80" s="4" t="s">
        <v>106</v>
      </c>
    </row>
    <row r="81" spans="36:41" x14ac:dyDescent="0.1">
      <c r="AJ81" s="163">
        <v>1979</v>
      </c>
      <c r="AN81" s="35">
        <v>2335</v>
      </c>
      <c r="AO81" s="4" t="s">
        <v>143</v>
      </c>
    </row>
    <row r="82" spans="36:41" x14ac:dyDescent="0.1">
      <c r="AJ82" s="163">
        <v>1980</v>
      </c>
      <c r="AN82" s="35">
        <v>2365</v>
      </c>
      <c r="AO82" s="4" t="s">
        <v>107</v>
      </c>
    </row>
    <row r="83" spans="36:41" x14ac:dyDescent="0.1">
      <c r="AJ83" s="163">
        <v>1981</v>
      </c>
      <c r="AN83" s="35">
        <v>2394</v>
      </c>
      <c r="AO83" s="4" t="s">
        <v>108</v>
      </c>
    </row>
    <row r="84" spans="36:41" x14ac:dyDescent="0.1">
      <c r="AJ84" s="163">
        <v>1982</v>
      </c>
      <c r="AN84" s="35">
        <v>2424</v>
      </c>
      <c r="AO84" s="4" t="s">
        <v>109</v>
      </c>
    </row>
    <row r="85" spans="36:41" x14ac:dyDescent="0.1">
      <c r="AJ85" s="163">
        <v>1983</v>
      </c>
      <c r="AN85" s="35">
        <v>2453</v>
      </c>
      <c r="AO85" s="4" t="s">
        <v>110</v>
      </c>
    </row>
    <row r="86" spans="36:41" x14ac:dyDescent="0.1">
      <c r="AJ86" s="163">
        <v>1984</v>
      </c>
      <c r="AN86" s="35">
        <v>2483</v>
      </c>
      <c r="AO86" s="4" t="s">
        <v>111</v>
      </c>
    </row>
    <row r="87" spans="36:41" x14ac:dyDescent="0.1">
      <c r="AJ87" s="163">
        <v>1985</v>
      </c>
      <c r="AN87" s="35">
        <v>2512</v>
      </c>
      <c r="AO87" s="4" t="s">
        <v>112</v>
      </c>
    </row>
    <row r="88" spans="36:41" x14ac:dyDescent="0.1">
      <c r="AJ88" s="163">
        <v>1986</v>
      </c>
      <c r="AN88" s="35">
        <v>2542</v>
      </c>
      <c r="AO88" s="4" t="s">
        <v>379</v>
      </c>
    </row>
    <row r="89" spans="36:41" x14ac:dyDescent="0.1">
      <c r="AJ89" s="163">
        <v>1987</v>
      </c>
      <c r="AN89" s="35">
        <v>2571</v>
      </c>
      <c r="AO89" s="4" t="s">
        <v>113</v>
      </c>
    </row>
    <row r="90" spans="36:41" x14ac:dyDescent="0.1">
      <c r="AJ90" s="163">
        <v>1988</v>
      </c>
      <c r="AN90" s="35">
        <v>2601</v>
      </c>
      <c r="AO90" s="4" t="s">
        <v>100</v>
      </c>
    </row>
    <row r="91" spans="36:41" x14ac:dyDescent="0.1">
      <c r="AJ91" s="163">
        <v>1989</v>
      </c>
      <c r="AN91" s="35">
        <v>2630</v>
      </c>
      <c r="AO91" s="4" t="s">
        <v>104</v>
      </c>
    </row>
    <row r="92" spans="36:41" x14ac:dyDescent="0.1">
      <c r="AJ92" s="163">
        <v>1990</v>
      </c>
      <c r="AN92" s="35">
        <v>2660</v>
      </c>
      <c r="AO92" s="4" t="s">
        <v>105</v>
      </c>
    </row>
    <row r="93" spans="36:41" x14ac:dyDescent="0.1">
      <c r="AJ93" s="163">
        <v>1991</v>
      </c>
      <c r="AN93" s="35">
        <v>2689</v>
      </c>
      <c r="AO93" s="4" t="s">
        <v>106</v>
      </c>
    </row>
    <row r="94" spans="36:41" x14ac:dyDescent="0.1">
      <c r="AJ94" s="163">
        <v>1992</v>
      </c>
      <c r="AN94" s="35">
        <v>2719</v>
      </c>
      <c r="AO94" s="4" t="s">
        <v>107</v>
      </c>
    </row>
    <row r="95" spans="36:41" x14ac:dyDescent="0.1">
      <c r="AJ95" s="163">
        <v>1993</v>
      </c>
      <c r="AN95" s="35">
        <v>2748</v>
      </c>
      <c r="AO95" s="4" t="s">
        <v>108</v>
      </c>
    </row>
    <row r="96" spans="36:41" x14ac:dyDescent="0.1">
      <c r="AJ96" s="163">
        <v>1994</v>
      </c>
      <c r="AN96" s="35">
        <v>2778</v>
      </c>
      <c r="AO96" s="4" t="s">
        <v>109</v>
      </c>
    </row>
    <row r="97" spans="36:41" x14ac:dyDescent="0.1">
      <c r="AJ97" s="163">
        <v>1995</v>
      </c>
      <c r="AN97" s="35">
        <v>2808</v>
      </c>
      <c r="AO97" s="4" t="s">
        <v>110</v>
      </c>
    </row>
    <row r="98" spans="36:41" x14ac:dyDescent="0.1">
      <c r="AJ98" s="163">
        <v>1996</v>
      </c>
      <c r="AN98" s="35">
        <v>2837</v>
      </c>
      <c r="AO98" s="4" t="s">
        <v>111</v>
      </c>
    </row>
    <row r="99" spans="36:41" x14ac:dyDescent="0.1">
      <c r="AJ99" s="163">
        <v>1997</v>
      </c>
      <c r="AN99" s="35">
        <v>2867</v>
      </c>
      <c r="AO99" s="4" t="s">
        <v>112</v>
      </c>
    </row>
    <row r="100" spans="36:41" x14ac:dyDescent="0.1">
      <c r="AJ100" s="163">
        <v>1998</v>
      </c>
      <c r="AN100" s="35">
        <v>2896</v>
      </c>
      <c r="AO100" s="4" t="s">
        <v>379</v>
      </c>
    </row>
    <row r="101" spans="36:41" x14ac:dyDescent="0.1">
      <c r="AJ101" s="163">
        <v>1999</v>
      </c>
      <c r="AN101" s="35">
        <v>2926</v>
      </c>
      <c r="AO101" s="4" t="s">
        <v>113</v>
      </c>
    </row>
    <row r="102" spans="36:41" x14ac:dyDescent="0.1">
      <c r="AJ102" s="163">
        <v>2000</v>
      </c>
      <c r="AN102" s="35">
        <v>2955</v>
      </c>
      <c r="AO102" s="4" t="s">
        <v>100</v>
      </c>
    </row>
    <row r="103" spans="36:41" x14ac:dyDescent="0.1">
      <c r="AJ103" s="163">
        <v>2001</v>
      </c>
      <c r="AN103" s="35">
        <v>2985</v>
      </c>
      <c r="AO103" s="4" t="s">
        <v>104</v>
      </c>
    </row>
    <row r="104" spans="36:41" x14ac:dyDescent="0.1">
      <c r="AJ104" s="163">
        <v>2002</v>
      </c>
      <c r="AN104" s="35">
        <v>3014</v>
      </c>
      <c r="AO104" s="4" t="s">
        <v>105</v>
      </c>
    </row>
    <row r="105" spans="36:41" x14ac:dyDescent="0.1">
      <c r="AJ105" s="163">
        <v>2003</v>
      </c>
      <c r="AN105" s="35">
        <v>3043</v>
      </c>
      <c r="AO105" s="4" t="s">
        <v>106</v>
      </c>
    </row>
    <row r="106" spans="36:41" x14ac:dyDescent="0.1">
      <c r="AJ106" s="163">
        <v>2004</v>
      </c>
      <c r="AN106" s="35">
        <v>3073</v>
      </c>
      <c r="AO106" s="4" t="s">
        <v>107</v>
      </c>
    </row>
    <row r="107" spans="36:41" x14ac:dyDescent="0.1">
      <c r="AJ107" s="163">
        <v>2005</v>
      </c>
      <c r="AN107" s="35">
        <v>3103</v>
      </c>
      <c r="AO107" s="4" t="s">
        <v>108</v>
      </c>
    </row>
    <row r="108" spans="36:41" x14ac:dyDescent="0.1">
      <c r="AJ108" s="163">
        <v>2006</v>
      </c>
      <c r="AN108" s="35">
        <v>3130</v>
      </c>
      <c r="AO108" s="4" t="s">
        <v>109</v>
      </c>
    </row>
    <row r="109" spans="36:41" x14ac:dyDescent="0.1">
      <c r="AJ109" s="163">
        <v>2007</v>
      </c>
      <c r="AN109" s="35">
        <v>3162</v>
      </c>
      <c r="AO109" s="4" t="s">
        <v>110</v>
      </c>
    </row>
    <row r="110" spans="36:41" x14ac:dyDescent="0.1">
      <c r="AJ110" s="163">
        <v>2008</v>
      </c>
      <c r="AN110" s="35">
        <v>3191</v>
      </c>
      <c r="AO110" s="4" t="s">
        <v>111</v>
      </c>
    </row>
    <row r="111" spans="36:41" x14ac:dyDescent="0.1">
      <c r="AJ111" s="163">
        <v>2009</v>
      </c>
      <c r="AN111" s="35">
        <v>3221</v>
      </c>
      <c r="AO111" s="4" t="s">
        <v>112</v>
      </c>
    </row>
    <row r="112" spans="36:41" x14ac:dyDescent="0.1">
      <c r="AJ112" s="163">
        <v>2010</v>
      </c>
      <c r="AN112" s="35">
        <v>3251</v>
      </c>
      <c r="AO112" s="4" t="s">
        <v>379</v>
      </c>
    </row>
    <row r="113" spans="36:41" x14ac:dyDescent="0.1">
      <c r="AJ113" s="163">
        <v>2011</v>
      </c>
      <c r="AN113" s="35">
        <v>3280</v>
      </c>
      <c r="AO113" s="4" t="s">
        <v>113</v>
      </c>
    </row>
    <row r="114" spans="36:41" x14ac:dyDescent="0.1">
      <c r="AJ114" s="163">
        <v>2012</v>
      </c>
      <c r="AN114" s="35">
        <v>3310</v>
      </c>
      <c r="AO114" s="4" t="s">
        <v>100</v>
      </c>
    </row>
    <row r="115" spans="36:41" x14ac:dyDescent="0.1">
      <c r="AJ115" s="163">
        <v>2013</v>
      </c>
      <c r="AN115" s="35">
        <v>3339</v>
      </c>
      <c r="AO115" s="4" t="s">
        <v>104</v>
      </c>
    </row>
    <row r="116" spans="36:41" x14ac:dyDescent="0.1">
      <c r="AJ116" s="163">
        <v>2014</v>
      </c>
      <c r="AN116" s="35">
        <v>3369</v>
      </c>
      <c r="AO116" s="4" t="s">
        <v>144</v>
      </c>
    </row>
    <row r="117" spans="36:41" x14ac:dyDescent="0.1">
      <c r="AJ117" s="163">
        <v>2015</v>
      </c>
      <c r="AN117" s="35">
        <v>3398</v>
      </c>
      <c r="AO117" s="4" t="s">
        <v>105</v>
      </c>
    </row>
    <row r="118" spans="36:41" x14ac:dyDescent="0.1">
      <c r="AJ118" s="163">
        <v>2016</v>
      </c>
      <c r="AN118" s="35">
        <v>3427</v>
      </c>
      <c r="AO118" s="4" t="s">
        <v>106</v>
      </c>
    </row>
    <row r="119" spans="36:41" x14ac:dyDescent="0.1">
      <c r="AJ119" s="163">
        <v>2017</v>
      </c>
      <c r="AN119" s="35">
        <v>3457</v>
      </c>
      <c r="AO119" s="4" t="s">
        <v>107</v>
      </c>
    </row>
    <row r="120" spans="36:41" x14ac:dyDescent="0.1">
      <c r="AJ120" s="163">
        <v>2018</v>
      </c>
      <c r="AN120" s="35">
        <v>3486</v>
      </c>
      <c r="AO120" s="4" t="s">
        <v>108</v>
      </c>
    </row>
    <row r="121" spans="36:41" x14ac:dyDescent="0.1">
      <c r="AJ121" s="163">
        <v>2019</v>
      </c>
      <c r="AN121" s="35">
        <v>3516</v>
      </c>
      <c r="AO121" s="4" t="s">
        <v>109</v>
      </c>
    </row>
    <row r="122" spans="36:41" x14ac:dyDescent="0.1">
      <c r="AJ122" s="163">
        <v>2020</v>
      </c>
      <c r="AN122" s="35">
        <v>3545</v>
      </c>
      <c r="AO122" s="4" t="s">
        <v>110</v>
      </c>
    </row>
    <row r="123" spans="36:41" x14ac:dyDescent="0.1">
      <c r="AJ123" s="163">
        <v>2021</v>
      </c>
      <c r="AN123" s="35">
        <v>3575</v>
      </c>
      <c r="AO123" s="4" t="s">
        <v>111</v>
      </c>
    </row>
    <row r="124" spans="36:41" x14ac:dyDescent="0.1">
      <c r="AJ124" s="163">
        <v>2022</v>
      </c>
      <c r="AN124" s="35">
        <v>3605</v>
      </c>
      <c r="AO124" s="4" t="s">
        <v>112</v>
      </c>
    </row>
    <row r="125" spans="36:41" x14ac:dyDescent="0.1">
      <c r="AJ125" s="163">
        <v>2023</v>
      </c>
      <c r="AN125" s="35">
        <v>3635</v>
      </c>
      <c r="AO125" s="4" t="s">
        <v>379</v>
      </c>
    </row>
    <row r="126" spans="36:41" x14ac:dyDescent="0.1">
      <c r="AJ126" s="163">
        <v>2024</v>
      </c>
      <c r="AN126" s="35">
        <v>3664</v>
      </c>
      <c r="AO126" s="4" t="s">
        <v>113</v>
      </c>
    </row>
    <row r="127" spans="36:41" x14ac:dyDescent="0.1">
      <c r="AJ127" s="163">
        <v>2025</v>
      </c>
      <c r="AN127" s="35">
        <v>3694</v>
      </c>
      <c r="AO127" s="4" t="s">
        <v>100</v>
      </c>
    </row>
    <row r="128" spans="36:41" x14ac:dyDescent="0.1">
      <c r="AJ128" s="163">
        <v>2026</v>
      </c>
      <c r="AN128" s="35">
        <v>3723</v>
      </c>
      <c r="AO128" s="4" t="s">
        <v>104</v>
      </c>
    </row>
    <row r="129" spans="36:41" x14ac:dyDescent="0.1">
      <c r="AJ129" s="163">
        <v>2027</v>
      </c>
      <c r="AN129" s="35">
        <v>3753</v>
      </c>
      <c r="AO129" s="4" t="s">
        <v>105</v>
      </c>
    </row>
    <row r="130" spans="36:41" x14ac:dyDescent="0.1">
      <c r="AJ130" s="163">
        <v>2028</v>
      </c>
      <c r="AN130" s="35">
        <v>3782</v>
      </c>
      <c r="AO130" s="4" t="s">
        <v>106</v>
      </c>
    </row>
    <row r="131" spans="36:41" x14ac:dyDescent="0.1">
      <c r="AJ131" s="163">
        <v>2029</v>
      </c>
      <c r="AN131" s="35">
        <v>3811</v>
      </c>
      <c r="AO131" s="4" t="s">
        <v>107</v>
      </c>
    </row>
    <row r="132" spans="36:41" x14ac:dyDescent="0.1">
      <c r="AJ132" s="163">
        <v>2030</v>
      </c>
      <c r="AN132" s="35">
        <v>3841</v>
      </c>
      <c r="AO132" s="4" t="s">
        <v>108</v>
      </c>
    </row>
    <row r="133" spans="36:41" x14ac:dyDescent="0.1">
      <c r="AJ133" s="163">
        <v>2031</v>
      </c>
      <c r="AN133" s="35">
        <v>3870</v>
      </c>
      <c r="AO133" s="4" t="s">
        <v>109</v>
      </c>
    </row>
    <row r="134" spans="36:41" x14ac:dyDescent="0.1">
      <c r="AJ134" s="163">
        <v>2032</v>
      </c>
      <c r="AN134" s="35">
        <v>3900</v>
      </c>
      <c r="AO134" s="4" t="s">
        <v>110</v>
      </c>
    </row>
    <row r="135" spans="36:41" x14ac:dyDescent="0.1">
      <c r="AJ135" s="163">
        <v>2033</v>
      </c>
      <c r="AN135" s="35">
        <v>3929</v>
      </c>
      <c r="AO135" s="4" t="s">
        <v>111</v>
      </c>
    </row>
    <row r="136" spans="36:41" x14ac:dyDescent="0.1">
      <c r="AJ136" s="163">
        <v>2034</v>
      </c>
      <c r="AN136" s="35">
        <v>3959</v>
      </c>
      <c r="AO136" s="4" t="s">
        <v>112</v>
      </c>
    </row>
    <row r="137" spans="36:41" x14ac:dyDescent="0.1">
      <c r="AJ137" s="163">
        <v>2035</v>
      </c>
      <c r="AN137" s="35">
        <v>3989</v>
      </c>
      <c r="AO137" s="4" t="s">
        <v>379</v>
      </c>
    </row>
    <row r="138" spans="36:41" x14ac:dyDescent="0.1">
      <c r="AJ138" s="163">
        <v>2036</v>
      </c>
      <c r="AN138" s="35">
        <v>4019</v>
      </c>
      <c r="AO138" s="4" t="s">
        <v>113</v>
      </c>
    </row>
    <row r="139" spans="36:41" x14ac:dyDescent="0.1">
      <c r="AJ139" s="163">
        <v>2037</v>
      </c>
      <c r="AN139" s="35">
        <v>4048</v>
      </c>
      <c r="AO139" s="4" t="s">
        <v>100</v>
      </c>
    </row>
    <row r="140" spans="36:41" x14ac:dyDescent="0.1">
      <c r="AJ140" s="163">
        <v>2038</v>
      </c>
      <c r="AN140" s="35">
        <v>4078</v>
      </c>
      <c r="AO140" s="4" t="s">
        <v>104</v>
      </c>
    </row>
    <row r="141" spans="36:41" x14ac:dyDescent="0.1">
      <c r="AJ141" s="163">
        <v>2039</v>
      </c>
      <c r="AN141" s="35">
        <v>4107</v>
      </c>
      <c r="AO141" s="4" t="s">
        <v>105</v>
      </c>
    </row>
    <row r="142" spans="36:41" x14ac:dyDescent="0.1">
      <c r="AJ142" s="163">
        <v>2040</v>
      </c>
      <c r="AN142" s="35">
        <v>4137</v>
      </c>
      <c r="AO142" s="4" t="s">
        <v>106</v>
      </c>
    </row>
    <row r="143" spans="36:41" x14ac:dyDescent="0.1">
      <c r="AJ143" s="163">
        <v>2041</v>
      </c>
      <c r="AN143" s="35">
        <v>4166</v>
      </c>
      <c r="AO143" s="4" t="s">
        <v>107</v>
      </c>
    </row>
    <row r="144" spans="36:41" x14ac:dyDescent="0.1">
      <c r="AJ144" s="163">
        <v>2042</v>
      </c>
      <c r="AN144" s="35">
        <v>4195</v>
      </c>
      <c r="AO144" s="4" t="s">
        <v>108</v>
      </c>
    </row>
    <row r="145" spans="36:41" x14ac:dyDescent="0.1">
      <c r="AJ145" s="163">
        <v>2043</v>
      </c>
      <c r="AN145" s="35">
        <v>4225</v>
      </c>
      <c r="AO145" s="4" t="s">
        <v>145</v>
      </c>
    </row>
    <row r="146" spans="36:41" x14ac:dyDescent="0.1">
      <c r="AJ146" s="163">
        <v>2044</v>
      </c>
      <c r="AN146" s="35">
        <v>4254</v>
      </c>
      <c r="AO146" s="4" t="s">
        <v>109</v>
      </c>
    </row>
    <row r="147" spans="36:41" x14ac:dyDescent="0.1">
      <c r="AJ147" s="163">
        <v>2045</v>
      </c>
      <c r="AN147" s="35">
        <v>4283</v>
      </c>
      <c r="AO147" s="4" t="s">
        <v>110</v>
      </c>
    </row>
    <row r="148" spans="36:41" x14ac:dyDescent="0.1">
      <c r="AJ148" s="163">
        <v>2046</v>
      </c>
      <c r="AN148" s="35">
        <v>4313</v>
      </c>
      <c r="AO148" s="4" t="s">
        <v>111</v>
      </c>
    </row>
    <row r="149" spans="36:41" x14ac:dyDescent="0.1">
      <c r="AJ149" s="163">
        <v>2047</v>
      </c>
      <c r="AN149" s="35">
        <v>4343</v>
      </c>
      <c r="AO149" s="4" t="s">
        <v>112</v>
      </c>
    </row>
    <row r="150" spans="36:41" x14ac:dyDescent="0.1">
      <c r="AJ150" s="163">
        <v>2048</v>
      </c>
      <c r="AN150" s="35">
        <v>4372</v>
      </c>
      <c r="AO150" s="4" t="s">
        <v>379</v>
      </c>
    </row>
    <row r="151" spans="36:41" x14ac:dyDescent="0.1">
      <c r="AJ151" s="163">
        <v>2049</v>
      </c>
      <c r="AN151" s="35">
        <v>4402</v>
      </c>
      <c r="AO151" s="4" t="s">
        <v>113</v>
      </c>
    </row>
    <row r="152" spans="36:41" x14ac:dyDescent="0.1">
      <c r="AJ152" s="163">
        <v>2050</v>
      </c>
      <c r="AN152" s="35">
        <v>4432</v>
      </c>
      <c r="AO152" s="4" t="s">
        <v>100</v>
      </c>
    </row>
    <row r="153" spans="36:41" x14ac:dyDescent="0.1">
      <c r="AN153" s="35">
        <v>4462</v>
      </c>
      <c r="AO153" s="4" t="s">
        <v>104</v>
      </c>
    </row>
    <row r="154" spans="36:41" x14ac:dyDescent="0.1">
      <c r="AN154" s="35">
        <v>4491</v>
      </c>
      <c r="AO154" s="4" t="s">
        <v>105</v>
      </c>
    </row>
    <row r="155" spans="36:41" x14ac:dyDescent="0.1">
      <c r="AN155" s="35">
        <v>4521</v>
      </c>
      <c r="AO155" s="4" t="s">
        <v>106</v>
      </c>
    </row>
    <row r="156" spans="36:41" x14ac:dyDescent="0.1">
      <c r="AN156" s="35">
        <v>4550</v>
      </c>
      <c r="AO156" s="4" t="s">
        <v>107</v>
      </c>
    </row>
    <row r="157" spans="36:41" x14ac:dyDescent="0.1">
      <c r="AN157" s="35">
        <v>4579</v>
      </c>
      <c r="AO157" s="4" t="s">
        <v>108</v>
      </c>
    </row>
    <row r="158" spans="36:41" x14ac:dyDescent="0.1">
      <c r="AN158" s="35">
        <v>4609</v>
      </c>
      <c r="AO158" s="4" t="s">
        <v>109</v>
      </c>
    </row>
    <row r="159" spans="36:41" x14ac:dyDescent="0.1">
      <c r="AN159" s="35">
        <v>4638</v>
      </c>
      <c r="AO159" s="4" t="s">
        <v>110</v>
      </c>
    </row>
    <row r="160" spans="36:41" x14ac:dyDescent="0.1">
      <c r="AN160" s="35">
        <v>4667</v>
      </c>
      <c r="AO160" s="4" t="s">
        <v>111</v>
      </c>
    </row>
    <row r="161" spans="40:41" x14ac:dyDescent="0.1">
      <c r="AN161" s="35">
        <v>4697</v>
      </c>
      <c r="AO161" s="4" t="s">
        <v>112</v>
      </c>
    </row>
    <row r="162" spans="40:41" x14ac:dyDescent="0.1">
      <c r="AN162" s="35">
        <v>4727</v>
      </c>
      <c r="AO162" s="4" t="s">
        <v>379</v>
      </c>
    </row>
    <row r="163" spans="40:41" x14ac:dyDescent="0.1">
      <c r="AN163" s="35">
        <v>4756</v>
      </c>
      <c r="AO163" s="4" t="s">
        <v>113</v>
      </c>
    </row>
    <row r="164" spans="40:41" x14ac:dyDescent="0.1">
      <c r="AN164" s="35">
        <v>4786</v>
      </c>
      <c r="AO164" s="4" t="s">
        <v>100</v>
      </c>
    </row>
    <row r="165" spans="40:41" x14ac:dyDescent="0.1">
      <c r="AN165" s="35">
        <v>4816</v>
      </c>
      <c r="AO165" s="4" t="s">
        <v>104</v>
      </c>
    </row>
    <row r="166" spans="40:41" x14ac:dyDescent="0.1">
      <c r="AN166" s="35">
        <v>4846</v>
      </c>
      <c r="AO166" s="4" t="s">
        <v>105</v>
      </c>
    </row>
    <row r="167" spans="40:41" x14ac:dyDescent="0.1">
      <c r="AN167" s="35">
        <v>4875</v>
      </c>
      <c r="AO167" s="4" t="s">
        <v>106</v>
      </c>
    </row>
    <row r="168" spans="40:41" x14ac:dyDescent="0.1">
      <c r="AN168" s="35">
        <v>4905</v>
      </c>
      <c r="AO168" s="4" t="s">
        <v>107</v>
      </c>
    </row>
    <row r="169" spans="40:41" x14ac:dyDescent="0.1">
      <c r="AN169" s="35">
        <v>4934</v>
      </c>
      <c r="AO169" s="4" t="s">
        <v>108</v>
      </c>
    </row>
    <row r="170" spans="40:41" x14ac:dyDescent="0.1">
      <c r="AN170" s="35">
        <v>4963</v>
      </c>
      <c r="AO170" s="4" t="s">
        <v>109</v>
      </c>
    </row>
    <row r="171" spans="40:41" x14ac:dyDescent="0.1">
      <c r="AN171" s="35">
        <v>4993</v>
      </c>
      <c r="AO171" s="4" t="s">
        <v>110</v>
      </c>
    </row>
    <row r="172" spans="40:41" x14ac:dyDescent="0.1">
      <c r="AN172" s="35">
        <v>5022</v>
      </c>
      <c r="AO172" s="4" t="s">
        <v>111</v>
      </c>
    </row>
    <row r="173" spans="40:41" x14ac:dyDescent="0.1">
      <c r="AN173" s="35">
        <v>5051</v>
      </c>
      <c r="AO173" s="4" t="s">
        <v>112</v>
      </c>
    </row>
    <row r="174" spans="40:41" x14ac:dyDescent="0.1">
      <c r="AN174" s="35">
        <v>5081</v>
      </c>
      <c r="AO174" s="4" t="s">
        <v>379</v>
      </c>
    </row>
    <row r="175" spans="40:41" x14ac:dyDescent="0.1">
      <c r="AN175" s="35">
        <v>5110</v>
      </c>
      <c r="AO175" s="4" t="s">
        <v>113</v>
      </c>
    </row>
    <row r="176" spans="40:41" x14ac:dyDescent="0.1">
      <c r="AN176" s="35">
        <v>5140</v>
      </c>
      <c r="AO176" s="4" t="s">
        <v>100</v>
      </c>
    </row>
    <row r="177" spans="40:41" x14ac:dyDescent="0.1">
      <c r="AN177" s="35">
        <v>5170</v>
      </c>
      <c r="AO177" s="4" t="s">
        <v>104</v>
      </c>
    </row>
    <row r="178" spans="40:41" x14ac:dyDescent="0.1">
      <c r="AN178" s="35">
        <v>5200</v>
      </c>
      <c r="AO178" s="4" t="s">
        <v>105</v>
      </c>
    </row>
    <row r="179" spans="40:41" x14ac:dyDescent="0.1">
      <c r="AN179" s="35">
        <v>5229</v>
      </c>
      <c r="AO179" s="4" t="s">
        <v>106</v>
      </c>
    </row>
    <row r="180" spans="40:41" x14ac:dyDescent="0.1">
      <c r="AN180" s="35">
        <v>5259</v>
      </c>
      <c r="AO180" s="4" t="s">
        <v>107</v>
      </c>
    </row>
    <row r="181" spans="40:41" x14ac:dyDescent="0.1">
      <c r="AN181" s="35">
        <v>5288</v>
      </c>
      <c r="AO181" s="4" t="s">
        <v>142</v>
      </c>
    </row>
    <row r="182" spans="40:41" x14ac:dyDescent="0.1">
      <c r="AN182" s="35">
        <v>5318</v>
      </c>
      <c r="AO182" s="4" t="s">
        <v>108</v>
      </c>
    </row>
    <row r="183" spans="40:41" x14ac:dyDescent="0.1">
      <c r="AN183" s="35">
        <v>5347</v>
      </c>
      <c r="AO183" s="4" t="s">
        <v>109</v>
      </c>
    </row>
    <row r="184" spans="40:41" x14ac:dyDescent="0.1">
      <c r="AN184" s="35">
        <v>5377</v>
      </c>
      <c r="AO184" s="4" t="s">
        <v>110</v>
      </c>
    </row>
    <row r="185" spans="40:41" x14ac:dyDescent="0.1">
      <c r="AN185" s="35">
        <v>5406</v>
      </c>
      <c r="AO185" s="4" t="s">
        <v>111</v>
      </c>
    </row>
    <row r="186" spans="40:41" x14ac:dyDescent="0.1">
      <c r="AN186" s="35">
        <v>5435</v>
      </c>
      <c r="AO186" s="4" t="s">
        <v>112</v>
      </c>
    </row>
    <row r="187" spans="40:41" x14ac:dyDescent="0.1">
      <c r="AN187" s="35">
        <v>5465</v>
      </c>
      <c r="AO187" s="4" t="s">
        <v>379</v>
      </c>
    </row>
    <row r="188" spans="40:41" x14ac:dyDescent="0.1">
      <c r="AN188" s="35">
        <v>5494</v>
      </c>
      <c r="AO188" s="4" t="s">
        <v>113</v>
      </c>
    </row>
    <row r="189" spans="40:41" x14ac:dyDescent="0.1">
      <c r="AN189" s="35">
        <v>5524</v>
      </c>
      <c r="AO189" s="4" t="s">
        <v>100</v>
      </c>
    </row>
    <row r="190" spans="40:41" x14ac:dyDescent="0.1">
      <c r="AN190" s="35">
        <v>5554</v>
      </c>
      <c r="AO190" s="4" t="s">
        <v>104</v>
      </c>
    </row>
    <row r="191" spans="40:41" x14ac:dyDescent="0.1">
      <c r="AN191" s="35">
        <v>5583</v>
      </c>
      <c r="AO191" s="4" t="s">
        <v>105</v>
      </c>
    </row>
    <row r="192" spans="40:41" x14ac:dyDescent="0.1">
      <c r="AN192" s="35">
        <v>5613</v>
      </c>
      <c r="AO192" s="4" t="s">
        <v>106</v>
      </c>
    </row>
    <row r="193" spans="40:41" x14ac:dyDescent="0.1">
      <c r="AN193" s="35">
        <v>5643</v>
      </c>
      <c r="AO193" s="4" t="s">
        <v>107</v>
      </c>
    </row>
    <row r="194" spans="40:41" x14ac:dyDescent="0.1">
      <c r="AN194" s="35">
        <v>5672</v>
      </c>
      <c r="AO194" s="4" t="s">
        <v>108</v>
      </c>
    </row>
    <row r="195" spans="40:41" x14ac:dyDescent="0.1">
      <c r="AN195" s="35">
        <v>5702</v>
      </c>
      <c r="AO195" s="4" t="s">
        <v>109</v>
      </c>
    </row>
    <row r="196" spans="40:41" x14ac:dyDescent="0.1">
      <c r="AN196" s="35">
        <v>5731</v>
      </c>
      <c r="AO196" s="4" t="s">
        <v>110</v>
      </c>
    </row>
    <row r="197" spans="40:41" x14ac:dyDescent="0.1">
      <c r="AN197" s="35">
        <v>5761</v>
      </c>
      <c r="AO197" s="4" t="s">
        <v>111</v>
      </c>
    </row>
    <row r="198" spans="40:41" x14ac:dyDescent="0.1">
      <c r="AN198" s="35">
        <v>5790</v>
      </c>
      <c r="AO198" s="4" t="s">
        <v>112</v>
      </c>
    </row>
    <row r="199" spans="40:41" x14ac:dyDescent="0.1">
      <c r="AN199" s="35">
        <v>5820</v>
      </c>
      <c r="AO199" s="4" t="s">
        <v>379</v>
      </c>
    </row>
    <row r="200" spans="40:41" x14ac:dyDescent="0.1">
      <c r="AN200" s="35">
        <v>5849</v>
      </c>
      <c r="AO200" s="4" t="s">
        <v>113</v>
      </c>
    </row>
    <row r="201" spans="40:41" x14ac:dyDescent="0.1">
      <c r="AN201" s="35">
        <v>5878</v>
      </c>
      <c r="AO201" s="4" t="s">
        <v>100</v>
      </c>
    </row>
    <row r="202" spans="40:41" x14ac:dyDescent="0.1">
      <c r="AN202" s="35">
        <v>5908</v>
      </c>
      <c r="AO202" s="4" t="s">
        <v>104</v>
      </c>
    </row>
    <row r="203" spans="40:41" x14ac:dyDescent="0.1">
      <c r="AN203" s="35">
        <v>5938</v>
      </c>
      <c r="AO203" s="4" t="s">
        <v>105</v>
      </c>
    </row>
    <row r="204" spans="40:41" x14ac:dyDescent="0.1">
      <c r="AN204" s="35">
        <v>5967</v>
      </c>
      <c r="AO204" s="4" t="s">
        <v>106</v>
      </c>
    </row>
    <row r="205" spans="40:41" x14ac:dyDescent="0.1">
      <c r="AN205" s="35">
        <v>5997</v>
      </c>
      <c r="AO205" s="4" t="s">
        <v>107</v>
      </c>
    </row>
    <row r="206" spans="40:41" x14ac:dyDescent="0.1">
      <c r="AN206" s="35">
        <v>6026</v>
      </c>
      <c r="AO206" s="4" t="s">
        <v>108</v>
      </c>
    </row>
    <row r="207" spans="40:41" x14ac:dyDescent="0.1">
      <c r="AN207" s="35">
        <v>6056</v>
      </c>
      <c r="AO207" s="4" t="s">
        <v>109</v>
      </c>
    </row>
    <row r="208" spans="40:41" x14ac:dyDescent="0.1">
      <c r="AN208" s="35">
        <v>6086</v>
      </c>
      <c r="AO208" s="4" t="s">
        <v>110</v>
      </c>
    </row>
    <row r="209" spans="40:41" x14ac:dyDescent="0.1">
      <c r="AN209" s="35">
        <v>6115</v>
      </c>
      <c r="AO209" s="4" t="s">
        <v>111</v>
      </c>
    </row>
    <row r="210" spans="40:41" x14ac:dyDescent="0.1">
      <c r="AN210" s="35">
        <v>6145</v>
      </c>
      <c r="AO210" s="4" t="s">
        <v>112</v>
      </c>
    </row>
    <row r="211" spans="40:41" x14ac:dyDescent="0.1">
      <c r="AN211" s="35">
        <v>6174</v>
      </c>
      <c r="AO211" s="4" t="s">
        <v>379</v>
      </c>
    </row>
    <row r="212" spans="40:41" x14ac:dyDescent="0.1">
      <c r="AN212" s="35">
        <v>6204</v>
      </c>
      <c r="AO212" s="4" t="s">
        <v>113</v>
      </c>
    </row>
    <row r="213" spans="40:41" x14ac:dyDescent="0.1">
      <c r="AN213" s="35">
        <v>6233</v>
      </c>
      <c r="AO213" s="4" t="s">
        <v>100</v>
      </c>
    </row>
    <row r="214" spans="40:41" x14ac:dyDescent="0.1">
      <c r="AN214" s="35">
        <v>6263</v>
      </c>
      <c r="AO214" s="4" t="s">
        <v>104</v>
      </c>
    </row>
    <row r="215" spans="40:41" x14ac:dyDescent="0.1">
      <c r="AN215" s="35">
        <v>6292</v>
      </c>
      <c r="AO215" s="4" t="s">
        <v>144</v>
      </c>
    </row>
    <row r="216" spans="40:41" x14ac:dyDescent="0.1">
      <c r="AN216" s="35">
        <v>6321</v>
      </c>
      <c r="AO216" s="4" t="s">
        <v>105</v>
      </c>
    </row>
    <row r="217" spans="40:41" x14ac:dyDescent="0.1">
      <c r="AN217" s="35">
        <v>6351</v>
      </c>
      <c r="AO217" s="4" t="s">
        <v>106</v>
      </c>
    </row>
    <row r="218" spans="40:41" x14ac:dyDescent="0.1">
      <c r="AN218" s="35">
        <v>6380</v>
      </c>
      <c r="AO218" s="4" t="s">
        <v>107</v>
      </c>
    </row>
    <row r="219" spans="40:41" x14ac:dyDescent="0.1">
      <c r="AN219" s="35">
        <v>6410</v>
      </c>
      <c r="AO219" s="4" t="s">
        <v>108</v>
      </c>
    </row>
    <row r="220" spans="40:41" x14ac:dyDescent="0.1">
      <c r="AN220" s="35">
        <v>6440</v>
      </c>
      <c r="AO220" s="4" t="s">
        <v>109</v>
      </c>
    </row>
    <row r="221" spans="40:41" x14ac:dyDescent="0.1">
      <c r="AN221" s="35">
        <v>6469</v>
      </c>
      <c r="AO221" s="4" t="s">
        <v>110</v>
      </c>
    </row>
    <row r="222" spans="40:41" x14ac:dyDescent="0.1">
      <c r="AN222" s="35">
        <v>6499</v>
      </c>
      <c r="AO222" s="4" t="s">
        <v>111</v>
      </c>
    </row>
    <row r="223" spans="40:41" x14ac:dyDescent="0.1">
      <c r="AN223" s="35">
        <v>6529</v>
      </c>
      <c r="AO223" s="4" t="s">
        <v>112</v>
      </c>
    </row>
    <row r="224" spans="40:41" x14ac:dyDescent="0.1">
      <c r="AN224" s="35">
        <v>6558</v>
      </c>
      <c r="AO224" s="4" t="s">
        <v>379</v>
      </c>
    </row>
    <row r="225" spans="40:41" x14ac:dyDescent="0.1">
      <c r="AN225" s="35">
        <v>6588</v>
      </c>
      <c r="AO225" s="4" t="s">
        <v>113</v>
      </c>
    </row>
    <row r="226" spans="40:41" x14ac:dyDescent="0.1">
      <c r="AN226" s="35">
        <v>6617</v>
      </c>
      <c r="AO226" s="4" t="s">
        <v>100</v>
      </c>
    </row>
    <row r="227" spans="40:41" x14ac:dyDescent="0.1">
      <c r="AN227" s="35">
        <v>6647</v>
      </c>
      <c r="AO227" s="4" t="s">
        <v>104</v>
      </c>
    </row>
    <row r="228" spans="40:41" x14ac:dyDescent="0.1">
      <c r="AN228" s="35">
        <v>6676</v>
      </c>
      <c r="AO228" s="4" t="s">
        <v>105</v>
      </c>
    </row>
    <row r="229" spans="40:41" x14ac:dyDescent="0.1">
      <c r="AN229" s="35">
        <v>6705</v>
      </c>
      <c r="AO229" s="4" t="s">
        <v>106</v>
      </c>
    </row>
    <row r="230" spans="40:41" x14ac:dyDescent="0.1">
      <c r="AN230" s="35">
        <v>6735</v>
      </c>
      <c r="AO230" s="4" t="s">
        <v>107</v>
      </c>
    </row>
    <row r="231" spans="40:41" x14ac:dyDescent="0.1">
      <c r="AN231" s="35">
        <v>6764</v>
      </c>
      <c r="AO231" s="4" t="s">
        <v>108</v>
      </c>
    </row>
    <row r="232" spans="40:41" x14ac:dyDescent="0.1">
      <c r="AN232" s="35">
        <v>6794</v>
      </c>
      <c r="AO232" s="4" t="s">
        <v>109</v>
      </c>
    </row>
    <row r="233" spans="40:41" x14ac:dyDescent="0.1">
      <c r="AN233" s="35">
        <v>6823</v>
      </c>
      <c r="AO233" s="4" t="s">
        <v>110</v>
      </c>
    </row>
    <row r="234" spans="40:41" x14ac:dyDescent="0.1">
      <c r="AN234" s="35">
        <v>6853</v>
      </c>
      <c r="AO234" s="4" t="s">
        <v>111</v>
      </c>
    </row>
    <row r="235" spans="40:41" x14ac:dyDescent="0.1">
      <c r="AN235" s="35">
        <v>6883</v>
      </c>
      <c r="AO235" s="4" t="s">
        <v>112</v>
      </c>
    </row>
    <row r="236" spans="40:41" x14ac:dyDescent="0.1">
      <c r="AN236" s="35">
        <v>6912</v>
      </c>
      <c r="AO236" s="4" t="s">
        <v>379</v>
      </c>
    </row>
    <row r="237" spans="40:41" x14ac:dyDescent="0.1">
      <c r="AN237" s="35">
        <v>6942</v>
      </c>
      <c r="AO237" s="4" t="s">
        <v>113</v>
      </c>
    </row>
    <row r="238" spans="40:41" x14ac:dyDescent="0.1">
      <c r="AN238" s="35">
        <v>6972</v>
      </c>
      <c r="AO238" s="4" t="s">
        <v>100</v>
      </c>
    </row>
    <row r="239" spans="40:41" x14ac:dyDescent="0.1">
      <c r="AN239" s="35">
        <v>7001</v>
      </c>
      <c r="AO239" s="4" t="s">
        <v>104</v>
      </c>
    </row>
    <row r="240" spans="40:41" x14ac:dyDescent="0.1">
      <c r="AN240" s="35">
        <v>7031</v>
      </c>
      <c r="AO240" s="4" t="s">
        <v>105</v>
      </c>
    </row>
    <row r="241" spans="40:41" x14ac:dyDescent="0.1">
      <c r="AN241" s="35">
        <v>7060</v>
      </c>
      <c r="AO241" s="4" t="s">
        <v>106</v>
      </c>
    </row>
    <row r="242" spans="40:41" x14ac:dyDescent="0.1">
      <c r="AN242" s="35">
        <v>7089</v>
      </c>
      <c r="AO242" s="4" t="s">
        <v>107</v>
      </c>
    </row>
    <row r="243" spans="40:41" x14ac:dyDescent="0.1">
      <c r="AN243" s="35">
        <v>7119</v>
      </c>
      <c r="AO243" s="4" t="s">
        <v>108</v>
      </c>
    </row>
    <row r="244" spans="40:41" x14ac:dyDescent="0.1">
      <c r="AN244" s="35">
        <v>7148</v>
      </c>
      <c r="AO244" s="4" t="s">
        <v>109</v>
      </c>
    </row>
    <row r="245" spans="40:41" x14ac:dyDescent="0.1">
      <c r="AN245" s="35">
        <v>7177</v>
      </c>
      <c r="AO245" s="4" t="s">
        <v>146</v>
      </c>
    </row>
    <row r="246" spans="40:41" x14ac:dyDescent="0.1">
      <c r="AN246" s="35">
        <v>7207</v>
      </c>
      <c r="AO246" s="4" t="s">
        <v>110</v>
      </c>
    </row>
    <row r="247" spans="40:41" x14ac:dyDescent="0.1">
      <c r="AN247" s="35">
        <v>7237</v>
      </c>
      <c r="AO247" s="4" t="s">
        <v>111</v>
      </c>
    </row>
    <row r="248" spans="40:41" x14ac:dyDescent="0.1">
      <c r="AN248" s="35">
        <v>7266</v>
      </c>
      <c r="AO248" s="4" t="s">
        <v>112</v>
      </c>
    </row>
    <row r="249" spans="40:41" x14ac:dyDescent="0.1">
      <c r="AN249" s="35">
        <v>7296</v>
      </c>
      <c r="AO249" s="4" t="s">
        <v>379</v>
      </c>
    </row>
    <row r="250" spans="40:41" x14ac:dyDescent="0.1">
      <c r="AN250" s="35">
        <v>7326</v>
      </c>
      <c r="AO250" s="4" t="s">
        <v>113</v>
      </c>
    </row>
    <row r="251" spans="40:41" x14ac:dyDescent="0.1">
      <c r="AN251" s="35">
        <v>7356</v>
      </c>
      <c r="AO251" s="4" t="s">
        <v>100</v>
      </c>
    </row>
    <row r="252" spans="40:41" x14ac:dyDescent="0.1">
      <c r="AN252" s="35">
        <v>7385</v>
      </c>
      <c r="AO252" s="4" t="s">
        <v>104</v>
      </c>
    </row>
    <row r="253" spans="40:41" x14ac:dyDescent="0.1">
      <c r="AN253" s="35">
        <v>7415</v>
      </c>
      <c r="AO253" s="4" t="s">
        <v>105</v>
      </c>
    </row>
    <row r="254" spans="40:41" x14ac:dyDescent="0.1">
      <c r="AN254" s="35">
        <v>7444</v>
      </c>
      <c r="AO254" s="4" t="s">
        <v>106</v>
      </c>
    </row>
    <row r="255" spans="40:41" x14ac:dyDescent="0.1">
      <c r="AN255" s="35">
        <v>7473</v>
      </c>
      <c r="AO255" s="4" t="s">
        <v>107</v>
      </c>
    </row>
    <row r="256" spans="40:41" x14ac:dyDescent="0.1">
      <c r="AN256" s="35">
        <v>7503</v>
      </c>
      <c r="AO256" s="4" t="s">
        <v>108</v>
      </c>
    </row>
    <row r="257" spans="40:41" x14ac:dyDescent="0.1">
      <c r="AN257" s="35">
        <v>7532</v>
      </c>
      <c r="AO257" s="4" t="s">
        <v>109</v>
      </c>
    </row>
    <row r="258" spans="40:41" x14ac:dyDescent="0.1">
      <c r="AN258" s="35">
        <v>7561</v>
      </c>
      <c r="AO258" s="4" t="s">
        <v>110</v>
      </c>
    </row>
    <row r="259" spans="40:41" x14ac:dyDescent="0.1">
      <c r="AN259" s="35">
        <v>7591</v>
      </c>
      <c r="AO259" s="4" t="s">
        <v>111</v>
      </c>
    </row>
    <row r="260" spans="40:41" x14ac:dyDescent="0.1">
      <c r="AN260" s="35">
        <v>7620</v>
      </c>
      <c r="AO260" s="4" t="s">
        <v>112</v>
      </c>
    </row>
    <row r="261" spans="40:41" x14ac:dyDescent="0.1">
      <c r="AN261" s="35">
        <v>7650</v>
      </c>
      <c r="AO261" s="4" t="s">
        <v>379</v>
      </c>
    </row>
    <row r="262" spans="40:41" x14ac:dyDescent="0.1">
      <c r="AN262" s="35">
        <v>7680</v>
      </c>
      <c r="AO262" s="4" t="s">
        <v>113</v>
      </c>
    </row>
    <row r="263" spans="40:41" x14ac:dyDescent="0.1">
      <c r="AN263" s="35">
        <v>7710</v>
      </c>
      <c r="AO263" s="4" t="s">
        <v>100</v>
      </c>
    </row>
    <row r="264" spans="40:41" x14ac:dyDescent="0.1">
      <c r="AN264" s="35">
        <v>7740</v>
      </c>
      <c r="AO264" s="4" t="s">
        <v>104</v>
      </c>
    </row>
    <row r="265" spans="40:41" x14ac:dyDescent="0.1">
      <c r="AN265" s="35">
        <v>7769</v>
      </c>
      <c r="AO265" s="4" t="s">
        <v>105</v>
      </c>
    </row>
    <row r="266" spans="40:41" x14ac:dyDescent="0.1">
      <c r="AN266" s="35">
        <v>7799</v>
      </c>
      <c r="AO266" s="4" t="s">
        <v>106</v>
      </c>
    </row>
    <row r="267" spans="40:41" x14ac:dyDescent="0.1">
      <c r="AN267" s="35">
        <v>7828</v>
      </c>
      <c r="AO267" s="4" t="s">
        <v>107</v>
      </c>
    </row>
    <row r="268" spans="40:41" x14ac:dyDescent="0.1">
      <c r="AN268" s="35">
        <v>7857</v>
      </c>
      <c r="AO268" s="4" t="s">
        <v>108</v>
      </c>
    </row>
    <row r="269" spans="40:41" x14ac:dyDescent="0.1">
      <c r="AN269" s="35">
        <v>7887</v>
      </c>
      <c r="AO269" s="4" t="s">
        <v>109</v>
      </c>
    </row>
    <row r="270" spans="40:41" x14ac:dyDescent="0.1">
      <c r="AN270" s="35">
        <v>7916</v>
      </c>
      <c r="AO270" s="4" t="s">
        <v>110</v>
      </c>
    </row>
    <row r="271" spans="40:41" x14ac:dyDescent="0.1">
      <c r="AN271" s="35">
        <v>7945</v>
      </c>
      <c r="AO271" s="4" t="s">
        <v>111</v>
      </c>
    </row>
    <row r="272" spans="40:41" x14ac:dyDescent="0.1">
      <c r="AN272" s="35">
        <v>7975</v>
      </c>
      <c r="AO272" s="4" t="s">
        <v>112</v>
      </c>
    </row>
    <row r="273" spans="40:41" x14ac:dyDescent="0.1">
      <c r="AN273" s="35">
        <v>8004</v>
      </c>
      <c r="AO273" s="4" t="s">
        <v>379</v>
      </c>
    </row>
    <row r="274" spans="40:41" x14ac:dyDescent="0.1">
      <c r="AN274" s="35">
        <v>8034</v>
      </c>
      <c r="AO274" s="4" t="s">
        <v>113</v>
      </c>
    </row>
    <row r="275" spans="40:41" x14ac:dyDescent="0.1">
      <c r="AN275" s="35">
        <v>8064</v>
      </c>
      <c r="AO275" s="4" t="s">
        <v>100</v>
      </c>
    </row>
    <row r="276" spans="40:41" x14ac:dyDescent="0.1">
      <c r="AN276" s="35">
        <v>8094</v>
      </c>
      <c r="AO276" s="4" t="s">
        <v>104</v>
      </c>
    </row>
    <row r="277" spans="40:41" x14ac:dyDescent="0.1">
      <c r="AN277" s="35">
        <v>8123</v>
      </c>
      <c r="AO277" s="4" t="s">
        <v>105</v>
      </c>
    </row>
    <row r="278" spans="40:41" x14ac:dyDescent="0.1">
      <c r="AN278" s="35">
        <v>8153</v>
      </c>
      <c r="AO278" s="4" t="s">
        <v>106</v>
      </c>
    </row>
    <row r="279" spans="40:41" x14ac:dyDescent="0.1">
      <c r="AN279" s="35">
        <v>8183</v>
      </c>
      <c r="AO279" s="4" t="s">
        <v>107</v>
      </c>
    </row>
    <row r="280" spans="40:41" x14ac:dyDescent="0.1">
      <c r="AN280" s="35">
        <v>8212</v>
      </c>
      <c r="AO280" s="4" t="s">
        <v>142</v>
      </c>
    </row>
    <row r="281" spans="40:41" x14ac:dyDescent="0.1">
      <c r="AN281" s="35">
        <v>8241</v>
      </c>
      <c r="AO281" s="4" t="s">
        <v>108</v>
      </c>
    </row>
    <row r="282" spans="40:41" x14ac:dyDescent="0.1">
      <c r="AN282" s="35">
        <v>8271</v>
      </c>
      <c r="AO282" s="4" t="s">
        <v>109</v>
      </c>
    </row>
    <row r="283" spans="40:41" x14ac:dyDescent="0.1">
      <c r="AN283" s="35">
        <v>8300</v>
      </c>
      <c r="AO283" s="4" t="s">
        <v>110</v>
      </c>
    </row>
    <row r="284" spans="40:41" x14ac:dyDescent="0.1">
      <c r="AN284" s="35">
        <v>8329</v>
      </c>
      <c r="AO284" s="4" t="s">
        <v>111</v>
      </c>
    </row>
    <row r="285" spans="40:41" x14ac:dyDescent="0.1">
      <c r="AN285" s="35">
        <v>8359</v>
      </c>
      <c r="AO285" s="4" t="s">
        <v>112</v>
      </c>
    </row>
    <row r="286" spans="40:41" x14ac:dyDescent="0.1">
      <c r="AN286" s="35">
        <v>8388</v>
      </c>
      <c r="AO286" s="4" t="s">
        <v>379</v>
      </c>
    </row>
    <row r="287" spans="40:41" x14ac:dyDescent="0.1">
      <c r="AN287" s="35">
        <v>8418</v>
      </c>
      <c r="AO287" s="4" t="s">
        <v>113</v>
      </c>
    </row>
    <row r="288" spans="40:41" x14ac:dyDescent="0.1">
      <c r="AN288" s="35">
        <v>8448</v>
      </c>
      <c r="AO288" s="4" t="s">
        <v>100</v>
      </c>
    </row>
    <row r="289" spans="40:41" x14ac:dyDescent="0.1">
      <c r="AN289" s="35">
        <v>8477</v>
      </c>
      <c r="AO289" s="4" t="s">
        <v>104</v>
      </c>
    </row>
    <row r="290" spans="40:41" x14ac:dyDescent="0.1">
      <c r="AN290" s="35">
        <v>8507</v>
      </c>
      <c r="AO290" s="4" t="s">
        <v>105</v>
      </c>
    </row>
    <row r="291" spans="40:41" x14ac:dyDescent="0.1">
      <c r="AN291" s="35">
        <v>8537</v>
      </c>
      <c r="AO291" s="4" t="s">
        <v>106</v>
      </c>
    </row>
    <row r="292" spans="40:41" x14ac:dyDescent="0.1">
      <c r="AN292" s="35">
        <v>8566</v>
      </c>
      <c r="AO292" s="4" t="s">
        <v>107</v>
      </c>
    </row>
    <row r="293" spans="40:41" x14ac:dyDescent="0.1">
      <c r="AN293" s="35">
        <v>8596</v>
      </c>
      <c r="AO293" s="4" t="s">
        <v>108</v>
      </c>
    </row>
    <row r="294" spans="40:41" x14ac:dyDescent="0.1">
      <c r="AN294" s="35">
        <v>8625</v>
      </c>
      <c r="AO294" s="4" t="s">
        <v>109</v>
      </c>
    </row>
    <row r="295" spans="40:41" x14ac:dyDescent="0.1">
      <c r="AN295" s="35">
        <v>8655</v>
      </c>
      <c r="AO295" s="4" t="s">
        <v>110</v>
      </c>
    </row>
    <row r="296" spans="40:41" x14ac:dyDescent="0.1">
      <c r="AN296" s="35">
        <v>8684</v>
      </c>
      <c r="AO296" s="4" t="s">
        <v>111</v>
      </c>
    </row>
    <row r="297" spans="40:41" x14ac:dyDescent="0.1">
      <c r="AN297" s="35">
        <v>8713</v>
      </c>
      <c r="AO297" s="4" t="s">
        <v>112</v>
      </c>
    </row>
    <row r="298" spans="40:41" x14ac:dyDescent="0.1">
      <c r="AN298" s="35">
        <v>8742</v>
      </c>
      <c r="AO298" s="4" t="s">
        <v>379</v>
      </c>
    </row>
    <row r="299" spans="40:41" x14ac:dyDescent="0.1">
      <c r="AN299" s="35">
        <v>8772</v>
      </c>
      <c r="AO299" s="4" t="s">
        <v>113</v>
      </c>
    </row>
    <row r="300" spans="40:41" x14ac:dyDescent="0.1">
      <c r="AN300" s="35">
        <v>8802</v>
      </c>
      <c r="AO300" s="4" t="s">
        <v>100</v>
      </c>
    </row>
    <row r="301" spans="40:41" x14ac:dyDescent="0.1">
      <c r="AN301" s="35">
        <v>8831</v>
      </c>
      <c r="AO301" s="4" t="s">
        <v>104</v>
      </c>
    </row>
    <row r="302" spans="40:41" x14ac:dyDescent="0.1">
      <c r="AN302" s="35">
        <v>8861</v>
      </c>
      <c r="AO302" s="4" t="s">
        <v>105</v>
      </c>
    </row>
    <row r="303" spans="40:41" x14ac:dyDescent="0.1">
      <c r="AN303" s="35">
        <v>8891</v>
      </c>
      <c r="AO303" s="4" t="s">
        <v>106</v>
      </c>
    </row>
    <row r="304" spans="40:41" x14ac:dyDescent="0.1">
      <c r="AN304" s="35">
        <v>8920</v>
      </c>
      <c r="AO304" s="4" t="s">
        <v>107</v>
      </c>
    </row>
    <row r="305" spans="40:41" x14ac:dyDescent="0.1">
      <c r="AN305" s="35">
        <v>8950</v>
      </c>
      <c r="AO305" s="4" t="s">
        <v>108</v>
      </c>
    </row>
    <row r="306" spans="40:41" x14ac:dyDescent="0.1">
      <c r="AN306" s="35">
        <v>8980</v>
      </c>
      <c r="AO306" s="4" t="s">
        <v>109</v>
      </c>
    </row>
    <row r="307" spans="40:41" x14ac:dyDescent="0.1">
      <c r="AN307" s="35">
        <v>9009</v>
      </c>
      <c r="AO307" s="4" t="s">
        <v>110</v>
      </c>
    </row>
    <row r="308" spans="40:41" x14ac:dyDescent="0.1">
      <c r="AN308" s="35">
        <v>9039</v>
      </c>
      <c r="AO308" s="4" t="s">
        <v>111</v>
      </c>
    </row>
    <row r="309" spans="40:41" x14ac:dyDescent="0.1">
      <c r="AN309" s="35">
        <v>9068</v>
      </c>
      <c r="AO309" s="4" t="s">
        <v>112</v>
      </c>
    </row>
    <row r="310" spans="40:41" x14ac:dyDescent="0.1">
      <c r="AN310" s="35">
        <v>9098</v>
      </c>
      <c r="AO310" s="4" t="s">
        <v>379</v>
      </c>
    </row>
    <row r="311" spans="40:41" x14ac:dyDescent="0.1">
      <c r="AN311" s="35">
        <v>9127</v>
      </c>
      <c r="AO311" s="4" t="s">
        <v>113</v>
      </c>
    </row>
    <row r="312" spans="40:41" x14ac:dyDescent="0.1">
      <c r="AN312" s="35">
        <v>9156</v>
      </c>
      <c r="AO312" s="4" t="s">
        <v>100</v>
      </c>
    </row>
    <row r="313" spans="40:41" x14ac:dyDescent="0.1">
      <c r="AN313" s="35">
        <v>9186</v>
      </c>
      <c r="AO313" s="4" t="s">
        <v>104</v>
      </c>
    </row>
    <row r="314" spans="40:41" x14ac:dyDescent="0.1">
      <c r="AN314" s="35">
        <v>9215</v>
      </c>
      <c r="AO314" s="4" t="s">
        <v>105</v>
      </c>
    </row>
    <row r="315" spans="40:41" x14ac:dyDescent="0.1">
      <c r="AN315" s="35">
        <v>9245</v>
      </c>
      <c r="AO315" s="4" t="s">
        <v>106</v>
      </c>
    </row>
    <row r="316" spans="40:41" x14ac:dyDescent="0.1">
      <c r="AN316" s="35">
        <v>9274</v>
      </c>
      <c r="AO316" s="4" t="s">
        <v>143</v>
      </c>
    </row>
    <row r="317" spans="40:41" x14ac:dyDescent="0.1">
      <c r="AN317" s="35">
        <v>9304</v>
      </c>
      <c r="AO317" s="4" t="s">
        <v>107</v>
      </c>
    </row>
    <row r="318" spans="40:41" x14ac:dyDescent="0.1">
      <c r="AN318" s="35">
        <v>9334</v>
      </c>
      <c r="AO318" s="4" t="s">
        <v>108</v>
      </c>
    </row>
    <row r="319" spans="40:41" x14ac:dyDescent="0.1">
      <c r="AN319" s="35">
        <v>9363</v>
      </c>
      <c r="AO319" s="4" t="s">
        <v>109</v>
      </c>
    </row>
    <row r="320" spans="40:41" x14ac:dyDescent="0.1">
      <c r="AN320" s="35">
        <v>9393</v>
      </c>
      <c r="AO320" s="4" t="s">
        <v>110</v>
      </c>
    </row>
    <row r="321" spans="40:41" x14ac:dyDescent="0.1">
      <c r="AN321" s="35">
        <v>9423</v>
      </c>
      <c r="AO321" s="4" t="s">
        <v>111</v>
      </c>
    </row>
    <row r="322" spans="40:41" x14ac:dyDescent="0.1">
      <c r="AN322" s="35">
        <v>9452</v>
      </c>
      <c r="AO322" s="4" t="s">
        <v>112</v>
      </c>
    </row>
    <row r="323" spans="40:41" x14ac:dyDescent="0.1">
      <c r="AN323" s="35">
        <v>9482</v>
      </c>
      <c r="AO323" s="4" t="s">
        <v>379</v>
      </c>
    </row>
    <row r="324" spans="40:41" x14ac:dyDescent="0.1">
      <c r="AN324" s="35">
        <v>9511</v>
      </c>
      <c r="AO324" s="4" t="s">
        <v>113</v>
      </c>
    </row>
    <row r="325" spans="40:41" x14ac:dyDescent="0.1">
      <c r="AN325" s="35">
        <v>9541</v>
      </c>
      <c r="AO325" s="4" t="s">
        <v>100</v>
      </c>
    </row>
    <row r="326" spans="40:41" x14ac:dyDescent="0.1">
      <c r="AN326" s="35">
        <v>9570</v>
      </c>
      <c r="AO326" s="4" t="s">
        <v>104</v>
      </c>
    </row>
    <row r="327" spans="40:41" x14ac:dyDescent="0.1">
      <c r="AN327" s="35">
        <v>9599</v>
      </c>
      <c r="AO327" s="4" t="s">
        <v>105</v>
      </c>
    </row>
    <row r="328" spans="40:41" x14ac:dyDescent="0.1">
      <c r="AN328" s="35">
        <v>9629</v>
      </c>
      <c r="AO328" s="4" t="s">
        <v>106</v>
      </c>
    </row>
    <row r="329" spans="40:41" x14ac:dyDescent="0.1">
      <c r="AN329" s="35">
        <v>9658</v>
      </c>
      <c r="AO329" s="4" t="s">
        <v>107</v>
      </c>
    </row>
    <row r="330" spans="40:41" x14ac:dyDescent="0.1">
      <c r="AN330" s="35">
        <v>9688</v>
      </c>
      <c r="AO330" s="4" t="s">
        <v>108</v>
      </c>
    </row>
    <row r="331" spans="40:41" x14ac:dyDescent="0.1">
      <c r="AN331" s="35">
        <v>9717</v>
      </c>
      <c r="AO331" s="4" t="s">
        <v>109</v>
      </c>
    </row>
    <row r="332" spans="40:41" x14ac:dyDescent="0.1">
      <c r="AN332" s="35">
        <v>9747</v>
      </c>
      <c r="AO332" s="4" t="s">
        <v>110</v>
      </c>
    </row>
    <row r="333" spans="40:41" x14ac:dyDescent="0.1">
      <c r="AN333" s="35">
        <v>9777</v>
      </c>
      <c r="AO333" s="4" t="s">
        <v>111</v>
      </c>
    </row>
    <row r="334" spans="40:41" x14ac:dyDescent="0.1">
      <c r="AN334" s="35">
        <v>9806</v>
      </c>
      <c r="AO334" s="4" t="s">
        <v>112</v>
      </c>
    </row>
    <row r="335" spans="40:41" x14ac:dyDescent="0.1">
      <c r="AN335" s="35">
        <v>9836</v>
      </c>
      <c r="AO335" s="4" t="s">
        <v>379</v>
      </c>
    </row>
    <row r="336" spans="40:41" x14ac:dyDescent="0.1">
      <c r="AN336" s="35">
        <v>9866</v>
      </c>
      <c r="AO336" s="4" t="s">
        <v>113</v>
      </c>
    </row>
    <row r="337" spans="40:41" x14ac:dyDescent="0.1">
      <c r="AN337" s="35">
        <v>9895</v>
      </c>
      <c r="AO337" s="4" t="s">
        <v>100</v>
      </c>
    </row>
    <row r="338" spans="40:41" x14ac:dyDescent="0.1">
      <c r="AN338" s="35">
        <v>9925</v>
      </c>
      <c r="AO338" s="4" t="s">
        <v>104</v>
      </c>
    </row>
    <row r="339" spans="40:41" x14ac:dyDescent="0.1">
      <c r="AN339" s="35">
        <v>9954</v>
      </c>
      <c r="AO339" s="4" t="s">
        <v>105</v>
      </c>
    </row>
    <row r="340" spans="40:41" x14ac:dyDescent="0.1">
      <c r="AN340" s="35">
        <v>9983</v>
      </c>
      <c r="AO340" s="4" t="s">
        <v>106</v>
      </c>
    </row>
    <row r="341" spans="40:41" x14ac:dyDescent="0.1">
      <c r="AN341" s="35">
        <v>10013</v>
      </c>
      <c r="AO341" s="4" t="s">
        <v>107</v>
      </c>
    </row>
    <row r="342" spans="40:41" x14ac:dyDescent="0.1">
      <c r="AN342" s="35">
        <v>10042</v>
      </c>
      <c r="AO342" s="4" t="s">
        <v>108</v>
      </c>
    </row>
    <row r="343" spans="40:41" x14ac:dyDescent="0.1">
      <c r="AN343" s="35">
        <v>10072</v>
      </c>
      <c r="AO343" s="4" t="s">
        <v>109</v>
      </c>
    </row>
    <row r="344" spans="40:41" x14ac:dyDescent="0.1">
      <c r="AN344" s="35">
        <v>10101</v>
      </c>
      <c r="AO344" s="4" t="s">
        <v>110</v>
      </c>
    </row>
    <row r="345" spans="40:41" x14ac:dyDescent="0.1">
      <c r="AN345" s="35">
        <v>10131</v>
      </c>
      <c r="AO345" s="4" t="s">
        <v>111</v>
      </c>
    </row>
    <row r="346" spans="40:41" x14ac:dyDescent="0.1">
      <c r="AN346" s="35">
        <v>10160</v>
      </c>
      <c r="AO346" s="4" t="s">
        <v>112</v>
      </c>
    </row>
    <row r="347" spans="40:41" x14ac:dyDescent="0.1">
      <c r="AN347" s="35">
        <v>10190</v>
      </c>
      <c r="AO347" s="4" t="s">
        <v>379</v>
      </c>
    </row>
    <row r="348" spans="40:41" x14ac:dyDescent="0.1">
      <c r="AN348" s="35">
        <v>10220</v>
      </c>
      <c r="AO348" s="4" t="s">
        <v>113</v>
      </c>
    </row>
    <row r="349" spans="40:41" x14ac:dyDescent="0.1">
      <c r="AN349" s="35">
        <v>10250</v>
      </c>
      <c r="AO349" s="4" t="s">
        <v>100</v>
      </c>
    </row>
    <row r="350" spans="40:41" x14ac:dyDescent="0.1">
      <c r="AN350" s="35">
        <v>10279</v>
      </c>
      <c r="AO350" s="4" t="s">
        <v>104</v>
      </c>
    </row>
    <row r="351" spans="40:41" x14ac:dyDescent="0.1">
      <c r="AN351" s="35">
        <v>10309</v>
      </c>
      <c r="AO351" s="4" t="s">
        <v>144</v>
      </c>
    </row>
    <row r="352" spans="40:41" x14ac:dyDescent="0.1">
      <c r="AN352" s="35">
        <v>10338</v>
      </c>
      <c r="AO352" s="4" t="s">
        <v>105</v>
      </c>
    </row>
    <row r="353" spans="40:41" x14ac:dyDescent="0.1">
      <c r="AN353" s="35">
        <v>10367</v>
      </c>
      <c r="AO353" s="4" t="s">
        <v>106</v>
      </c>
    </row>
    <row r="354" spans="40:41" x14ac:dyDescent="0.1">
      <c r="AN354" s="35">
        <v>10397</v>
      </c>
      <c r="AO354" s="4" t="s">
        <v>107</v>
      </c>
    </row>
    <row r="355" spans="40:41" x14ac:dyDescent="0.1">
      <c r="AN355" s="35">
        <v>10426</v>
      </c>
      <c r="AO355" s="4" t="s">
        <v>108</v>
      </c>
    </row>
    <row r="356" spans="40:41" x14ac:dyDescent="0.1">
      <c r="AN356" s="35">
        <v>10455</v>
      </c>
      <c r="AO356" s="4" t="s">
        <v>109</v>
      </c>
    </row>
    <row r="357" spans="40:41" x14ac:dyDescent="0.1">
      <c r="AN357" s="35">
        <v>10485</v>
      </c>
      <c r="AO357" s="4" t="s">
        <v>110</v>
      </c>
    </row>
    <row r="358" spans="40:41" x14ac:dyDescent="0.1">
      <c r="AN358" s="35">
        <v>10514</v>
      </c>
      <c r="AO358" s="4" t="s">
        <v>111</v>
      </c>
    </row>
    <row r="359" spans="40:41" x14ac:dyDescent="0.1">
      <c r="AN359" s="35">
        <v>10544</v>
      </c>
      <c r="AO359" s="4" t="s">
        <v>112</v>
      </c>
    </row>
    <row r="360" spans="40:41" x14ac:dyDescent="0.1">
      <c r="AN360" s="35">
        <v>10574</v>
      </c>
      <c r="AO360" s="4" t="s">
        <v>379</v>
      </c>
    </row>
    <row r="361" spans="40:41" x14ac:dyDescent="0.1">
      <c r="AN361" s="35">
        <v>10604</v>
      </c>
      <c r="AO361" s="4" t="s">
        <v>113</v>
      </c>
    </row>
    <row r="362" spans="40:41" x14ac:dyDescent="0.1">
      <c r="AN362" s="35">
        <v>10634</v>
      </c>
      <c r="AO362" s="4" t="s">
        <v>100</v>
      </c>
    </row>
    <row r="363" spans="40:41" x14ac:dyDescent="0.1">
      <c r="AN363" s="35">
        <v>10663</v>
      </c>
      <c r="AO363" s="4" t="s">
        <v>104</v>
      </c>
    </row>
    <row r="364" spans="40:41" x14ac:dyDescent="0.1">
      <c r="AN364" s="35">
        <v>10693</v>
      </c>
      <c r="AO364" s="4" t="s">
        <v>105</v>
      </c>
    </row>
    <row r="365" spans="40:41" x14ac:dyDescent="0.1">
      <c r="AN365" s="35">
        <v>10722</v>
      </c>
      <c r="AO365" s="4" t="s">
        <v>106</v>
      </c>
    </row>
    <row r="366" spans="40:41" x14ac:dyDescent="0.1">
      <c r="AN366" s="35">
        <v>10751</v>
      </c>
      <c r="AO366" s="4" t="s">
        <v>107</v>
      </c>
    </row>
    <row r="367" spans="40:41" x14ac:dyDescent="0.1">
      <c r="AN367" s="35">
        <v>10781</v>
      </c>
      <c r="AO367" s="4" t="s">
        <v>108</v>
      </c>
    </row>
    <row r="368" spans="40:41" x14ac:dyDescent="0.1">
      <c r="AN368" s="35">
        <v>10810</v>
      </c>
      <c r="AO368" s="4" t="s">
        <v>109</v>
      </c>
    </row>
    <row r="369" spans="40:41" x14ac:dyDescent="0.1">
      <c r="AN369" s="35">
        <v>10839</v>
      </c>
      <c r="AO369" s="4" t="s">
        <v>110</v>
      </c>
    </row>
    <row r="370" spans="40:41" x14ac:dyDescent="0.1">
      <c r="AN370" s="35">
        <v>10869</v>
      </c>
      <c r="AO370" s="4" t="s">
        <v>111</v>
      </c>
    </row>
    <row r="371" spans="40:41" x14ac:dyDescent="0.1">
      <c r="AN371" s="35">
        <v>10898</v>
      </c>
      <c r="AO371" s="4" t="s">
        <v>112</v>
      </c>
    </row>
    <row r="372" spans="40:41" x14ac:dyDescent="0.1">
      <c r="AN372" s="35">
        <v>10928</v>
      </c>
      <c r="AO372" s="4" t="s">
        <v>379</v>
      </c>
    </row>
    <row r="373" spans="40:41" x14ac:dyDescent="0.1">
      <c r="AN373" s="35">
        <v>10958</v>
      </c>
      <c r="AO373" s="4" t="s">
        <v>113</v>
      </c>
    </row>
    <row r="374" spans="40:41" x14ac:dyDescent="0.1">
      <c r="AN374" s="35">
        <v>10988</v>
      </c>
      <c r="AO374" s="4" t="s">
        <v>100</v>
      </c>
    </row>
    <row r="375" spans="40:41" x14ac:dyDescent="0.1">
      <c r="AN375" s="35">
        <v>11017</v>
      </c>
      <c r="AO375" s="4" t="s">
        <v>104</v>
      </c>
    </row>
    <row r="376" spans="40:41" x14ac:dyDescent="0.1">
      <c r="AN376" s="35">
        <v>11047</v>
      </c>
      <c r="AO376" s="4" t="s">
        <v>105</v>
      </c>
    </row>
    <row r="377" spans="40:41" x14ac:dyDescent="0.1">
      <c r="AN377" s="35">
        <v>11077</v>
      </c>
      <c r="AO377" s="4" t="s">
        <v>106</v>
      </c>
    </row>
    <row r="378" spans="40:41" x14ac:dyDescent="0.1">
      <c r="AN378" s="35">
        <v>11106</v>
      </c>
      <c r="AO378" s="4" t="s">
        <v>107</v>
      </c>
    </row>
    <row r="379" spans="40:41" x14ac:dyDescent="0.1">
      <c r="AN379" s="35">
        <v>11135</v>
      </c>
      <c r="AO379" s="4" t="s">
        <v>108</v>
      </c>
    </row>
    <row r="380" spans="40:41" x14ac:dyDescent="0.1">
      <c r="AN380" s="35">
        <v>11165</v>
      </c>
      <c r="AO380" s="4" t="s">
        <v>145</v>
      </c>
    </row>
    <row r="381" spans="40:41" x14ac:dyDescent="0.1">
      <c r="AN381" s="35">
        <v>11194</v>
      </c>
      <c r="AO381" s="4" t="s">
        <v>109</v>
      </c>
    </row>
    <row r="382" spans="40:41" x14ac:dyDescent="0.1">
      <c r="AN382" s="35">
        <v>11223</v>
      </c>
      <c r="AO382" s="4" t="s">
        <v>110</v>
      </c>
    </row>
    <row r="383" spans="40:41" x14ac:dyDescent="0.1">
      <c r="AN383" s="35">
        <v>11253</v>
      </c>
      <c r="AO383" s="4" t="s">
        <v>111</v>
      </c>
    </row>
    <row r="384" spans="40:41" x14ac:dyDescent="0.1">
      <c r="AN384" s="35">
        <v>11282</v>
      </c>
      <c r="AO384" s="4" t="s">
        <v>112</v>
      </c>
    </row>
    <row r="385" spans="40:41" x14ac:dyDescent="0.1">
      <c r="AN385" s="35">
        <v>11312</v>
      </c>
      <c r="AO385" s="4" t="s">
        <v>379</v>
      </c>
    </row>
    <row r="386" spans="40:41" x14ac:dyDescent="0.1">
      <c r="AN386" s="35">
        <v>11342</v>
      </c>
      <c r="AO386" s="4" t="s">
        <v>113</v>
      </c>
    </row>
    <row r="387" spans="40:41" x14ac:dyDescent="0.1">
      <c r="AN387" s="35">
        <v>11371</v>
      </c>
      <c r="AO387" s="4" t="s">
        <v>100</v>
      </c>
    </row>
    <row r="388" spans="40:41" x14ac:dyDescent="0.1">
      <c r="AN388" s="35">
        <v>11401</v>
      </c>
      <c r="AO388" s="4" t="s">
        <v>104</v>
      </c>
    </row>
    <row r="389" spans="40:41" x14ac:dyDescent="0.1">
      <c r="AN389" s="35">
        <v>11431</v>
      </c>
      <c r="AO389" s="4" t="s">
        <v>105</v>
      </c>
    </row>
    <row r="390" spans="40:41" x14ac:dyDescent="0.1">
      <c r="AN390" s="35">
        <v>11460</v>
      </c>
      <c r="AO390" s="4" t="s">
        <v>106</v>
      </c>
    </row>
    <row r="391" spans="40:41" x14ac:dyDescent="0.1">
      <c r="AN391" s="35">
        <v>11490</v>
      </c>
      <c r="AO391" s="4" t="s">
        <v>107</v>
      </c>
    </row>
    <row r="392" spans="40:41" x14ac:dyDescent="0.1">
      <c r="AN392" s="35">
        <v>11519</v>
      </c>
      <c r="AO392" s="4" t="s">
        <v>108</v>
      </c>
    </row>
    <row r="393" spans="40:41" x14ac:dyDescent="0.1">
      <c r="AN393" s="35">
        <v>11549</v>
      </c>
      <c r="AO393" s="4" t="s">
        <v>109</v>
      </c>
    </row>
    <row r="394" spans="40:41" x14ac:dyDescent="0.1">
      <c r="AN394" s="35">
        <v>11578</v>
      </c>
      <c r="AO394" s="4" t="s">
        <v>110</v>
      </c>
    </row>
    <row r="395" spans="40:41" x14ac:dyDescent="0.1">
      <c r="AN395" s="35">
        <v>11607</v>
      </c>
      <c r="AO395" s="4" t="s">
        <v>111</v>
      </c>
    </row>
    <row r="396" spans="40:41" x14ac:dyDescent="0.1">
      <c r="AN396" s="35">
        <v>11637</v>
      </c>
      <c r="AO396" s="4" t="s">
        <v>112</v>
      </c>
    </row>
    <row r="397" spans="40:41" x14ac:dyDescent="0.1">
      <c r="AN397" s="35">
        <v>11666</v>
      </c>
      <c r="AO397" s="4" t="s">
        <v>379</v>
      </c>
    </row>
    <row r="398" spans="40:41" x14ac:dyDescent="0.1">
      <c r="AN398" s="35">
        <v>11696</v>
      </c>
      <c r="AO398" s="4" t="s">
        <v>113</v>
      </c>
    </row>
    <row r="399" spans="40:41" x14ac:dyDescent="0.1">
      <c r="AN399" s="35">
        <v>11725</v>
      </c>
      <c r="AO399" s="4" t="s">
        <v>100</v>
      </c>
    </row>
    <row r="400" spans="40:41" x14ac:dyDescent="0.1">
      <c r="AN400" s="35">
        <v>11755</v>
      </c>
      <c r="AO400" s="4" t="s">
        <v>104</v>
      </c>
    </row>
    <row r="401" spans="40:41" x14ac:dyDescent="0.1">
      <c r="AN401" s="35">
        <v>11785</v>
      </c>
      <c r="AO401" s="4" t="s">
        <v>105</v>
      </c>
    </row>
    <row r="402" spans="40:41" x14ac:dyDescent="0.1">
      <c r="AN402" s="35">
        <v>11815</v>
      </c>
      <c r="AO402" s="4" t="s">
        <v>106</v>
      </c>
    </row>
    <row r="403" spans="40:41" x14ac:dyDescent="0.1">
      <c r="AN403" s="35">
        <v>11844</v>
      </c>
      <c r="AO403" s="4" t="s">
        <v>107</v>
      </c>
    </row>
    <row r="404" spans="40:41" x14ac:dyDescent="0.1">
      <c r="AN404" s="35">
        <v>11874</v>
      </c>
      <c r="AO404" s="4" t="s">
        <v>108</v>
      </c>
    </row>
    <row r="405" spans="40:41" x14ac:dyDescent="0.1">
      <c r="AN405" s="35">
        <v>11903</v>
      </c>
      <c r="AO405" s="4" t="s">
        <v>109</v>
      </c>
    </row>
    <row r="406" spans="40:41" x14ac:dyDescent="0.1">
      <c r="AN406" s="35">
        <v>11933</v>
      </c>
      <c r="AO406" s="4" t="s">
        <v>110</v>
      </c>
    </row>
    <row r="407" spans="40:41" x14ac:dyDescent="0.1">
      <c r="AN407" s="35">
        <v>11962</v>
      </c>
      <c r="AO407" s="4" t="s">
        <v>111</v>
      </c>
    </row>
    <row r="408" spans="40:41" x14ac:dyDescent="0.1">
      <c r="AN408" s="35">
        <v>11991</v>
      </c>
      <c r="AO408" s="4" t="s">
        <v>112</v>
      </c>
    </row>
    <row r="409" spans="40:41" x14ac:dyDescent="0.1">
      <c r="AN409" s="35">
        <v>12021</v>
      </c>
      <c r="AO409" s="4" t="s">
        <v>379</v>
      </c>
    </row>
    <row r="410" spans="40:41" x14ac:dyDescent="0.1">
      <c r="AN410" s="35">
        <v>12050</v>
      </c>
      <c r="AO410" s="4" t="s">
        <v>113</v>
      </c>
    </row>
    <row r="411" spans="40:41" x14ac:dyDescent="0.1">
      <c r="AN411" s="35">
        <v>12080</v>
      </c>
      <c r="AO411" s="4" t="s">
        <v>100</v>
      </c>
    </row>
    <row r="412" spans="40:41" x14ac:dyDescent="0.1">
      <c r="AN412" s="35">
        <v>12109</v>
      </c>
      <c r="AO412" s="4" t="s">
        <v>104</v>
      </c>
    </row>
    <row r="413" spans="40:41" x14ac:dyDescent="0.1">
      <c r="AN413" s="35">
        <v>12139</v>
      </c>
      <c r="AO413" s="4" t="s">
        <v>105</v>
      </c>
    </row>
    <row r="414" spans="40:41" x14ac:dyDescent="0.1">
      <c r="AN414" s="35">
        <v>12169</v>
      </c>
      <c r="AO414" s="4" t="s">
        <v>106</v>
      </c>
    </row>
    <row r="415" spans="40:41" x14ac:dyDescent="0.1">
      <c r="AN415" s="35">
        <v>12198</v>
      </c>
      <c r="AO415" s="4" t="s">
        <v>107</v>
      </c>
    </row>
    <row r="416" spans="40:41" x14ac:dyDescent="0.1">
      <c r="AN416" s="35">
        <v>12228</v>
      </c>
      <c r="AO416" s="4" t="s">
        <v>142</v>
      </c>
    </row>
    <row r="417" spans="40:41" x14ac:dyDescent="0.1">
      <c r="AN417" s="35">
        <v>12258</v>
      </c>
      <c r="AO417" s="4" t="s">
        <v>108</v>
      </c>
    </row>
    <row r="418" spans="40:41" x14ac:dyDescent="0.1">
      <c r="AN418" s="35">
        <v>12287</v>
      </c>
      <c r="AO418" s="4" t="s">
        <v>109</v>
      </c>
    </row>
    <row r="419" spans="40:41" x14ac:dyDescent="0.1">
      <c r="AN419" s="35">
        <v>12317</v>
      </c>
      <c r="AO419" s="4" t="s">
        <v>110</v>
      </c>
    </row>
    <row r="420" spans="40:41" x14ac:dyDescent="0.1">
      <c r="AN420" s="35">
        <v>12346</v>
      </c>
      <c r="AO420" s="4" t="s">
        <v>111</v>
      </c>
    </row>
    <row r="421" spans="40:41" x14ac:dyDescent="0.1">
      <c r="AN421" s="35">
        <v>12376</v>
      </c>
      <c r="AO421" s="4" t="s">
        <v>112</v>
      </c>
    </row>
    <row r="422" spans="40:41" x14ac:dyDescent="0.1">
      <c r="AN422" s="35">
        <v>12405</v>
      </c>
      <c r="AO422" s="4" t="s">
        <v>379</v>
      </c>
    </row>
    <row r="423" spans="40:41" x14ac:dyDescent="0.1">
      <c r="AN423" s="35">
        <v>12434</v>
      </c>
      <c r="AO423" s="4" t="s">
        <v>113</v>
      </c>
    </row>
    <row r="424" spans="40:41" x14ac:dyDescent="0.1">
      <c r="AN424" s="35">
        <v>12464</v>
      </c>
      <c r="AO424" s="4" t="s">
        <v>100</v>
      </c>
    </row>
    <row r="425" spans="40:41" x14ac:dyDescent="0.1">
      <c r="AN425" s="35">
        <v>12493</v>
      </c>
      <c r="AO425" s="4" t="s">
        <v>104</v>
      </c>
    </row>
    <row r="426" spans="40:41" x14ac:dyDescent="0.1">
      <c r="AN426" s="35">
        <v>12523</v>
      </c>
      <c r="AO426" s="4" t="s">
        <v>105</v>
      </c>
    </row>
    <row r="427" spans="40:41" x14ac:dyDescent="0.1">
      <c r="AN427" s="35">
        <v>12552</v>
      </c>
      <c r="AO427" s="4" t="s">
        <v>106</v>
      </c>
    </row>
    <row r="428" spans="40:41" x14ac:dyDescent="0.1">
      <c r="AN428" s="35">
        <v>12582</v>
      </c>
      <c r="AO428" s="4" t="s">
        <v>107</v>
      </c>
    </row>
    <row r="429" spans="40:41" x14ac:dyDescent="0.1">
      <c r="AN429" s="35">
        <v>12612</v>
      </c>
      <c r="AO429" s="4" t="s">
        <v>108</v>
      </c>
    </row>
    <row r="430" spans="40:41" x14ac:dyDescent="0.1">
      <c r="AN430" s="35">
        <v>12641</v>
      </c>
      <c r="AO430" s="4" t="s">
        <v>109</v>
      </c>
    </row>
    <row r="431" spans="40:41" x14ac:dyDescent="0.1">
      <c r="AN431" s="35">
        <v>12671</v>
      </c>
      <c r="AO431" s="4" t="s">
        <v>110</v>
      </c>
    </row>
    <row r="432" spans="40:41" x14ac:dyDescent="0.1">
      <c r="AN432" s="35">
        <v>12700</v>
      </c>
      <c r="AO432" s="4" t="s">
        <v>111</v>
      </c>
    </row>
    <row r="433" spans="40:41" x14ac:dyDescent="0.1">
      <c r="AN433" s="35">
        <v>12730</v>
      </c>
      <c r="AO433" s="4" t="s">
        <v>112</v>
      </c>
    </row>
    <row r="434" spans="40:41" x14ac:dyDescent="0.1">
      <c r="AN434" s="35">
        <v>12760</v>
      </c>
      <c r="AO434" s="4" t="s">
        <v>379</v>
      </c>
    </row>
    <row r="435" spans="40:41" x14ac:dyDescent="0.1">
      <c r="AN435" s="35">
        <v>12789</v>
      </c>
      <c r="AO435" s="4" t="s">
        <v>113</v>
      </c>
    </row>
    <row r="436" spans="40:41" x14ac:dyDescent="0.1">
      <c r="AN436" s="35">
        <v>12819</v>
      </c>
      <c r="AO436" s="4" t="s">
        <v>100</v>
      </c>
    </row>
    <row r="437" spans="40:41" x14ac:dyDescent="0.1">
      <c r="AN437" s="35">
        <v>12848</v>
      </c>
      <c r="AO437" s="4" t="s">
        <v>104</v>
      </c>
    </row>
    <row r="438" spans="40:41" x14ac:dyDescent="0.1">
      <c r="AN438" s="35">
        <v>12877</v>
      </c>
      <c r="AO438" s="4" t="s">
        <v>105</v>
      </c>
    </row>
    <row r="439" spans="40:41" x14ac:dyDescent="0.1">
      <c r="AN439" s="35">
        <v>12907</v>
      </c>
      <c r="AO439" s="4" t="s">
        <v>106</v>
      </c>
    </row>
    <row r="440" spans="40:41" x14ac:dyDescent="0.1">
      <c r="AN440" s="35">
        <v>12936</v>
      </c>
      <c r="AO440" s="4" t="s">
        <v>107</v>
      </c>
    </row>
    <row r="441" spans="40:41" x14ac:dyDescent="0.1">
      <c r="AN441" s="35">
        <v>12966</v>
      </c>
      <c r="AO441" s="4" t="s">
        <v>108</v>
      </c>
    </row>
    <row r="442" spans="40:41" x14ac:dyDescent="0.1">
      <c r="AN442" s="35">
        <v>12995</v>
      </c>
      <c r="AO442" s="4" t="s">
        <v>109</v>
      </c>
    </row>
    <row r="443" spans="40:41" x14ac:dyDescent="0.1">
      <c r="AN443" s="35">
        <v>13025</v>
      </c>
      <c r="AO443" s="4" t="s">
        <v>110</v>
      </c>
    </row>
    <row r="444" spans="40:41" x14ac:dyDescent="0.1">
      <c r="AN444" s="35">
        <v>13055</v>
      </c>
      <c r="AO444" s="4" t="s">
        <v>111</v>
      </c>
    </row>
    <row r="445" spans="40:41" x14ac:dyDescent="0.1">
      <c r="AN445" s="35">
        <v>13084</v>
      </c>
      <c r="AO445" s="4" t="s">
        <v>112</v>
      </c>
    </row>
    <row r="446" spans="40:41" x14ac:dyDescent="0.1">
      <c r="AN446" s="35">
        <v>13114</v>
      </c>
      <c r="AO446" s="4" t="s">
        <v>379</v>
      </c>
    </row>
    <row r="447" spans="40:41" x14ac:dyDescent="0.1">
      <c r="AN447" s="35">
        <v>13144</v>
      </c>
      <c r="AO447" s="4" t="s">
        <v>113</v>
      </c>
    </row>
    <row r="448" spans="40:41" x14ac:dyDescent="0.1">
      <c r="AN448" s="35">
        <v>13173</v>
      </c>
      <c r="AO448" s="4" t="s">
        <v>100</v>
      </c>
    </row>
    <row r="449" spans="40:41" x14ac:dyDescent="0.1">
      <c r="AN449" s="35">
        <v>13203</v>
      </c>
      <c r="AO449" s="4" t="s">
        <v>104</v>
      </c>
    </row>
    <row r="450" spans="40:41" x14ac:dyDescent="0.1">
      <c r="AN450" s="35">
        <v>13232</v>
      </c>
      <c r="AO450" s="4" t="s">
        <v>105</v>
      </c>
    </row>
    <row r="451" spans="40:41" x14ac:dyDescent="0.1">
      <c r="AN451" s="35">
        <v>13261</v>
      </c>
      <c r="AO451" s="4" t="s">
        <v>147</v>
      </c>
    </row>
    <row r="452" spans="40:41" x14ac:dyDescent="0.1">
      <c r="AN452" s="35">
        <v>13291</v>
      </c>
      <c r="AO452" s="4" t="s">
        <v>106</v>
      </c>
    </row>
    <row r="453" spans="40:41" x14ac:dyDescent="0.1">
      <c r="AN453" s="35">
        <v>13320</v>
      </c>
      <c r="AO453" s="4" t="s">
        <v>107</v>
      </c>
    </row>
    <row r="454" spans="40:41" x14ac:dyDescent="0.1">
      <c r="AN454" s="35">
        <v>13349</v>
      </c>
      <c r="AO454" s="4" t="s">
        <v>108</v>
      </c>
    </row>
    <row r="455" spans="40:41" x14ac:dyDescent="0.1">
      <c r="AN455" s="35">
        <v>13379</v>
      </c>
      <c r="AO455" s="4" t="s">
        <v>109</v>
      </c>
    </row>
    <row r="456" spans="40:41" x14ac:dyDescent="0.1">
      <c r="AN456" s="35">
        <v>13409</v>
      </c>
      <c r="AO456" s="4" t="s">
        <v>110</v>
      </c>
    </row>
    <row r="457" spans="40:41" x14ac:dyDescent="0.1">
      <c r="AN457" s="35">
        <v>13438</v>
      </c>
      <c r="AO457" s="4" t="s">
        <v>111</v>
      </c>
    </row>
    <row r="458" spans="40:41" x14ac:dyDescent="0.1">
      <c r="AN458" s="35">
        <v>13468</v>
      </c>
      <c r="AO458" s="4" t="s">
        <v>112</v>
      </c>
    </row>
    <row r="459" spans="40:41" x14ac:dyDescent="0.1">
      <c r="AN459" s="35">
        <v>13498</v>
      </c>
      <c r="AO459" s="4" t="s">
        <v>379</v>
      </c>
    </row>
    <row r="460" spans="40:41" x14ac:dyDescent="0.1">
      <c r="AN460" s="35">
        <v>13528</v>
      </c>
      <c r="AO460" s="4" t="s">
        <v>113</v>
      </c>
    </row>
    <row r="461" spans="40:41" x14ac:dyDescent="0.1">
      <c r="AN461" s="35">
        <v>13557</v>
      </c>
      <c r="AO461" s="4" t="s">
        <v>100</v>
      </c>
    </row>
    <row r="462" spans="40:41" x14ac:dyDescent="0.1">
      <c r="AN462" s="35">
        <v>13587</v>
      </c>
      <c r="AO462" s="4" t="s">
        <v>104</v>
      </c>
    </row>
    <row r="463" spans="40:41" x14ac:dyDescent="0.1">
      <c r="AN463" s="35">
        <v>13616</v>
      </c>
      <c r="AO463" s="4" t="s">
        <v>105</v>
      </c>
    </row>
    <row r="464" spans="40:41" x14ac:dyDescent="0.1">
      <c r="AN464" s="35">
        <v>13645</v>
      </c>
      <c r="AO464" s="4" t="s">
        <v>106</v>
      </c>
    </row>
    <row r="465" spans="40:41" x14ac:dyDescent="0.1">
      <c r="AN465" s="35">
        <v>13675</v>
      </c>
      <c r="AO465" s="4" t="s">
        <v>107</v>
      </c>
    </row>
    <row r="466" spans="40:41" x14ac:dyDescent="0.1">
      <c r="AN466" s="35">
        <v>13704</v>
      </c>
      <c r="AO466" s="4" t="s">
        <v>108</v>
      </c>
    </row>
    <row r="467" spans="40:41" x14ac:dyDescent="0.1">
      <c r="AN467" s="35">
        <v>13733</v>
      </c>
      <c r="AO467" s="4" t="s">
        <v>109</v>
      </c>
    </row>
    <row r="468" spans="40:41" x14ac:dyDescent="0.1">
      <c r="AN468" s="35">
        <v>13763</v>
      </c>
      <c r="AO468" s="4" t="s">
        <v>110</v>
      </c>
    </row>
    <row r="469" spans="40:41" x14ac:dyDescent="0.1">
      <c r="AN469" s="35">
        <v>13792</v>
      </c>
      <c r="AO469" s="4" t="s">
        <v>111</v>
      </c>
    </row>
    <row r="470" spans="40:41" x14ac:dyDescent="0.1">
      <c r="AN470" s="35">
        <v>13822</v>
      </c>
      <c r="AO470" s="4" t="s">
        <v>112</v>
      </c>
    </row>
    <row r="471" spans="40:41" x14ac:dyDescent="0.1">
      <c r="AN471" s="35">
        <v>13852</v>
      </c>
      <c r="AO471" s="4" t="s">
        <v>379</v>
      </c>
    </row>
    <row r="472" spans="40:41" x14ac:dyDescent="0.1">
      <c r="AN472" s="35">
        <v>13882</v>
      </c>
      <c r="AO472" s="4" t="s">
        <v>113</v>
      </c>
    </row>
    <row r="473" spans="40:41" x14ac:dyDescent="0.1">
      <c r="AN473" s="35">
        <v>13911</v>
      </c>
      <c r="AO473" s="4" t="s">
        <v>100</v>
      </c>
    </row>
    <row r="474" spans="40:41" x14ac:dyDescent="0.1">
      <c r="AN474" s="35">
        <v>13941</v>
      </c>
      <c r="AO474" s="4" t="s">
        <v>104</v>
      </c>
    </row>
    <row r="475" spans="40:41" x14ac:dyDescent="0.1">
      <c r="AN475" s="35">
        <v>13971</v>
      </c>
      <c r="AO475" s="4" t="s">
        <v>105</v>
      </c>
    </row>
    <row r="476" spans="40:41" x14ac:dyDescent="0.1">
      <c r="AN476" s="35">
        <v>14000</v>
      </c>
      <c r="AO476" s="4" t="s">
        <v>106</v>
      </c>
    </row>
    <row r="477" spans="40:41" x14ac:dyDescent="0.1">
      <c r="AN477" s="35">
        <v>14029</v>
      </c>
      <c r="AO477" s="4" t="s">
        <v>107</v>
      </c>
    </row>
    <row r="478" spans="40:41" x14ac:dyDescent="0.1">
      <c r="AN478" s="35">
        <v>14059</v>
      </c>
      <c r="AO478" s="4" t="s">
        <v>108</v>
      </c>
    </row>
    <row r="479" spans="40:41" x14ac:dyDescent="0.1">
      <c r="AN479" s="35">
        <v>14088</v>
      </c>
      <c r="AO479" s="4" t="s">
        <v>109</v>
      </c>
    </row>
    <row r="480" spans="40:41" x14ac:dyDescent="0.1">
      <c r="AN480" s="35">
        <v>14117</v>
      </c>
      <c r="AO480" s="4" t="s">
        <v>146</v>
      </c>
    </row>
    <row r="481" spans="40:41" x14ac:dyDescent="0.1">
      <c r="AN481" s="35">
        <v>14147</v>
      </c>
      <c r="AO481" s="4" t="s">
        <v>110</v>
      </c>
    </row>
    <row r="482" spans="40:41" x14ac:dyDescent="0.1">
      <c r="AN482" s="35">
        <v>14176</v>
      </c>
      <c r="AO482" s="4" t="s">
        <v>111</v>
      </c>
    </row>
    <row r="483" spans="40:41" x14ac:dyDescent="0.1">
      <c r="AN483" s="35">
        <v>14206</v>
      </c>
      <c r="AO483" s="4" t="s">
        <v>112</v>
      </c>
    </row>
    <row r="484" spans="40:41" x14ac:dyDescent="0.1">
      <c r="AN484" s="35">
        <v>14236</v>
      </c>
      <c r="AO484" s="4" t="s">
        <v>379</v>
      </c>
    </row>
    <row r="485" spans="40:41" x14ac:dyDescent="0.1">
      <c r="AN485" s="35">
        <v>14265</v>
      </c>
      <c r="AO485" s="4" t="s">
        <v>113</v>
      </c>
    </row>
    <row r="486" spans="40:41" x14ac:dyDescent="0.1">
      <c r="AN486" s="35">
        <v>14295</v>
      </c>
      <c r="AO486" s="4" t="s">
        <v>100</v>
      </c>
    </row>
    <row r="487" spans="40:41" x14ac:dyDescent="0.1">
      <c r="AN487" s="35">
        <v>14325</v>
      </c>
      <c r="AO487" s="4" t="s">
        <v>104</v>
      </c>
    </row>
    <row r="488" spans="40:41" x14ac:dyDescent="0.1">
      <c r="AN488" s="35">
        <v>14355</v>
      </c>
      <c r="AO488" s="4" t="s">
        <v>105</v>
      </c>
    </row>
    <row r="489" spans="40:41" x14ac:dyDescent="0.1">
      <c r="AN489" s="35">
        <v>14384</v>
      </c>
      <c r="AO489" s="4" t="s">
        <v>106</v>
      </c>
    </row>
    <row r="490" spans="40:41" x14ac:dyDescent="0.1">
      <c r="AN490" s="35">
        <v>14413</v>
      </c>
      <c r="AO490" s="4" t="s">
        <v>107</v>
      </c>
    </row>
    <row r="491" spans="40:41" x14ac:dyDescent="0.1">
      <c r="AN491" s="35">
        <v>14443</v>
      </c>
      <c r="AO491" s="4" t="s">
        <v>108</v>
      </c>
    </row>
    <row r="492" spans="40:41" x14ac:dyDescent="0.1">
      <c r="AN492" s="35">
        <v>14472</v>
      </c>
      <c r="AO492" s="4" t="s">
        <v>109</v>
      </c>
    </row>
    <row r="493" spans="40:41" x14ac:dyDescent="0.1">
      <c r="AN493" s="35">
        <v>14501</v>
      </c>
      <c r="AO493" s="4" t="s">
        <v>110</v>
      </c>
    </row>
    <row r="494" spans="40:41" x14ac:dyDescent="0.1">
      <c r="AN494" s="35">
        <v>14531</v>
      </c>
      <c r="AO494" s="4" t="s">
        <v>111</v>
      </c>
    </row>
    <row r="495" spans="40:41" x14ac:dyDescent="0.1">
      <c r="AN495" s="35">
        <v>14560</v>
      </c>
      <c r="AO495" s="4" t="s">
        <v>112</v>
      </c>
    </row>
    <row r="496" spans="40:41" x14ac:dyDescent="0.1">
      <c r="AN496" s="35">
        <v>14590</v>
      </c>
      <c r="AO496" s="4" t="s">
        <v>379</v>
      </c>
    </row>
    <row r="497" spans="40:41" x14ac:dyDescent="0.1">
      <c r="AN497" s="35">
        <v>14619</v>
      </c>
      <c r="AO497" s="4" t="s">
        <v>113</v>
      </c>
    </row>
    <row r="498" spans="40:41" x14ac:dyDescent="0.1">
      <c r="AN498" s="35">
        <v>14649</v>
      </c>
      <c r="AO498" s="4" t="s">
        <v>100</v>
      </c>
    </row>
    <row r="499" spans="40:41" x14ac:dyDescent="0.1">
      <c r="AN499" s="35">
        <v>14679</v>
      </c>
      <c r="AO499" s="4" t="s">
        <v>104</v>
      </c>
    </row>
    <row r="500" spans="40:41" x14ac:dyDescent="0.1">
      <c r="AN500" s="35">
        <v>14709</v>
      </c>
      <c r="AO500" s="4" t="s">
        <v>105</v>
      </c>
    </row>
    <row r="501" spans="40:41" x14ac:dyDescent="0.1">
      <c r="AN501" s="35">
        <v>14738</v>
      </c>
      <c r="AO501" s="4" t="s">
        <v>106</v>
      </c>
    </row>
    <row r="502" spans="40:41" x14ac:dyDescent="0.1">
      <c r="AN502" s="35">
        <v>14768</v>
      </c>
      <c r="AO502" s="4" t="s">
        <v>107</v>
      </c>
    </row>
    <row r="503" spans="40:41" x14ac:dyDescent="0.1">
      <c r="AN503" s="35">
        <v>14797</v>
      </c>
      <c r="AO503" s="4" t="s">
        <v>108</v>
      </c>
    </row>
    <row r="504" spans="40:41" x14ac:dyDescent="0.1">
      <c r="AN504" s="35">
        <v>14827</v>
      </c>
      <c r="AO504" s="4" t="s">
        <v>109</v>
      </c>
    </row>
    <row r="505" spans="40:41" x14ac:dyDescent="0.1">
      <c r="AN505" s="35">
        <v>14856</v>
      </c>
      <c r="AO505" s="4" t="s">
        <v>110</v>
      </c>
    </row>
    <row r="506" spans="40:41" x14ac:dyDescent="0.1">
      <c r="AN506" s="35">
        <v>14885</v>
      </c>
      <c r="AO506" s="4" t="s">
        <v>111</v>
      </c>
    </row>
    <row r="507" spans="40:41" x14ac:dyDescent="0.1">
      <c r="AN507" s="35">
        <v>14915</v>
      </c>
      <c r="AO507" s="4" t="s">
        <v>112</v>
      </c>
    </row>
    <row r="508" spans="40:41" x14ac:dyDescent="0.1">
      <c r="AN508" s="35">
        <v>14944</v>
      </c>
      <c r="AO508" s="4" t="s">
        <v>379</v>
      </c>
    </row>
    <row r="509" spans="40:41" x14ac:dyDescent="0.1">
      <c r="AN509" s="35">
        <v>14974</v>
      </c>
      <c r="AO509" s="4" t="s">
        <v>113</v>
      </c>
    </row>
    <row r="510" spans="40:41" x14ac:dyDescent="0.1">
      <c r="AN510" s="35">
        <v>15003</v>
      </c>
      <c r="AO510" s="4" t="s">
        <v>100</v>
      </c>
    </row>
    <row r="511" spans="40:41" x14ac:dyDescent="0.1">
      <c r="AN511" s="35">
        <v>15033</v>
      </c>
      <c r="AO511" s="4" t="s">
        <v>104</v>
      </c>
    </row>
    <row r="512" spans="40:41" x14ac:dyDescent="0.1">
      <c r="AN512" s="35">
        <v>15063</v>
      </c>
      <c r="AO512" s="4" t="s">
        <v>105</v>
      </c>
    </row>
    <row r="513" spans="40:41" x14ac:dyDescent="0.1">
      <c r="AN513" s="35">
        <v>15092</v>
      </c>
      <c r="AO513" s="4" t="s">
        <v>106</v>
      </c>
    </row>
    <row r="514" spans="40:41" x14ac:dyDescent="0.1">
      <c r="AN514" s="35">
        <v>15122</v>
      </c>
      <c r="AO514" s="4" t="s">
        <v>107</v>
      </c>
    </row>
    <row r="515" spans="40:41" x14ac:dyDescent="0.1">
      <c r="AN515" s="35">
        <v>15152</v>
      </c>
      <c r="AO515" s="4" t="s">
        <v>108</v>
      </c>
    </row>
    <row r="516" spans="40:41" x14ac:dyDescent="0.1">
      <c r="AN516" s="35">
        <v>15181</v>
      </c>
      <c r="AO516" s="4" t="s">
        <v>145</v>
      </c>
    </row>
    <row r="517" spans="40:41" x14ac:dyDescent="0.1">
      <c r="AN517" s="35">
        <v>15211</v>
      </c>
      <c r="AO517" s="4" t="s">
        <v>109</v>
      </c>
    </row>
    <row r="518" spans="40:41" x14ac:dyDescent="0.1">
      <c r="AN518" s="35">
        <v>15240</v>
      </c>
      <c r="AO518" s="4" t="s">
        <v>110</v>
      </c>
    </row>
    <row r="519" spans="40:41" x14ac:dyDescent="0.1">
      <c r="AN519" s="35">
        <v>15269</v>
      </c>
      <c r="AO519" s="4" t="s">
        <v>111</v>
      </c>
    </row>
    <row r="520" spans="40:41" x14ac:dyDescent="0.1">
      <c r="AN520" s="35">
        <v>15299</v>
      </c>
      <c r="AO520" s="4" t="s">
        <v>112</v>
      </c>
    </row>
    <row r="521" spans="40:41" x14ac:dyDescent="0.1">
      <c r="AN521" s="35">
        <v>15328</v>
      </c>
      <c r="AO521" s="4" t="s">
        <v>379</v>
      </c>
    </row>
    <row r="522" spans="40:41" x14ac:dyDescent="0.1">
      <c r="AN522" s="35">
        <v>15358</v>
      </c>
      <c r="AO522" s="4" t="s">
        <v>113</v>
      </c>
    </row>
    <row r="523" spans="40:41" x14ac:dyDescent="0.1">
      <c r="AN523" s="35">
        <v>15387</v>
      </c>
      <c r="AO523" s="4" t="s">
        <v>100</v>
      </c>
    </row>
    <row r="524" spans="40:41" x14ac:dyDescent="0.1">
      <c r="AN524" s="35">
        <v>15417</v>
      </c>
      <c r="AO524" s="4" t="s">
        <v>104</v>
      </c>
    </row>
    <row r="525" spans="40:41" x14ac:dyDescent="0.1">
      <c r="AN525" s="35">
        <v>15446</v>
      </c>
      <c r="AO525" s="4" t="s">
        <v>105</v>
      </c>
    </row>
    <row r="526" spans="40:41" x14ac:dyDescent="0.1">
      <c r="AN526" s="35">
        <v>15476</v>
      </c>
      <c r="AO526" s="4" t="s">
        <v>106</v>
      </c>
    </row>
    <row r="527" spans="40:41" x14ac:dyDescent="0.1">
      <c r="AN527" s="35">
        <v>15506</v>
      </c>
      <c r="AO527" s="4" t="s">
        <v>107</v>
      </c>
    </row>
    <row r="528" spans="40:41" x14ac:dyDescent="0.1">
      <c r="AN528" s="35">
        <v>15535</v>
      </c>
      <c r="AO528" s="4" t="s">
        <v>108</v>
      </c>
    </row>
    <row r="529" spans="40:41" x14ac:dyDescent="0.1">
      <c r="AN529" s="35">
        <v>15565</v>
      </c>
      <c r="AO529" s="4" t="s">
        <v>109</v>
      </c>
    </row>
    <row r="530" spans="40:41" x14ac:dyDescent="0.1">
      <c r="AN530" s="35">
        <v>15594</v>
      </c>
      <c r="AO530" s="4" t="s">
        <v>110</v>
      </c>
    </row>
    <row r="531" spans="40:41" x14ac:dyDescent="0.1">
      <c r="AN531" s="35">
        <v>15624</v>
      </c>
      <c r="AO531" s="4" t="s">
        <v>111</v>
      </c>
    </row>
    <row r="532" spans="40:41" x14ac:dyDescent="0.1">
      <c r="AN532" s="35">
        <v>15653</v>
      </c>
      <c r="AO532" s="4" t="s">
        <v>112</v>
      </c>
    </row>
    <row r="533" spans="40:41" x14ac:dyDescent="0.1">
      <c r="AN533" s="35">
        <v>15683</v>
      </c>
      <c r="AO533" s="4" t="s">
        <v>379</v>
      </c>
    </row>
    <row r="534" spans="40:41" x14ac:dyDescent="0.1">
      <c r="AN534" s="35">
        <v>15712</v>
      </c>
      <c r="AO534" s="4" t="s">
        <v>113</v>
      </c>
    </row>
    <row r="535" spans="40:41" x14ac:dyDescent="0.1">
      <c r="AN535" s="35">
        <v>15742</v>
      </c>
      <c r="AO535" s="4" t="s">
        <v>100</v>
      </c>
    </row>
    <row r="536" spans="40:41" x14ac:dyDescent="0.1">
      <c r="AN536" s="35">
        <v>15771</v>
      </c>
      <c r="AO536" s="4" t="s">
        <v>104</v>
      </c>
    </row>
    <row r="537" spans="40:41" x14ac:dyDescent="0.1">
      <c r="AN537" s="35">
        <v>15801</v>
      </c>
      <c r="AO537" s="4" t="s">
        <v>105</v>
      </c>
    </row>
    <row r="538" spans="40:41" x14ac:dyDescent="0.1">
      <c r="AN538" s="35">
        <v>15830</v>
      </c>
      <c r="AO538" s="4" t="s">
        <v>106</v>
      </c>
    </row>
    <row r="539" spans="40:41" x14ac:dyDescent="0.1">
      <c r="AN539" s="35">
        <v>15860</v>
      </c>
      <c r="AO539" s="4" t="s">
        <v>107</v>
      </c>
    </row>
    <row r="540" spans="40:41" x14ac:dyDescent="0.1">
      <c r="AN540" s="35">
        <v>15889</v>
      </c>
      <c r="AO540" s="4" t="s">
        <v>108</v>
      </c>
    </row>
    <row r="541" spans="40:41" x14ac:dyDescent="0.1">
      <c r="AN541" s="35">
        <v>15919</v>
      </c>
      <c r="AO541" s="4" t="s">
        <v>109</v>
      </c>
    </row>
    <row r="542" spans="40:41" x14ac:dyDescent="0.1">
      <c r="AN542" s="35">
        <v>15949</v>
      </c>
      <c r="AO542" s="4" t="s">
        <v>110</v>
      </c>
    </row>
    <row r="543" spans="40:41" x14ac:dyDescent="0.1">
      <c r="AN543" s="35">
        <v>15978</v>
      </c>
      <c r="AO543" s="4" t="s">
        <v>111</v>
      </c>
    </row>
    <row r="544" spans="40:41" x14ac:dyDescent="0.1">
      <c r="AN544" s="35">
        <v>16008</v>
      </c>
      <c r="AO544" s="4" t="s">
        <v>112</v>
      </c>
    </row>
    <row r="545" spans="40:41" x14ac:dyDescent="0.1">
      <c r="AN545" s="35">
        <v>16037</v>
      </c>
      <c r="AO545" s="4" t="s">
        <v>379</v>
      </c>
    </row>
    <row r="546" spans="40:41" x14ac:dyDescent="0.1">
      <c r="AN546" s="35">
        <v>16067</v>
      </c>
      <c r="AO546" s="4" t="s">
        <v>113</v>
      </c>
    </row>
    <row r="547" spans="40:41" x14ac:dyDescent="0.1">
      <c r="AN547" s="35">
        <v>16096</v>
      </c>
      <c r="AO547" s="4" t="s">
        <v>100</v>
      </c>
    </row>
    <row r="548" spans="40:41" x14ac:dyDescent="0.1">
      <c r="AN548" s="35">
        <v>16126</v>
      </c>
      <c r="AO548" s="4" t="s">
        <v>104</v>
      </c>
    </row>
    <row r="549" spans="40:41" x14ac:dyDescent="0.1">
      <c r="AN549" s="35">
        <v>16155</v>
      </c>
      <c r="AO549" s="4" t="s">
        <v>105</v>
      </c>
    </row>
    <row r="550" spans="40:41" x14ac:dyDescent="0.1">
      <c r="AN550" s="35">
        <v>16185</v>
      </c>
      <c r="AO550" s="4" t="s">
        <v>106</v>
      </c>
    </row>
    <row r="551" spans="40:41" x14ac:dyDescent="0.1">
      <c r="AN551" s="35">
        <v>16214</v>
      </c>
      <c r="AO551" s="4" t="s">
        <v>143</v>
      </c>
    </row>
    <row r="552" spans="40:41" x14ac:dyDescent="0.1">
      <c r="AN552" s="35">
        <v>16244</v>
      </c>
      <c r="AO552" s="4" t="s">
        <v>107</v>
      </c>
    </row>
    <row r="553" spans="40:41" x14ac:dyDescent="0.1">
      <c r="AN553" s="35">
        <v>16273</v>
      </c>
      <c r="AO553" s="4" t="s">
        <v>108</v>
      </c>
    </row>
    <row r="554" spans="40:41" x14ac:dyDescent="0.1">
      <c r="AN554" s="35">
        <v>16303</v>
      </c>
      <c r="AO554" s="4" t="s">
        <v>109</v>
      </c>
    </row>
    <row r="555" spans="40:41" x14ac:dyDescent="0.1">
      <c r="AN555" s="35">
        <v>16332</v>
      </c>
      <c r="AO555" s="4" t="s">
        <v>110</v>
      </c>
    </row>
    <row r="556" spans="40:41" x14ac:dyDescent="0.1">
      <c r="AN556" s="35">
        <v>16362</v>
      </c>
      <c r="AO556" s="4" t="s">
        <v>111</v>
      </c>
    </row>
    <row r="557" spans="40:41" x14ac:dyDescent="0.1">
      <c r="AN557" s="35">
        <v>16392</v>
      </c>
      <c r="AO557" s="4" t="s">
        <v>112</v>
      </c>
    </row>
    <row r="558" spans="40:41" x14ac:dyDescent="0.1">
      <c r="AN558" s="35">
        <v>16421</v>
      </c>
      <c r="AO558" s="4" t="s">
        <v>379</v>
      </c>
    </row>
    <row r="559" spans="40:41" x14ac:dyDescent="0.1">
      <c r="AN559" s="35">
        <v>16451</v>
      </c>
      <c r="AO559" s="4" t="s">
        <v>113</v>
      </c>
    </row>
    <row r="560" spans="40:41" x14ac:dyDescent="0.1">
      <c r="AN560" s="35">
        <v>16481</v>
      </c>
      <c r="AO560" s="4" t="s">
        <v>100</v>
      </c>
    </row>
    <row r="561" spans="40:41" x14ac:dyDescent="0.1">
      <c r="AN561" s="35">
        <v>16510</v>
      </c>
      <c r="AO561" s="4" t="s">
        <v>104</v>
      </c>
    </row>
    <row r="562" spans="40:41" x14ac:dyDescent="0.1">
      <c r="AN562" s="35">
        <v>16539</v>
      </c>
      <c r="AO562" s="4" t="s">
        <v>105</v>
      </c>
    </row>
    <row r="563" spans="40:41" x14ac:dyDescent="0.1">
      <c r="AN563" s="35">
        <v>16569</v>
      </c>
      <c r="AO563" s="4" t="s">
        <v>106</v>
      </c>
    </row>
    <row r="564" spans="40:41" x14ac:dyDescent="0.1">
      <c r="AN564" s="35">
        <v>16598</v>
      </c>
      <c r="AO564" s="4" t="s">
        <v>107</v>
      </c>
    </row>
    <row r="565" spans="40:41" x14ac:dyDescent="0.1">
      <c r="AN565" s="35">
        <v>16627</v>
      </c>
      <c r="AO565" s="4" t="s">
        <v>108</v>
      </c>
    </row>
    <row r="566" spans="40:41" x14ac:dyDescent="0.1">
      <c r="AN566" s="35">
        <v>16657</v>
      </c>
      <c r="AO566" s="4" t="s">
        <v>109</v>
      </c>
    </row>
    <row r="567" spans="40:41" x14ac:dyDescent="0.1">
      <c r="AN567" s="35">
        <v>16686</v>
      </c>
      <c r="AO567" s="4" t="s">
        <v>110</v>
      </c>
    </row>
    <row r="568" spans="40:41" x14ac:dyDescent="0.1">
      <c r="AN568" s="35">
        <v>16716</v>
      </c>
      <c r="AO568" s="4" t="s">
        <v>111</v>
      </c>
    </row>
    <row r="569" spans="40:41" x14ac:dyDescent="0.1">
      <c r="AN569" s="35">
        <v>16746</v>
      </c>
      <c r="AO569" s="4" t="s">
        <v>112</v>
      </c>
    </row>
    <row r="570" spans="40:41" x14ac:dyDescent="0.1">
      <c r="AN570" s="35">
        <v>16776</v>
      </c>
      <c r="AO570" s="4" t="s">
        <v>379</v>
      </c>
    </row>
    <row r="571" spans="40:41" x14ac:dyDescent="0.1">
      <c r="AN571" s="35">
        <v>16805</v>
      </c>
      <c r="AO571" s="4" t="s">
        <v>113</v>
      </c>
    </row>
    <row r="572" spans="40:41" x14ac:dyDescent="0.1">
      <c r="AN572" s="35">
        <v>16835</v>
      </c>
      <c r="AO572" s="4" t="s">
        <v>100</v>
      </c>
    </row>
    <row r="573" spans="40:41" x14ac:dyDescent="0.1">
      <c r="AN573" s="35">
        <v>16865</v>
      </c>
      <c r="AO573" s="4" t="s">
        <v>104</v>
      </c>
    </row>
    <row r="574" spans="40:41" x14ac:dyDescent="0.1">
      <c r="AN574" s="35">
        <v>16894</v>
      </c>
      <c r="AO574" s="4" t="s">
        <v>105</v>
      </c>
    </row>
    <row r="575" spans="40:41" x14ac:dyDescent="0.1">
      <c r="AN575" s="35">
        <v>16923</v>
      </c>
      <c r="AO575" s="4" t="s">
        <v>106</v>
      </c>
    </row>
    <row r="576" spans="40:41" x14ac:dyDescent="0.1">
      <c r="AN576" s="35">
        <v>16953</v>
      </c>
      <c r="AO576" s="4" t="s">
        <v>107</v>
      </c>
    </row>
    <row r="577" spans="40:41" x14ac:dyDescent="0.1">
      <c r="AN577" s="35">
        <v>16982</v>
      </c>
      <c r="AO577" s="4" t="s">
        <v>108</v>
      </c>
    </row>
    <row r="578" spans="40:41" x14ac:dyDescent="0.1">
      <c r="AN578" s="35">
        <v>17011</v>
      </c>
      <c r="AO578" s="4" t="s">
        <v>109</v>
      </c>
    </row>
    <row r="579" spans="40:41" x14ac:dyDescent="0.1">
      <c r="AN579" s="35">
        <v>17041</v>
      </c>
      <c r="AO579" s="4" t="s">
        <v>110</v>
      </c>
    </row>
    <row r="580" spans="40:41" x14ac:dyDescent="0.1">
      <c r="AN580" s="35">
        <v>17070</v>
      </c>
      <c r="AO580" s="4" t="s">
        <v>111</v>
      </c>
    </row>
    <row r="581" spans="40:41" x14ac:dyDescent="0.1">
      <c r="AN581" s="35">
        <v>17100</v>
      </c>
      <c r="AO581" s="4" t="s">
        <v>112</v>
      </c>
    </row>
    <row r="582" spans="40:41" x14ac:dyDescent="0.1">
      <c r="AN582" s="35">
        <v>17130</v>
      </c>
      <c r="AO582" s="4" t="s">
        <v>379</v>
      </c>
    </row>
    <row r="583" spans="40:41" x14ac:dyDescent="0.1">
      <c r="AN583" s="35">
        <v>17159</v>
      </c>
      <c r="AO583" s="4" t="s">
        <v>113</v>
      </c>
    </row>
    <row r="584" spans="40:41" x14ac:dyDescent="0.1">
      <c r="AN584" s="35">
        <v>17189</v>
      </c>
      <c r="AO584" s="4" t="s">
        <v>100</v>
      </c>
    </row>
    <row r="585" spans="40:41" x14ac:dyDescent="0.1">
      <c r="AN585" s="35">
        <v>17219</v>
      </c>
      <c r="AO585" s="4" t="s">
        <v>104</v>
      </c>
    </row>
    <row r="586" spans="40:41" x14ac:dyDescent="0.1">
      <c r="AN586" s="35">
        <v>17249</v>
      </c>
      <c r="AO586" s="4" t="s">
        <v>144</v>
      </c>
    </row>
    <row r="587" spans="40:41" x14ac:dyDescent="0.1">
      <c r="AN587" s="35">
        <v>17278</v>
      </c>
      <c r="AO587" s="4" t="s">
        <v>105</v>
      </c>
    </row>
    <row r="588" spans="40:41" x14ac:dyDescent="0.1">
      <c r="AN588" s="35">
        <v>17307</v>
      </c>
      <c r="AO588" s="4" t="s">
        <v>106</v>
      </c>
    </row>
    <row r="589" spans="40:41" x14ac:dyDescent="0.1">
      <c r="AN589" s="35">
        <v>17337</v>
      </c>
      <c r="AO589" s="4" t="s">
        <v>107</v>
      </c>
    </row>
    <row r="590" spans="40:41" x14ac:dyDescent="0.1">
      <c r="AN590" s="35">
        <v>17366</v>
      </c>
      <c r="AO590" s="4" t="s">
        <v>108</v>
      </c>
    </row>
    <row r="591" spans="40:41" x14ac:dyDescent="0.1">
      <c r="AN591" s="35">
        <v>17395</v>
      </c>
      <c r="AO591" s="4" t="s">
        <v>109</v>
      </c>
    </row>
    <row r="592" spans="40:41" x14ac:dyDescent="0.1">
      <c r="AN592" s="35">
        <v>17425</v>
      </c>
      <c r="AO592" s="4" t="s">
        <v>110</v>
      </c>
    </row>
    <row r="593" spans="40:41" x14ac:dyDescent="0.1">
      <c r="AN593" s="35">
        <v>17454</v>
      </c>
      <c r="AO593" s="4" t="s">
        <v>111</v>
      </c>
    </row>
    <row r="594" spans="40:41" x14ac:dyDescent="0.1">
      <c r="AN594" s="35">
        <v>17484</v>
      </c>
      <c r="AO594" s="4" t="s">
        <v>112</v>
      </c>
    </row>
    <row r="595" spans="40:41" x14ac:dyDescent="0.1">
      <c r="AN595" s="35">
        <v>17513</v>
      </c>
      <c r="AO595" s="4" t="s">
        <v>379</v>
      </c>
    </row>
    <row r="596" spans="40:41" x14ac:dyDescent="0.1">
      <c r="AN596" s="35">
        <v>17543</v>
      </c>
      <c r="AO596" s="4" t="s">
        <v>113</v>
      </c>
    </row>
    <row r="597" spans="40:41" x14ac:dyDescent="0.1">
      <c r="AN597" s="35">
        <v>17573</v>
      </c>
      <c r="AO597" s="4" t="s">
        <v>100</v>
      </c>
    </row>
    <row r="598" spans="40:41" x14ac:dyDescent="0.1">
      <c r="AN598" s="35">
        <v>17603</v>
      </c>
      <c r="AO598" s="4" t="s">
        <v>104</v>
      </c>
    </row>
    <row r="599" spans="40:41" x14ac:dyDescent="0.1">
      <c r="AN599" s="35">
        <v>17632</v>
      </c>
      <c r="AO599" s="4" t="s">
        <v>105</v>
      </c>
    </row>
    <row r="600" spans="40:41" x14ac:dyDescent="0.1">
      <c r="AN600" s="35">
        <v>17662</v>
      </c>
      <c r="AO600" s="4" t="s">
        <v>106</v>
      </c>
    </row>
    <row r="601" spans="40:41" x14ac:dyDescent="0.1">
      <c r="AN601" s="35">
        <v>17691</v>
      </c>
      <c r="AO601" s="4" t="s">
        <v>107</v>
      </c>
    </row>
    <row r="602" spans="40:41" x14ac:dyDescent="0.1">
      <c r="AN602" s="35">
        <v>17721</v>
      </c>
      <c r="AO602" s="4" t="s">
        <v>108</v>
      </c>
    </row>
    <row r="603" spans="40:41" x14ac:dyDescent="0.1">
      <c r="AN603" s="35">
        <v>17750</v>
      </c>
      <c r="AO603" s="4" t="s">
        <v>109</v>
      </c>
    </row>
    <row r="604" spans="40:41" x14ac:dyDescent="0.1">
      <c r="AN604" s="35">
        <v>17779</v>
      </c>
      <c r="AO604" s="4" t="s">
        <v>110</v>
      </c>
    </row>
    <row r="605" spans="40:41" x14ac:dyDescent="0.1">
      <c r="AN605" s="35">
        <v>17809</v>
      </c>
      <c r="AO605" s="4" t="s">
        <v>111</v>
      </c>
    </row>
    <row r="606" spans="40:41" x14ac:dyDescent="0.1">
      <c r="AN606" s="35">
        <v>17838</v>
      </c>
      <c r="AO606" s="4" t="s">
        <v>112</v>
      </c>
    </row>
    <row r="607" spans="40:41" x14ac:dyDescent="0.1">
      <c r="AN607" s="35">
        <v>17868</v>
      </c>
      <c r="AO607" s="4" t="s">
        <v>379</v>
      </c>
    </row>
    <row r="608" spans="40:41" x14ac:dyDescent="0.1">
      <c r="AN608" s="35">
        <v>17897</v>
      </c>
      <c r="AO608" s="4" t="s">
        <v>113</v>
      </c>
    </row>
    <row r="609" spans="40:41" x14ac:dyDescent="0.1">
      <c r="AN609" s="35">
        <v>17927</v>
      </c>
      <c r="AO609" s="4" t="s">
        <v>100</v>
      </c>
    </row>
    <row r="610" spans="40:41" x14ac:dyDescent="0.1">
      <c r="AN610" s="35">
        <v>17957</v>
      </c>
      <c r="AO610" s="4" t="s">
        <v>104</v>
      </c>
    </row>
    <row r="611" spans="40:41" x14ac:dyDescent="0.1">
      <c r="AN611" s="35">
        <v>17986</v>
      </c>
      <c r="AO611" s="4" t="s">
        <v>105</v>
      </c>
    </row>
    <row r="612" spans="40:41" x14ac:dyDescent="0.1">
      <c r="AN612" s="35">
        <v>18016</v>
      </c>
      <c r="AO612" s="4" t="s">
        <v>106</v>
      </c>
    </row>
    <row r="613" spans="40:41" x14ac:dyDescent="0.1">
      <c r="AN613" s="35">
        <v>18046</v>
      </c>
      <c r="AO613" s="4" t="s">
        <v>107</v>
      </c>
    </row>
    <row r="614" spans="40:41" x14ac:dyDescent="0.1">
      <c r="AN614" s="35">
        <v>18075</v>
      </c>
      <c r="AO614" s="4" t="s">
        <v>108</v>
      </c>
    </row>
    <row r="615" spans="40:41" x14ac:dyDescent="0.1">
      <c r="AN615" s="35">
        <v>18105</v>
      </c>
      <c r="AO615" s="4" t="s">
        <v>109</v>
      </c>
    </row>
    <row r="616" spans="40:41" x14ac:dyDescent="0.1">
      <c r="AN616" s="35">
        <v>18134</v>
      </c>
      <c r="AO616" s="4" t="s">
        <v>146</v>
      </c>
    </row>
    <row r="617" spans="40:41" x14ac:dyDescent="0.1">
      <c r="AN617" s="35">
        <v>18163</v>
      </c>
      <c r="AO617" s="4" t="s">
        <v>110</v>
      </c>
    </row>
    <row r="618" spans="40:41" x14ac:dyDescent="0.1">
      <c r="AN618" s="35">
        <v>18193</v>
      </c>
      <c r="AO618" s="4" t="s">
        <v>111</v>
      </c>
    </row>
    <row r="619" spans="40:41" x14ac:dyDescent="0.1">
      <c r="AN619" s="35">
        <v>18222</v>
      </c>
      <c r="AO619" s="4" t="s">
        <v>112</v>
      </c>
    </row>
    <row r="620" spans="40:41" x14ac:dyDescent="0.1">
      <c r="AN620" s="35">
        <v>18252</v>
      </c>
      <c r="AO620" s="4" t="s">
        <v>379</v>
      </c>
    </row>
    <row r="621" spans="40:41" x14ac:dyDescent="0.1">
      <c r="AN621" s="35">
        <v>18281</v>
      </c>
      <c r="AO621" s="4" t="s">
        <v>113</v>
      </c>
    </row>
    <row r="622" spans="40:41" x14ac:dyDescent="0.1">
      <c r="AN622" s="35">
        <v>18311</v>
      </c>
      <c r="AO622" s="4" t="s">
        <v>100</v>
      </c>
    </row>
    <row r="623" spans="40:41" x14ac:dyDescent="0.1">
      <c r="AN623" s="35">
        <v>18340</v>
      </c>
      <c r="AO623" s="4" t="s">
        <v>104</v>
      </c>
    </row>
    <row r="624" spans="40:41" x14ac:dyDescent="0.1">
      <c r="AN624" s="35">
        <v>18370</v>
      </c>
      <c r="AO624" s="4" t="s">
        <v>105</v>
      </c>
    </row>
    <row r="625" spans="40:41" x14ac:dyDescent="0.1">
      <c r="AN625" s="35">
        <v>18400</v>
      </c>
      <c r="AO625" s="4" t="s">
        <v>106</v>
      </c>
    </row>
    <row r="626" spans="40:41" x14ac:dyDescent="0.1">
      <c r="AN626" s="35">
        <v>18429</v>
      </c>
      <c r="AO626" s="4" t="s">
        <v>107</v>
      </c>
    </row>
    <row r="627" spans="40:41" x14ac:dyDescent="0.1">
      <c r="AN627" s="35">
        <v>18459</v>
      </c>
      <c r="AO627" s="4" t="s">
        <v>108</v>
      </c>
    </row>
    <row r="628" spans="40:41" x14ac:dyDescent="0.1">
      <c r="AN628" s="35">
        <v>18489</v>
      </c>
      <c r="AO628" s="4" t="s">
        <v>109</v>
      </c>
    </row>
    <row r="629" spans="40:41" x14ac:dyDescent="0.1">
      <c r="AN629" s="35">
        <v>18518</v>
      </c>
      <c r="AO629" s="4" t="s">
        <v>110</v>
      </c>
    </row>
    <row r="630" spans="40:41" x14ac:dyDescent="0.1">
      <c r="AN630" s="35">
        <v>18547</v>
      </c>
      <c r="AO630" s="4" t="s">
        <v>111</v>
      </c>
    </row>
    <row r="631" spans="40:41" x14ac:dyDescent="0.1">
      <c r="AN631" s="35">
        <v>18577</v>
      </c>
      <c r="AO631" s="4" t="s">
        <v>112</v>
      </c>
    </row>
    <row r="632" spans="40:41" x14ac:dyDescent="0.1">
      <c r="AN632" s="35">
        <v>18606</v>
      </c>
      <c r="AO632" s="4" t="s">
        <v>379</v>
      </c>
    </row>
    <row r="633" spans="40:41" x14ac:dyDescent="0.1">
      <c r="AN633" s="35">
        <v>18636</v>
      </c>
      <c r="AO633" s="4" t="s">
        <v>113</v>
      </c>
    </row>
    <row r="634" spans="40:41" x14ac:dyDescent="0.1">
      <c r="AN634" s="35">
        <v>18665</v>
      </c>
      <c r="AO634" s="4" t="s">
        <v>100</v>
      </c>
    </row>
    <row r="635" spans="40:41" x14ac:dyDescent="0.1">
      <c r="AN635" s="35">
        <v>18695</v>
      </c>
      <c r="AO635" s="4" t="s">
        <v>104</v>
      </c>
    </row>
    <row r="636" spans="40:41" x14ac:dyDescent="0.1">
      <c r="AN636" s="35">
        <v>18724</v>
      </c>
      <c r="AO636" s="4" t="s">
        <v>105</v>
      </c>
    </row>
    <row r="637" spans="40:41" x14ac:dyDescent="0.1">
      <c r="AN637" s="35">
        <v>18754</v>
      </c>
      <c r="AO637" s="4" t="s">
        <v>106</v>
      </c>
    </row>
    <row r="638" spans="40:41" x14ac:dyDescent="0.1">
      <c r="AN638" s="35">
        <v>18784</v>
      </c>
      <c r="AO638" s="4" t="s">
        <v>107</v>
      </c>
    </row>
    <row r="639" spans="40:41" x14ac:dyDescent="0.1">
      <c r="AN639" s="35">
        <v>18813</v>
      </c>
      <c r="AO639" s="4" t="s">
        <v>108</v>
      </c>
    </row>
    <row r="640" spans="40:41" x14ac:dyDescent="0.1">
      <c r="AN640" s="35">
        <v>18843</v>
      </c>
      <c r="AO640" s="4" t="s">
        <v>109</v>
      </c>
    </row>
    <row r="641" spans="40:41" x14ac:dyDescent="0.1">
      <c r="AN641" s="35">
        <v>18872</v>
      </c>
      <c r="AO641" s="4" t="s">
        <v>110</v>
      </c>
    </row>
    <row r="642" spans="40:41" x14ac:dyDescent="0.1">
      <c r="AN642" s="35">
        <v>18902</v>
      </c>
      <c r="AO642" s="4" t="s">
        <v>111</v>
      </c>
    </row>
    <row r="643" spans="40:41" x14ac:dyDescent="0.1">
      <c r="AN643" s="35">
        <v>18931</v>
      </c>
      <c r="AO643" s="4" t="s">
        <v>112</v>
      </c>
    </row>
    <row r="644" spans="40:41" x14ac:dyDescent="0.1">
      <c r="AN644" s="35">
        <v>18961</v>
      </c>
      <c r="AO644" s="4" t="s">
        <v>379</v>
      </c>
    </row>
    <row r="645" spans="40:41" x14ac:dyDescent="0.1">
      <c r="AN645" s="35">
        <v>18990</v>
      </c>
      <c r="AO645" s="4" t="s">
        <v>113</v>
      </c>
    </row>
    <row r="646" spans="40:41" x14ac:dyDescent="0.1">
      <c r="AN646" s="35">
        <v>19020</v>
      </c>
      <c r="AO646" s="4" t="s">
        <v>100</v>
      </c>
    </row>
    <row r="647" spans="40:41" x14ac:dyDescent="0.1">
      <c r="AN647" s="35">
        <v>19049</v>
      </c>
      <c r="AO647" s="4" t="s">
        <v>104</v>
      </c>
    </row>
    <row r="648" spans="40:41" x14ac:dyDescent="0.1">
      <c r="AN648" s="35">
        <v>19079</v>
      </c>
      <c r="AO648" s="4" t="s">
        <v>105</v>
      </c>
    </row>
    <row r="649" spans="40:41" x14ac:dyDescent="0.1">
      <c r="AN649" s="35">
        <v>19108</v>
      </c>
      <c r="AO649" s="4" t="s">
        <v>106</v>
      </c>
    </row>
    <row r="650" spans="40:41" x14ac:dyDescent="0.1">
      <c r="AN650" s="35">
        <v>19138</v>
      </c>
      <c r="AO650" s="4" t="s">
        <v>107</v>
      </c>
    </row>
    <row r="651" spans="40:41" x14ac:dyDescent="0.1">
      <c r="AN651" s="35">
        <v>19167</v>
      </c>
      <c r="AO651" s="4" t="s">
        <v>142</v>
      </c>
    </row>
    <row r="652" spans="40:41" x14ac:dyDescent="0.1">
      <c r="AN652" s="35">
        <v>19197</v>
      </c>
      <c r="AO652" s="4" t="s">
        <v>108</v>
      </c>
    </row>
    <row r="653" spans="40:41" x14ac:dyDescent="0.1">
      <c r="AN653" s="35">
        <v>19226</v>
      </c>
      <c r="AO653" s="4" t="s">
        <v>109</v>
      </c>
    </row>
    <row r="654" spans="40:41" x14ac:dyDescent="0.1">
      <c r="AN654" s="35">
        <v>19256</v>
      </c>
      <c r="AO654" s="4" t="s">
        <v>110</v>
      </c>
    </row>
    <row r="655" spans="40:41" x14ac:dyDescent="0.1">
      <c r="AN655" s="35">
        <v>19286</v>
      </c>
      <c r="AO655" s="4" t="s">
        <v>111</v>
      </c>
    </row>
    <row r="656" spans="40:41" x14ac:dyDescent="0.1">
      <c r="AN656" s="35">
        <v>19315</v>
      </c>
      <c r="AO656" s="4" t="s">
        <v>112</v>
      </c>
    </row>
    <row r="657" spans="40:41" x14ac:dyDescent="0.1">
      <c r="AN657" s="35">
        <v>19345</v>
      </c>
      <c r="AO657" s="4" t="s">
        <v>379</v>
      </c>
    </row>
    <row r="658" spans="40:41" x14ac:dyDescent="0.1">
      <c r="AN658" s="35">
        <v>19374</v>
      </c>
      <c r="AO658" s="4" t="s">
        <v>113</v>
      </c>
    </row>
    <row r="659" spans="40:41" x14ac:dyDescent="0.1">
      <c r="AN659" s="35">
        <v>19404</v>
      </c>
      <c r="AO659" s="4" t="s">
        <v>100</v>
      </c>
    </row>
    <row r="660" spans="40:41" x14ac:dyDescent="0.1">
      <c r="AN660" s="35">
        <v>19433</v>
      </c>
      <c r="AO660" s="4" t="s">
        <v>104</v>
      </c>
    </row>
    <row r="661" spans="40:41" x14ac:dyDescent="0.1">
      <c r="AN661" s="35">
        <v>19463</v>
      </c>
      <c r="AO661" s="4" t="s">
        <v>105</v>
      </c>
    </row>
    <row r="662" spans="40:41" x14ac:dyDescent="0.1">
      <c r="AN662" s="35">
        <v>19492</v>
      </c>
      <c r="AO662" s="4" t="s">
        <v>106</v>
      </c>
    </row>
    <row r="663" spans="40:41" x14ac:dyDescent="0.1">
      <c r="AN663" s="35">
        <v>19521</v>
      </c>
      <c r="AO663" s="4" t="s">
        <v>107</v>
      </c>
    </row>
    <row r="664" spans="40:41" x14ac:dyDescent="0.1">
      <c r="AN664" s="35">
        <v>19551</v>
      </c>
      <c r="AO664" s="4" t="s">
        <v>108</v>
      </c>
    </row>
    <row r="665" spans="40:41" x14ac:dyDescent="0.1">
      <c r="AN665" s="35">
        <v>19581</v>
      </c>
      <c r="AO665" s="4" t="s">
        <v>109</v>
      </c>
    </row>
    <row r="666" spans="40:41" x14ac:dyDescent="0.1">
      <c r="AN666" s="35">
        <v>19610</v>
      </c>
      <c r="AO666" s="4" t="s">
        <v>110</v>
      </c>
    </row>
    <row r="667" spans="40:41" x14ac:dyDescent="0.1">
      <c r="AN667" s="35">
        <v>19640</v>
      </c>
      <c r="AO667" s="4" t="s">
        <v>111</v>
      </c>
    </row>
    <row r="668" spans="40:41" x14ac:dyDescent="0.1">
      <c r="AN668" s="35">
        <v>19670</v>
      </c>
      <c r="AO668" s="4" t="s">
        <v>112</v>
      </c>
    </row>
    <row r="669" spans="40:41" x14ac:dyDescent="0.1">
      <c r="AN669" s="35">
        <v>19699</v>
      </c>
      <c r="AO669" s="4" t="s">
        <v>379</v>
      </c>
    </row>
    <row r="670" spans="40:41" x14ac:dyDescent="0.1">
      <c r="AN670" s="35">
        <v>19729</v>
      </c>
      <c r="AO670" s="4" t="s">
        <v>113</v>
      </c>
    </row>
    <row r="671" spans="40:41" x14ac:dyDescent="0.1">
      <c r="AN671" s="35">
        <v>19758</v>
      </c>
      <c r="AO671" s="4" t="s">
        <v>100</v>
      </c>
    </row>
    <row r="672" spans="40:41" x14ac:dyDescent="0.1">
      <c r="AN672" s="35">
        <v>19788</v>
      </c>
      <c r="AO672" s="4" t="s">
        <v>113</v>
      </c>
    </row>
    <row r="673" spans="40:41" x14ac:dyDescent="0.1">
      <c r="AN673" s="35">
        <v>19817</v>
      </c>
      <c r="AO673" s="4" t="s">
        <v>105</v>
      </c>
    </row>
    <row r="674" spans="40:41" x14ac:dyDescent="0.1">
      <c r="AN674" s="35">
        <v>19847</v>
      </c>
      <c r="AO674" s="4" t="s">
        <v>106</v>
      </c>
    </row>
    <row r="675" spans="40:41" x14ac:dyDescent="0.1">
      <c r="AN675" s="35">
        <v>19876</v>
      </c>
      <c r="AO675" s="4" t="s">
        <v>107</v>
      </c>
    </row>
    <row r="676" spans="40:41" x14ac:dyDescent="0.1">
      <c r="AN676" s="35">
        <v>19905</v>
      </c>
      <c r="AO676" s="4" t="s">
        <v>108</v>
      </c>
    </row>
    <row r="677" spans="40:41" x14ac:dyDescent="0.1">
      <c r="AN677" s="35">
        <v>19935</v>
      </c>
      <c r="AO677" s="4" t="s">
        <v>109</v>
      </c>
    </row>
    <row r="678" spans="40:41" x14ac:dyDescent="0.1">
      <c r="AN678" s="35">
        <v>19964</v>
      </c>
      <c r="AO678" s="4" t="s">
        <v>110</v>
      </c>
    </row>
    <row r="679" spans="40:41" x14ac:dyDescent="0.1">
      <c r="AN679" s="35">
        <v>19994</v>
      </c>
      <c r="AO679" s="4" t="s">
        <v>111</v>
      </c>
    </row>
    <row r="680" spans="40:41" x14ac:dyDescent="0.1">
      <c r="AN680" s="35">
        <v>20024</v>
      </c>
      <c r="AO680" s="4" t="s">
        <v>112</v>
      </c>
    </row>
    <row r="681" spans="40:41" x14ac:dyDescent="0.1">
      <c r="AN681" s="35">
        <v>20053</v>
      </c>
      <c r="AO681" s="4" t="s">
        <v>379</v>
      </c>
    </row>
    <row r="682" spans="40:41" x14ac:dyDescent="0.1">
      <c r="AN682" s="35">
        <v>20083</v>
      </c>
      <c r="AO682" s="4" t="s">
        <v>113</v>
      </c>
    </row>
    <row r="683" spans="40:41" x14ac:dyDescent="0.1">
      <c r="AN683" s="35">
        <v>20113</v>
      </c>
      <c r="AO683" s="4" t="s">
        <v>100</v>
      </c>
    </row>
    <row r="684" spans="40:41" x14ac:dyDescent="0.1">
      <c r="AN684" s="35">
        <v>20142</v>
      </c>
      <c r="AO684" s="4" t="s">
        <v>104</v>
      </c>
    </row>
    <row r="685" spans="40:41" x14ac:dyDescent="0.1">
      <c r="AN685" s="35">
        <v>20172</v>
      </c>
      <c r="AO685" s="4" t="s">
        <v>105</v>
      </c>
    </row>
    <row r="686" spans="40:41" x14ac:dyDescent="0.1">
      <c r="AN686" s="35">
        <v>20201</v>
      </c>
      <c r="AO686" s="4" t="s">
        <v>147</v>
      </c>
    </row>
    <row r="687" spans="40:41" x14ac:dyDescent="0.1">
      <c r="AN687" s="35">
        <v>20231</v>
      </c>
      <c r="AO687" s="4" t="s">
        <v>106</v>
      </c>
    </row>
    <row r="688" spans="40:41" x14ac:dyDescent="0.1">
      <c r="AN688" s="35">
        <v>20260</v>
      </c>
      <c r="AO688" s="4" t="s">
        <v>107</v>
      </c>
    </row>
    <row r="689" spans="40:41" x14ac:dyDescent="0.1">
      <c r="AN689" s="35">
        <v>20289</v>
      </c>
      <c r="AO689" s="4" t="s">
        <v>108</v>
      </c>
    </row>
    <row r="690" spans="40:41" x14ac:dyDescent="0.1">
      <c r="AN690" s="35">
        <v>20319</v>
      </c>
      <c r="AO690" s="4" t="s">
        <v>109</v>
      </c>
    </row>
    <row r="691" spans="40:41" x14ac:dyDescent="0.1">
      <c r="AN691" s="35">
        <v>20348</v>
      </c>
      <c r="AO691" s="4" t="s">
        <v>110</v>
      </c>
    </row>
    <row r="692" spans="40:41" x14ac:dyDescent="0.1">
      <c r="AN692" s="35">
        <v>20378</v>
      </c>
      <c r="AO692" s="4" t="s">
        <v>111</v>
      </c>
    </row>
    <row r="693" spans="40:41" x14ac:dyDescent="0.1">
      <c r="AN693" s="35">
        <v>20407</v>
      </c>
      <c r="AO693" s="4" t="s">
        <v>112</v>
      </c>
    </row>
    <row r="694" spans="40:41" x14ac:dyDescent="0.1">
      <c r="AN694" s="35">
        <v>20437</v>
      </c>
      <c r="AO694" s="4" t="s">
        <v>379</v>
      </c>
    </row>
    <row r="695" spans="40:41" x14ac:dyDescent="0.1">
      <c r="AN695" s="35">
        <v>20467</v>
      </c>
      <c r="AO695" s="4" t="s">
        <v>113</v>
      </c>
    </row>
    <row r="696" spans="40:41" x14ac:dyDescent="0.1">
      <c r="AN696" s="35">
        <v>20497</v>
      </c>
      <c r="AO696" s="4" t="s">
        <v>100</v>
      </c>
    </row>
    <row r="697" spans="40:41" x14ac:dyDescent="0.1">
      <c r="AN697" s="35">
        <v>20526</v>
      </c>
      <c r="AO697" s="4" t="s">
        <v>104</v>
      </c>
    </row>
    <row r="698" spans="40:41" x14ac:dyDescent="0.1">
      <c r="AN698" s="35">
        <v>20556</v>
      </c>
      <c r="AO698" s="4" t="s">
        <v>105</v>
      </c>
    </row>
    <row r="699" spans="40:41" x14ac:dyDescent="0.1">
      <c r="AN699" s="35">
        <v>20585</v>
      </c>
      <c r="AO699" s="4" t="s">
        <v>106</v>
      </c>
    </row>
    <row r="700" spans="40:41" x14ac:dyDescent="0.1">
      <c r="AN700" s="35">
        <v>20615</v>
      </c>
      <c r="AO700" s="4" t="s">
        <v>107</v>
      </c>
    </row>
    <row r="701" spans="40:41" x14ac:dyDescent="0.1">
      <c r="AN701" s="35">
        <v>20644</v>
      </c>
      <c r="AO701" s="4" t="s">
        <v>108</v>
      </c>
    </row>
    <row r="702" spans="40:41" x14ac:dyDescent="0.1">
      <c r="AN702" s="35">
        <v>20673</v>
      </c>
      <c r="AO702" s="4" t="s">
        <v>109</v>
      </c>
    </row>
    <row r="703" spans="40:41" x14ac:dyDescent="0.1">
      <c r="AN703" s="35">
        <v>20703</v>
      </c>
      <c r="AO703" s="4" t="s">
        <v>110</v>
      </c>
    </row>
    <row r="704" spans="40:41" x14ac:dyDescent="0.1">
      <c r="AN704" s="35">
        <v>20732</v>
      </c>
      <c r="AO704" s="4" t="s">
        <v>111</v>
      </c>
    </row>
    <row r="705" spans="40:41" x14ac:dyDescent="0.1">
      <c r="AN705" s="35">
        <v>20762</v>
      </c>
      <c r="AO705" s="4" t="s">
        <v>112</v>
      </c>
    </row>
    <row r="706" spans="40:41" x14ac:dyDescent="0.1">
      <c r="AN706" s="35">
        <v>20791</v>
      </c>
      <c r="AO706" s="4" t="s">
        <v>379</v>
      </c>
    </row>
    <row r="707" spans="40:41" x14ac:dyDescent="0.1">
      <c r="AN707" s="35">
        <v>20821</v>
      </c>
      <c r="AO707" s="4" t="s">
        <v>113</v>
      </c>
    </row>
    <row r="708" spans="40:41" x14ac:dyDescent="0.1">
      <c r="AN708" s="35">
        <v>20851</v>
      </c>
      <c r="AO708" s="4" t="s">
        <v>100</v>
      </c>
    </row>
    <row r="709" spans="40:41" x14ac:dyDescent="0.1">
      <c r="AN709" s="35">
        <v>20881</v>
      </c>
      <c r="AO709" s="4" t="s">
        <v>104</v>
      </c>
    </row>
    <row r="710" spans="40:41" x14ac:dyDescent="0.1">
      <c r="AN710" s="35">
        <v>20910</v>
      </c>
      <c r="AO710" s="4" t="s">
        <v>105</v>
      </c>
    </row>
    <row r="711" spans="40:41" x14ac:dyDescent="0.1">
      <c r="AN711" s="35">
        <v>20940</v>
      </c>
      <c r="AO711" s="4" t="s">
        <v>106</v>
      </c>
    </row>
    <row r="712" spans="40:41" x14ac:dyDescent="0.1">
      <c r="AN712" s="35">
        <v>20969</v>
      </c>
      <c r="AO712" s="4" t="s">
        <v>107</v>
      </c>
    </row>
    <row r="713" spans="40:41" x14ac:dyDescent="0.1">
      <c r="AN713" s="35">
        <v>20999</v>
      </c>
      <c r="AO713" s="4" t="s">
        <v>108</v>
      </c>
    </row>
    <row r="714" spans="40:41" x14ac:dyDescent="0.1">
      <c r="AN714" s="35">
        <v>21028</v>
      </c>
      <c r="AO714" s="4" t="s">
        <v>109</v>
      </c>
    </row>
    <row r="715" spans="40:41" x14ac:dyDescent="0.1">
      <c r="AN715" s="35">
        <v>21057</v>
      </c>
      <c r="AO715" s="4" t="s">
        <v>110</v>
      </c>
    </row>
    <row r="716" spans="40:41" x14ac:dyDescent="0.1">
      <c r="AN716" s="35">
        <v>21087</v>
      </c>
      <c r="AO716" s="4" t="s">
        <v>141</v>
      </c>
    </row>
    <row r="717" spans="40:41" x14ac:dyDescent="0.1">
      <c r="AN717" s="35">
        <v>21116</v>
      </c>
      <c r="AO717" s="4" t="s">
        <v>111</v>
      </c>
    </row>
    <row r="718" spans="40:41" x14ac:dyDescent="0.1">
      <c r="AN718" s="35">
        <v>21146</v>
      </c>
      <c r="AO718" s="4" t="s">
        <v>112</v>
      </c>
    </row>
    <row r="719" spans="40:41" x14ac:dyDescent="0.1">
      <c r="AN719" s="35">
        <v>21175</v>
      </c>
      <c r="AO719" s="4" t="s">
        <v>379</v>
      </c>
    </row>
    <row r="720" spans="40:41" x14ac:dyDescent="0.1">
      <c r="AN720" s="35">
        <v>21205</v>
      </c>
      <c r="AO720" s="4" t="s">
        <v>113</v>
      </c>
    </row>
    <row r="721" spans="40:41" x14ac:dyDescent="0.1">
      <c r="AN721" s="35">
        <v>21234</v>
      </c>
      <c r="AO721" s="4" t="s">
        <v>100</v>
      </c>
    </row>
    <row r="722" spans="40:41" x14ac:dyDescent="0.1">
      <c r="AN722" s="35">
        <v>21264</v>
      </c>
      <c r="AO722" s="4" t="s">
        <v>104</v>
      </c>
    </row>
    <row r="723" spans="40:41" x14ac:dyDescent="0.1">
      <c r="AN723" s="35">
        <v>21294</v>
      </c>
      <c r="AO723" s="4" t="s">
        <v>105</v>
      </c>
    </row>
    <row r="724" spans="40:41" x14ac:dyDescent="0.1">
      <c r="AN724" s="35">
        <v>21324</v>
      </c>
      <c r="AO724" s="4" t="s">
        <v>106</v>
      </c>
    </row>
    <row r="725" spans="40:41" x14ac:dyDescent="0.1">
      <c r="AN725" s="35">
        <v>21353</v>
      </c>
      <c r="AO725" s="4" t="s">
        <v>107</v>
      </c>
    </row>
    <row r="726" spans="40:41" x14ac:dyDescent="0.1">
      <c r="AN726" s="35">
        <v>21383</v>
      </c>
      <c r="AO726" s="4" t="s">
        <v>108</v>
      </c>
    </row>
    <row r="727" spans="40:41" x14ac:dyDescent="0.1">
      <c r="AN727" s="35">
        <v>21412</v>
      </c>
      <c r="AO727" s="4" t="s">
        <v>109</v>
      </c>
    </row>
    <row r="728" spans="40:41" x14ac:dyDescent="0.1">
      <c r="AN728" s="35">
        <v>21441</v>
      </c>
      <c r="AO728" s="4" t="s">
        <v>110</v>
      </c>
    </row>
    <row r="729" spans="40:41" x14ac:dyDescent="0.1">
      <c r="AN729" s="35">
        <v>21471</v>
      </c>
      <c r="AO729" s="4" t="s">
        <v>111</v>
      </c>
    </row>
    <row r="730" spans="40:41" x14ac:dyDescent="0.1">
      <c r="AN730" s="35">
        <v>21500</v>
      </c>
      <c r="AO730" s="4" t="s">
        <v>112</v>
      </c>
    </row>
    <row r="731" spans="40:41" x14ac:dyDescent="0.1">
      <c r="AN731" s="35">
        <v>21530</v>
      </c>
      <c r="AO731" s="4" t="s">
        <v>379</v>
      </c>
    </row>
    <row r="732" spans="40:41" x14ac:dyDescent="0.1">
      <c r="AN732" s="35">
        <v>21559</v>
      </c>
      <c r="AO732" s="4" t="s">
        <v>113</v>
      </c>
    </row>
    <row r="733" spans="40:41" x14ac:dyDescent="0.1">
      <c r="AN733" s="35">
        <v>21589</v>
      </c>
      <c r="AO733" s="4" t="s">
        <v>100</v>
      </c>
    </row>
    <row r="734" spans="40:41" x14ac:dyDescent="0.1">
      <c r="AN734" s="35">
        <v>21618</v>
      </c>
      <c r="AO734" s="4" t="s">
        <v>104</v>
      </c>
    </row>
    <row r="735" spans="40:41" x14ac:dyDescent="0.1">
      <c r="AN735" s="35">
        <v>21648</v>
      </c>
      <c r="AO735" s="4" t="s">
        <v>105</v>
      </c>
    </row>
    <row r="736" spans="40:41" x14ac:dyDescent="0.1">
      <c r="AN736" s="35">
        <v>21678</v>
      </c>
      <c r="AO736" s="4" t="s">
        <v>106</v>
      </c>
    </row>
    <row r="737" spans="40:41" x14ac:dyDescent="0.1">
      <c r="AN737" s="35">
        <v>21707</v>
      </c>
      <c r="AO737" s="4" t="s">
        <v>107</v>
      </c>
    </row>
    <row r="738" spans="40:41" x14ac:dyDescent="0.1">
      <c r="AN738" s="35">
        <v>21737</v>
      </c>
      <c r="AO738" s="4" t="s">
        <v>108</v>
      </c>
    </row>
    <row r="739" spans="40:41" x14ac:dyDescent="0.1">
      <c r="AN739" s="35">
        <v>21766</v>
      </c>
      <c r="AO739" s="4" t="s">
        <v>109</v>
      </c>
    </row>
    <row r="740" spans="40:41" x14ac:dyDescent="0.1">
      <c r="AN740" s="35">
        <v>21796</v>
      </c>
      <c r="AO740" s="4" t="s">
        <v>110</v>
      </c>
    </row>
    <row r="741" spans="40:41" x14ac:dyDescent="0.1">
      <c r="AN741" s="35">
        <v>21825</v>
      </c>
      <c r="AO741" s="4" t="s">
        <v>111</v>
      </c>
    </row>
    <row r="742" spans="40:41" x14ac:dyDescent="0.1">
      <c r="AN742" s="35">
        <v>21855</v>
      </c>
      <c r="AO742" s="4" t="s">
        <v>112</v>
      </c>
    </row>
    <row r="743" spans="40:41" x14ac:dyDescent="0.1">
      <c r="AN743" s="35">
        <v>21884</v>
      </c>
      <c r="AO743" s="4" t="s">
        <v>379</v>
      </c>
    </row>
    <row r="744" spans="40:41" x14ac:dyDescent="0.1">
      <c r="AN744" s="35">
        <v>21914</v>
      </c>
      <c r="AO744" s="4" t="s">
        <v>113</v>
      </c>
    </row>
    <row r="745" spans="40:41" x14ac:dyDescent="0.1">
      <c r="AN745" s="35">
        <v>21943</v>
      </c>
      <c r="AO745" s="4" t="s">
        <v>100</v>
      </c>
    </row>
    <row r="746" spans="40:41" x14ac:dyDescent="0.1">
      <c r="AN746" s="35">
        <v>21973</v>
      </c>
      <c r="AO746" s="4" t="s">
        <v>104</v>
      </c>
    </row>
    <row r="747" spans="40:41" x14ac:dyDescent="0.1">
      <c r="AN747" s="35">
        <v>22002</v>
      </c>
      <c r="AO747" s="4" t="s">
        <v>105</v>
      </c>
    </row>
    <row r="748" spans="40:41" x14ac:dyDescent="0.1">
      <c r="AN748" s="35">
        <v>22032</v>
      </c>
      <c r="AO748" s="4" t="s">
        <v>106</v>
      </c>
    </row>
    <row r="749" spans="40:41" x14ac:dyDescent="0.1">
      <c r="AN749" s="35">
        <v>22061</v>
      </c>
      <c r="AO749" s="4" t="s">
        <v>107</v>
      </c>
    </row>
    <row r="750" spans="40:41" x14ac:dyDescent="0.1">
      <c r="AN750" s="35">
        <v>22091</v>
      </c>
      <c r="AO750" s="4" t="s">
        <v>108</v>
      </c>
    </row>
    <row r="751" spans="40:41" x14ac:dyDescent="0.1">
      <c r="AN751" s="35">
        <v>22121</v>
      </c>
      <c r="AO751" s="4" t="s">
        <v>145</v>
      </c>
    </row>
    <row r="752" spans="40:41" x14ac:dyDescent="0.1">
      <c r="AN752" s="35">
        <v>22150</v>
      </c>
      <c r="AO752" s="4" t="s">
        <v>109</v>
      </c>
    </row>
    <row r="753" spans="40:41" x14ac:dyDescent="0.1">
      <c r="AN753" s="35">
        <v>22180</v>
      </c>
      <c r="AO753" s="4" t="s">
        <v>110</v>
      </c>
    </row>
    <row r="754" spans="40:41" x14ac:dyDescent="0.1">
      <c r="AN754" s="35">
        <v>22209</v>
      </c>
      <c r="AO754" s="4" t="s">
        <v>111</v>
      </c>
    </row>
    <row r="755" spans="40:41" x14ac:dyDescent="0.1">
      <c r="AN755" s="35">
        <v>22239</v>
      </c>
      <c r="AO755" s="4" t="s">
        <v>112</v>
      </c>
    </row>
    <row r="756" spans="40:41" x14ac:dyDescent="0.1">
      <c r="AN756" s="35">
        <v>22268</v>
      </c>
      <c r="AO756" s="4" t="s">
        <v>379</v>
      </c>
    </row>
    <row r="757" spans="40:41" x14ac:dyDescent="0.1">
      <c r="AN757" s="35">
        <v>22298</v>
      </c>
      <c r="AO757" s="4" t="s">
        <v>113</v>
      </c>
    </row>
    <row r="758" spans="40:41" x14ac:dyDescent="0.1">
      <c r="AN758" s="35">
        <v>22327</v>
      </c>
      <c r="AO758" s="4" t="s">
        <v>100</v>
      </c>
    </row>
    <row r="759" spans="40:41" x14ac:dyDescent="0.1">
      <c r="AN759" s="35">
        <v>22357</v>
      </c>
      <c r="AO759" s="4" t="s">
        <v>104</v>
      </c>
    </row>
    <row r="760" spans="40:41" x14ac:dyDescent="0.1">
      <c r="AN760" s="35">
        <v>22386</v>
      </c>
      <c r="AO760" s="4" t="s">
        <v>105</v>
      </c>
    </row>
    <row r="761" spans="40:41" x14ac:dyDescent="0.1">
      <c r="AN761" s="35">
        <v>22416</v>
      </c>
      <c r="AO761" s="4" t="s">
        <v>106</v>
      </c>
    </row>
    <row r="762" spans="40:41" x14ac:dyDescent="0.1">
      <c r="AN762" s="35">
        <v>22445</v>
      </c>
      <c r="AO762" s="4" t="s">
        <v>107</v>
      </c>
    </row>
    <row r="763" spans="40:41" x14ac:dyDescent="0.1">
      <c r="AN763" s="35">
        <v>22475</v>
      </c>
      <c r="AO763" s="4" t="s">
        <v>108</v>
      </c>
    </row>
    <row r="764" spans="40:41" x14ac:dyDescent="0.1">
      <c r="AN764" s="35">
        <v>22504</v>
      </c>
      <c r="AO764" s="4" t="s">
        <v>109</v>
      </c>
    </row>
    <row r="765" spans="40:41" x14ac:dyDescent="0.1">
      <c r="AN765" s="35">
        <v>22534</v>
      </c>
      <c r="AO765" s="4" t="s">
        <v>110</v>
      </c>
    </row>
    <row r="766" spans="40:41" x14ac:dyDescent="0.1">
      <c r="AN766" s="35">
        <v>22564</v>
      </c>
      <c r="AO766" s="4" t="s">
        <v>111</v>
      </c>
    </row>
    <row r="767" spans="40:41" x14ac:dyDescent="0.1">
      <c r="AN767" s="35">
        <v>22593</v>
      </c>
      <c r="AO767" s="4" t="s">
        <v>112</v>
      </c>
    </row>
    <row r="768" spans="40:41" x14ac:dyDescent="0.1">
      <c r="AN768" s="35">
        <v>22623</v>
      </c>
      <c r="AO768" s="4" t="s">
        <v>379</v>
      </c>
    </row>
    <row r="769" spans="40:41" x14ac:dyDescent="0.1">
      <c r="AN769" s="35">
        <v>22652</v>
      </c>
      <c r="AO769" s="4" t="s">
        <v>113</v>
      </c>
    </row>
    <row r="770" spans="40:41" x14ac:dyDescent="0.1">
      <c r="AN770" s="35">
        <v>22682</v>
      </c>
      <c r="AO770" s="4" t="s">
        <v>100</v>
      </c>
    </row>
    <row r="771" spans="40:41" x14ac:dyDescent="0.1">
      <c r="AN771" s="35">
        <v>22711</v>
      </c>
      <c r="AO771" s="4" t="s">
        <v>104</v>
      </c>
    </row>
    <row r="772" spans="40:41" x14ac:dyDescent="0.1">
      <c r="AN772" s="35">
        <v>22741</v>
      </c>
      <c r="AO772" s="4" t="s">
        <v>105</v>
      </c>
    </row>
    <row r="773" spans="40:41" x14ac:dyDescent="0.1">
      <c r="AN773" s="35">
        <v>22770</v>
      </c>
      <c r="AO773" s="4" t="s">
        <v>106</v>
      </c>
    </row>
    <row r="774" spans="40:41" x14ac:dyDescent="0.1">
      <c r="AN774" s="35">
        <v>22799</v>
      </c>
      <c r="AO774" s="4" t="s">
        <v>107</v>
      </c>
    </row>
    <row r="775" spans="40:41" x14ac:dyDescent="0.1">
      <c r="AN775" s="35">
        <v>22829</v>
      </c>
      <c r="AO775" s="4" t="s">
        <v>108</v>
      </c>
    </row>
    <row r="776" spans="40:41" x14ac:dyDescent="0.1">
      <c r="AN776" s="35">
        <v>22858</v>
      </c>
      <c r="AO776" s="4" t="s">
        <v>109</v>
      </c>
    </row>
    <row r="777" spans="40:41" x14ac:dyDescent="0.1">
      <c r="AN777" s="35">
        <v>22888</v>
      </c>
      <c r="AO777" s="4" t="s">
        <v>110</v>
      </c>
    </row>
    <row r="778" spans="40:41" x14ac:dyDescent="0.1">
      <c r="AN778" s="35">
        <v>22918</v>
      </c>
      <c r="AO778" s="4" t="s">
        <v>111</v>
      </c>
    </row>
    <row r="779" spans="40:41" x14ac:dyDescent="0.1">
      <c r="AN779" s="35">
        <v>22947</v>
      </c>
      <c r="AO779" s="4" t="s">
        <v>112</v>
      </c>
    </row>
    <row r="780" spans="40:41" x14ac:dyDescent="0.1">
      <c r="AN780" s="35">
        <v>22977</v>
      </c>
      <c r="AO780" s="4" t="s">
        <v>379</v>
      </c>
    </row>
    <row r="781" spans="40:41" x14ac:dyDescent="0.1">
      <c r="AN781" s="35">
        <v>23007</v>
      </c>
      <c r="AO781" s="4" t="s">
        <v>113</v>
      </c>
    </row>
    <row r="782" spans="40:41" x14ac:dyDescent="0.1">
      <c r="AN782" s="35">
        <v>23036</v>
      </c>
      <c r="AO782" s="4" t="s">
        <v>100</v>
      </c>
    </row>
    <row r="783" spans="40:41" x14ac:dyDescent="0.1">
      <c r="AN783" s="35">
        <v>23066</v>
      </c>
      <c r="AO783" s="4" t="s">
        <v>104</v>
      </c>
    </row>
    <row r="784" spans="40:41" x14ac:dyDescent="0.1">
      <c r="AN784" s="35">
        <v>23095</v>
      </c>
      <c r="AO784" s="4" t="s">
        <v>105</v>
      </c>
    </row>
    <row r="785" spans="40:41" x14ac:dyDescent="0.1">
      <c r="AN785" s="35">
        <v>23125</v>
      </c>
      <c r="AO785" s="4" t="s">
        <v>106</v>
      </c>
    </row>
    <row r="786" spans="40:41" x14ac:dyDescent="0.1">
      <c r="AN786" s="35">
        <v>23154</v>
      </c>
      <c r="AO786" s="4" t="s">
        <v>143</v>
      </c>
    </row>
    <row r="787" spans="40:41" x14ac:dyDescent="0.1">
      <c r="AN787" s="35">
        <v>23183</v>
      </c>
      <c r="AO787" s="4" t="s">
        <v>107</v>
      </c>
    </row>
    <row r="788" spans="40:41" x14ac:dyDescent="0.1">
      <c r="AN788" s="35">
        <v>23213</v>
      </c>
      <c r="AO788" s="4" t="s">
        <v>108</v>
      </c>
    </row>
    <row r="789" spans="40:41" x14ac:dyDescent="0.1">
      <c r="AN789" s="35">
        <v>23242</v>
      </c>
      <c r="AO789" s="4" t="s">
        <v>109</v>
      </c>
    </row>
    <row r="790" spans="40:41" x14ac:dyDescent="0.1">
      <c r="AN790" s="35">
        <v>23272</v>
      </c>
      <c r="AO790" s="4" t="s">
        <v>110</v>
      </c>
    </row>
    <row r="791" spans="40:41" x14ac:dyDescent="0.1">
      <c r="AN791" s="35">
        <v>23301</v>
      </c>
      <c r="AO791" s="4" t="s">
        <v>111</v>
      </c>
    </row>
    <row r="792" spans="40:41" x14ac:dyDescent="0.1">
      <c r="AN792" s="35">
        <v>23331</v>
      </c>
      <c r="AO792" s="4" t="s">
        <v>112</v>
      </c>
    </row>
    <row r="793" spans="40:41" x14ac:dyDescent="0.1">
      <c r="AN793" s="35">
        <v>23361</v>
      </c>
      <c r="AO793" s="4" t="s">
        <v>379</v>
      </c>
    </row>
    <row r="794" spans="40:41" x14ac:dyDescent="0.1">
      <c r="AN794" s="35">
        <v>23391</v>
      </c>
      <c r="AO794" s="4" t="s">
        <v>113</v>
      </c>
    </row>
    <row r="795" spans="40:41" x14ac:dyDescent="0.1">
      <c r="AN795" s="35">
        <v>23420</v>
      </c>
      <c r="AO795" s="4" t="s">
        <v>100</v>
      </c>
    </row>
    <row r="796" spans="40:41" x14ac:dyDescent="0.1">
      <c r="AN796" s="35">
        <v>23450</v>
      </c>
      <c r="AO796" s="4" t="s">
        <v>104</v>
      </c>
    </row>
    <row r="797" spans="40:41" x14ac:dyDescent="0.1">
      <c r="AN797" s="35">
        <v>23479</v>
      </c>
      <c r="AO797" s="4" t="s">
        <v>105</v>
      </c>
    </row>
    <row r="798" spans="40:41" x14ac:dyDescent="0.1">
      <c r="AN798" s="35">
        <v>23509</v>
      </c>
      <c r="AO798" s="4" t="s">
        <v>106</v>
      </c>
    </row>
    <row r="799" spans="40:41" x14ac:dyDescent="0.1">
      <c r="AN799" s="35">
        <v>23538</v>
      </c>
      <c r="AO799" s="4" t="s">
        <v>107</v>
      </c>
    </row>
    <row r="800" spans="40:41" x14ac:dyDescent="0.1">
      <c r="AN800" s="35">
        <v>23567</v>
      </c>
      <c r="AO800" s="4" t="s">
        <v>108</v>
      </c>
    </row>
    <row r="801" spans="40:41" x14ac:dyDescent="0.1">
      <c r="AN801" s="35">
        <v>23597</v>
      </c>
      <c r="AO801" s="4" t="s">
        <v>109</v>
      </c>
    </row>
    <row r="802" spans="40:41" x14ac:dyDescent="0.1">
      <c r="AN802" s="35">
        <v>23626</v>
      </c>
      <c r="AO802" s="4" t="s">
        <v>110</v>
      </c>
    </row>
    <row r="803" spans="40:41" x14ac:dyDescent="0.1">
      <c r="AN803" s="35">
        <v>23656</v>
      </c>
      <c r="AO803" s="4" t="s">
        <v>111</v>
      </c>
    </row>
    <row r="804" spans="40:41" x14ac:dyDescent="0.1">
      <c r="AN804" s="35">
        <v>23685</v>
      </c>
      <c r="AO804" s="4" t="s">
        <v>112</v>
      </c>
    </row>
    <row r="805" spans="40:41" x14ac:dyDescent="0.1">
      <c r="AN805" s="35">
        <v>23715</v>
      </c>
      <c r="AO805" s="4" t="s">
        <v>379</v>
      </c>
    </row>
    <row r="806" spans="40:41" x14ac:dyDescent="0.1">
      <c r="AN806" s="35">
        <v>23745</v>
      </c>
      <c r="AO806" s="4" t="s">
        <v>113</v>
      </c>
    </row>
    <row r="807" spans="40:41" x14ac:dyDescent="0.1">
      <c r="AN807" s="35">
        <v>23775</v>
      </c>
      <c r="AO807" s="4" t="s">
        <v>100</v>
      </c>
    </row>
    <row r="808" spans="40:41" x14ac:dyDescent="0.1">
      <c r="AN808" s="35">
        <v>23804</v>
      </c>
      <c r="AO808" s="4" t="s">
        <v>104</v>
      </c>
    </row>
    <row r="809" spans="40:41" x14ac:dyDescent="0.1">
      <c r="AN809" s="35">
        <v>23834</v>
      </c>
      <c r="AO809" s="4" t="s">
        <v>105</v>
      </c>
    </row>
    <row r="810" spans="40:41" x14ac:dyDescent="0.1">
      <c r="AN810" s="35">
        <v>23863</v>
      </c>
      <c r="AO810" s="4" t="s">
        <v>106</v>
      </c>
    </row>
    <row r="811" spans="40:41" x14ac:dyDescent="0.1">
      <c r="AN811" s="35">
        <v>23893</v>
      </c>
      <c r="AO811" s="4" t="s">
        <v>107</v>
      </c>
    </row>
    <row r="812" spans="40:41" x14ac:dyDescent="0.1">
      <c r="AN812" s="35">
        <v>23922</v>
      </c>
      <c r="AO812" s="4" t="s">
        <v>108</v>
      </c>
    </row>
    <row r="813" spans="40:41" x14ac:dyDescent="0.1">
      <c r="AN813" s="35">
        <v>23951</v>
      </c>
      <c r="AO813" s="4" t="s">
        <v>109</v>
      </c>
    </row>
    <row r="814" spans="40:41" x14ac:dyDescent="0.1">
      <c r="AN814" s="35">
        <v>23981</v>
      </c>
      <c r="AO814" s="4" t="s">
        <v>110</v>
      </c>
    </row>
    <row r="815" spans="40:41" x14ac:dyDescent="0.1">
      <c r="AN815" s="35">
        <v>24010</v>
      </c>
      <c r="AO815" s="4" t="s">
        <v>111</v>
      </c>
    </row>
    <row r="816" spans="40:41" x14ac:dyDescent="0.1">
      <c r="AN816" s="35">
        <v>24039</v>
      </c>
      <c r="AO816" s="4" t="s">
        <v>112</v>
      </c>
    </row>
    <row r="817" spans="40:41" x14ac:dyDescent="0.1">
      <c r="AN817" s="35">
        <v>24069</v>
      </c>
      <c r="AO817" s="4" t="s">
        <v>379</v>
      </c>
    </row>
    <row r="818" spans="40:41" x14ac:dyDescent="0.1">
      <c r="AN818" s="35">
        <v>24099</v>
      </c>
      <c r="AO818" s="4" t="s">
        <v>113</v>
      </c>
    </row>
    <row r="819" spans="40:41" x14ac:dyDescent="0.1">
      <c r="AN819" s="35">
        <v>24128</v>
      </c>
      <c r="AO819" s="4" t="s">
        <v>100</v>
      </c>
    </row>
    <row r="820" spans="40:41" x14ac:dyDescent="0.1">
      <c r="AN820" s="35">
        <v>24158</v>
      </c>
      <c r="AO820" s="4" t="s">
        <v>104</v>
      </c>
    </row>
    <row r="821" spans="40:41" x14ac:dyDescent="0.1">
      <c r="AN821" s="35">
        <v>24188</v>
      </c>
      <c r="AO821" s="4" t="s">
        <v>105</v>
      </c>
    </row>
    <row r="822" spans="40:41" x14ac:dyDescent="0.1">
      <c r="AN822" s="35">
        <v>24218</v>
      </c>
      <c r="AO822" s="4" t="s">
        <v>147</v>
      </c>
    </row>
    <row r="823" spans="40:41" x14ac:dyDescent="0.1">
      <c r="AN823" s="35">
        <v>24247</v>
      </c>
      <c r="AO823" s="4" t="s">
        <v>106</v>
      </c>
    </row>
    <row r="824" spans="40:41" x14ac:dyDescent="0.1">
      <c r="AN824" s="35">
        <v>24277</v>
      </c>
      <c r="AO824" s="4" t="s">
        <v>107</v>
      </c>
    </row>
    <row r="825" spans="40:41" x14ac:dyDescent="0.1">
      <c r="AN825" s="35">
        <v>24306</v>
      </c>
      <c r="AO825" s="4" t="s">
        <v>108</v>
      </c>
    </row>
    <row r="826" spans="40:41" x14ac:dyDescent="0.1">
      <c r="AN826" s="35">
        <v>24335</v>
      </c>
      <c r="AO826" s="4" t="s">
        <v>109</v>
      </c>
    </row>
    <row r="827" spans="40:41" x14ac:dyDescent="0.1">
      <c r="AN827" s="35">
        <v>24365</v>
      </c>
      <c r="AO827" s="4" t="s">
        <v>110</v>
      </c>
    </row>
    <row r="828" spans="40:41" x14ac:dyDescent="0.1">
      <c r="AN828" s="35">
        <v>24394</v>
      </c>
      <c r="AO828" s="4" t="s">
        <v>111</v>
      </c>
    </row>
    <row r="829" spans="40:41" x14ac:dyDescent="0.1">
      <c r="AN829" s="35">
        <v>24423</v>
      </c>
      <c r="AO829" s="4" t="s">
        <v>112</v>
      </c>
    </row>
    <row r="830" spans="40:41" x14ac:dyDescent="0.1">
      <c r="AN830" s="35">
        <v>24453</v>
      </c>
      <c r="AO830" s="4" t="s">
        <v>379</v>
      </c>
    </row>
    <row r="831" spans="40:41" x14ac:dyDescent="0.1">
      <c r="AN831" s="35">
        <v>24483</v>
      </c>
      <c r="AO831" s="4" t="s">
        <v>113</v>
      </c>
    </row>
    <row r="832" spans="40:41" x14ac:dyDescent="0.1">
      <c r="AN832" s="35">
        <v>24512</v>
      </c>
      <c r="AO832" s="4" t="s">
        <v>100</v>
      </c>
    </row>
    <row r="833" spans="40:41" x14ac:dyDescent="0.1">
      <c r="AN833" s="35">
        <v>24542</v>
      </c>
      <c r="AO833" s="4" t="s">
        <v>104</v>
      </c>
    </row>
    <row r="834" spans="40:41" x14ac:dyDescent="0.1">
      <c r="AN834" s="35">
        <v>24572</v>
      </c>
      <c r="AO834" s="4" t="s">
        <v>105</v>
      </c>
    </row>
    <row r="835" spans="40:41" x14ac:dyDescent="0.1">
      <c r="AN835" s="35">
        <v>24601</v>
      </c>
      <c r="AO835" s="4" t="s">
        <v>106</v>
      </c>
    </row>
    <row r="836" spans="40:41" x14ac:dyDescent="0.1">
      <c r="AN836" s="35">
        <v>24631</v>
      </c>
      <c r="AO836" s="4" t="s">
        <v>107</v>
      </c>
    </row>
    <row r="837" spans="40:41" x14ac:dyDescent="0.1">
      <c r="AN837" s="35">
        <v>24661</v>
      </c>
      <c r="AO837" s="4" t="s">
        <v>108</v>
      </c>
    </row>
    <row r="838" spans="40:41" x14ac:dyDescent="0.1">
      <c r="AN838" s="35">
        <v>24690</v>
      </c>
      <c r="AO838" s="4" t="s">
        <v>109</v>
      </c>
    </row>
    <row r="839" spans="40:41" x14ac:dyDescent="0.1">
      <c r="AN839" s="35">
        <v>24719</v>
      </c>
      <c r="AO839" s="4" t="s">
        <v>110</v>
      </c>
    </row>
    <row r="840" spans="40:41" x14ac:dyDescent="0.1">
      <c r="AN840" s="35">
        <v>24749</v>
      </c>
      <c r="AO840" s="4" t="s">
        <v>111</v>
      </c>
    </row>
    <row r="841" spans="40:41" x14ac:dyDescent="0.1">
      <c r="AN841" s="35">
        <v>24778</v>
      </c>
      <c r="AO841" s="4" t="s">
        <v>112</v>
      </c>
    </row>
    <row r="842" spans="40:41" x14ac:dyDescent="0.1">
      <c r="AN842" s="35">
        <v>24808</v>
      </c>
      <c r="AO842" s="4" t="s">
        <v>379</v>
      </c>
    </row>
    <row r="843" spans="40:41" x14ac:dyDescent="0.1">
      <c r="AN843" s="35">
        <v>24837</v>
      </c>
      <c r="AO843" s="4" t="s">
        <v>113</v>
      </c>
    </row>
    <row r="844" spans="40:41" x14ac:dyDescent="0.1">
      <c r="AN844" s="35">
        <v>24867</v>
      </c>
      <c r="AO844" s="4" t="s">
        <v>100</v>
      </c>
    </row>
    <row r="845" spans="40:41" x14ac:dyDescent="0.1">
      <c r="AN845" s="35">
        <v>24896</v>
      </c>
      <c r="AO845" s="4" t="s">
        <v>104</v>
      </c>
    </row>
    <row r="846" spans="40:41" x14ac:dyDescent="0.1">
      <c r="AN846" s="35">
        <v>24926</v>
      </c>
      <c r="AO846" s="4" t="s">
        <v>105</v>
      </c>
    </row>
    <row r="847" spans="40:41" x14ac:dyDescent="0.1">
      <c r="AN847" s="35">
        <v>24955</v>
      </c>
      <c r="AO847" s="4" t="s">
        <v>106</v>
      </c>
    </row>
    <row r="848" spans="40:41" x14ac:dyDescent="0.1">
      <c r="AN848" s="35">
        <v>24985</v>
      </c>
      <c r="AO848" s="4" t="s">
        <v>107</v>
      </c>
    </row>
    <row r="849" spans="40:41" x14ac:dyDescent="0.1">
      <c r="AN849" s="35">
        <v>25015</v>
      </c>
      <c r="AO849" s="4" t="s">
        <v>108</v>
      </c>
    </row>
    <row r="850" spans="40:41" x14ac:dyDescent="0.1">
      <c r="AN850" s="35">
        <v>25044</v>
      </c>
      <c r="AO850" s="4" t="s">
        <v>109</v>
      </c>
    </row>
    <row r="851" spans="40:41" x14ac:dyDescent="0.1">
      <c r="AN851" s="35">
        <v>25074</v>
      </c>
      <c r="AO851" s="4" t="s">
        <v>146</v>
      </c>
    </row>
    <row r="852" spans="40:41" x14ac:dyDescent="0.1">
      <c r="AN852" s="35">
        <v>25103</v>
      </c>
      <c r="AO852" s="4" t="s">
        <v>110</v>
      </c>
    </row>
    <row r="853" spans="40:41" x14ac:dyDescent="0.1">
      <c r="AN853" s="35">
        <v>25133</v>
      </c>
      <c r="AO853" s="4" t="s">
        <v>111</v>
      </c>
    </row>
    <row r="854" spans="40:41" x14ac:dyDescent="0.1">
      <c r="AN854" s="35">
        <v>25162</v>
      </c>
      <c r="AO854" s="4" t="s">
        <v>112</v>
      </c>
    </row>
    <row r="855" spans="40:41" x14ac:dyDescent="0.1">
      <c r="AN855" s="35">
        <v>25192</v>
      </c>
      <c r="AO855" s="4" t="s">
        <v>379</v>
      </c>
    </row>
    <row r="856" spans="40:41" x14ac:dyDescent="0.1">
      <c r="AN856" s="35">
        <v>25221</v>
      </c>
      <c r="AO856" s="4" t="s">
        <v>113</v>
      </c>
    </row>
    <row r="857" spans="40:41" x14ac:dyDescent="0.1">
      <c r="AN857" s="35">
        <v>25251</v>
      </c>
      <c r="AO857" s="4" t="s">
        <v>100</v>
      </c>
    </row>
    <row r="858" spans="40:41" x14ac:dyDescent="0.1">
      <c r="AN858" s="35">
        <v>25280</v>
      </c>
      <c r="AO858" s="4" t="s">
        <v>104</v>
      </c>
    </row>
    <row r="859" spans="40:41" x14ac:dyDescent="0.1">
      <c r="AN859" s="35">
        <v>25310</v>
      </c>
      <c r="AO859" s="4" t="s">
        <v>105</v>
      </c>
    </row>
    <row r="860" spans="40:41" x14ac:dyDescent="0.1">
      <c r="AN860" s="35">
        <v>25339</v>
      </c>
      <c r="AO860" s="4" t="s">
        <v>106</v>
      </c>
    </row>
    <row r="861" spans="40:41" x14ac:dyDescent="0.1">
      <c r="AN861" s="35">
        <v>25369</v>
      </c>
      <c r="AO861" s="4" t="s">
        <v>107</v>
      </c>
    </row>
    <row r="862" spans="40:41" x14ac:dyDescent="0.1">
      <c r="AN862" s="35">
        <v>25398</v>
      </c>
      <c r="AO862" s="4" t="s">
        <v>108</v>
      </c>
    </row>
    <row r="863" spans="40:41" x14ac:dyDescent="0.1">
      <c r="AN863" s="35">
        <v>25428</v>
      </c>
      <c r="AO863" s="4" t="s">
        <v>109</v>
      </c>
    </row>
    <row r="864" spans="40:41" x14ac:dyDescent="0.1">
      <c r="AN864" s="35">
        <v>25458</v>
      </c>
      <c r="AO864" s="4" t="s">
        <v>110</v>
      </c>
    </row>
    <row r="865" spans="40:41" x14ac:dyDescent="0.1">
      <c r="AN865" s="35">
        <v>25487</v>
      </c>
      <c r="AO865" s="4" t="s">
        <v>111</v>
      </c>
    </row>
    <row r="866" spans="40:41" x14ac:dyDescent="0.1">
      <c r="AN866" s="35">
        <v>25517</v>
      </c>
      <c r="AO866" s="4" t="s">
        <v>112</v>
      </c>
    </row>
    <row r="867" spans="40:41" x14ac:dyDescent="0.1">
      <c r="AN867" s="35">
        <v>25546</v>
      </c>
      <c r="AO867" s="4" t="s">
        <v>379</v>
      </c>
    </row>
    <row r="868" spans="40:41" x14ac:dyDescent="0.1">
      <c r="AN868" s="35">
        <v>25576</v>
      </c>
      <c r="AO868" s="4" t="s">
        <v>113</v>
      </c>
    </row>
    <row r="869" spans="40:41" x14ac:dyDescent="0.1">
      <c r="AN869" s="35">
        <v>25605</v>
      </c>
      <c r="AO869" s="4" t="s">
        <v>100</v>
      </c>
    </row>
    <row r="870" spans="40:41" x14ac:dyDescent="0.1">
      <c r="AN870" s="35">
        <v>25635</v>
      </c>
      <c r="AO870" s="4" t="s">
        <v>104</v>
      </c>
    </row>
    <row r="871" spans="40:41" x14ac:dyDescent="0.1">
      <c r="AN871" s="35">
        <v>25664</v>
      </c>
      <c r="AO871" s="4" t="s">
        <v>105</v>
      </c>
    </row>
    <row r="872" spans="40:41" x14ac:dyDescent="0.1">
      <c r="AN872" s="35">
        <v>25693</v>
      </c>
      <c r="AO872" s="4" t="s">
        <v>106</v>
      </c>
    </row>
    <row r="873" spans="40:41" x14ac:dyDescent="0.1">
      <c r="AN873" s="35">
        <v>25723</v>
      </c>
      <c r="AO873" s="4" t="s">
        <v>107</v>
      </c>
    </row>
    <row r="874" spans="40:41" x14ac:dyDescent="0.1">
      <c r="AN874" s="35">
        <v>25752</v>
      </c>
      <c r="AO874" s="4" t="s">
        <v>108</v>
      </c>
    </row>
    <row r="875" spans="40:41" x14ac:dyDescent="0.1">
      <c r="AN875" s="35">
        <v>25782</v>
      </c>
      <c r="AO875" s="4" t="s">
        <v>109</v>
      </c>
    </row>
    <row r="876" spans="40:41" x14ac:dyDescent="0.1">
      <c r="AN876" s="35">
        <v>25812</v>
      </c>
      <c r="AO876" s="4" t="s">
        <v>110</v>
      </c>
    </row>
    <row r="877" spans="40:41" x14ac:dyDescent="0.1">
      <c r="AN877" s="35">
        <v>25841</v>
      </c>
      <c r="AO877" s="4" t="s">
        <v>111</v>
      </c>
    </row>
    <row r="878" spans="40:41" x14ac:dyDescent="0.1">
      <c r="AN878" s="35">
        <v>25871</v>
      </c>
      <c r="AO878" s="4" t="s">
        <v>112</v>
      </c>
    </row>
    <row r="879" spans="40:41" x14ac:dyDescent="0.1">
      <c r="AN879" s="35">
        <v>25901</v>
      </c>
      <c r="AO879" s="4" t="s">
        <v>379</v>
      </c>
    </row>
    <row r="880" spans="40:41" x14ac:dyDescent="0.1">
      <c r="AN880" s="35">
        <v>25930</v>
      </c>
      <c r="AO880" s="4" t="s">
        <v>113</v>
      </c>
    </row>
    <row r="881" spans="40:41" x14ac:dyDescent="0.1">
      <c r="AN881" s="35">
        <v>25960</v>
      </c>
      <c r="AO881" s="4" t="s">
        <v>100</v>
      </c>
    </row>
    <row r="882" spans="40:41" x14ac:dyDescent="0.1">
      <c r="AN882" s="35">
        <v>25989</v>
      </c>
      <c r="AO882" s="4" t="s">
        <v>104</v>
      </c>
    </row>
    <row r="883" spans="40:41" x14ac:dyDescent="0.1">
      <c r="AN883" s="35">
        <v>26019</v>
      </c>
      <c r="AO883" s="4" t="s">
        <v>105</v>
      </c>
    </row>
    <row r="884" spans="40:41" x14ac:dyDescent="0.1">
      <c r="AN884" s="35">
        <v>26048</v>
      </c>
      <c r="AO884" s="4" t="s">
        <v>106</v>
      </c>
    </row>
    <row r="885" spans="40:41" x14ac:dyDescent="0.1">
      <c r="AN885" s="35">
        <v>26077</v>
      </c>
      <c r="AO885" s="4" t="s">
        <v>107</v>
      </c>
    </row>
    <row r="886" spans="40:41" x14ac:dyDescent="0.1">
      <c r="AN886" s="35">
        <v>26107</v>
      </c>
      <c r="AO886" s="4" t="s">
        <v>142</v>
      </c>
    </row>
    <row r="887" spans="40:41" x14ac:dyDescent="0.1">
      <c r="AN887" s="35">
        <v>26136</v>
      </c>
      <c r="AO887" s="4" t="s">
        <v>108</v>
      </c>
    </row>
    <row r="888" spans="40:41" x14ac:dyDescent="0.1">
      <c r="AN888" s="35">
        <v>26166</v>
      </c>
      <c r="AO888" s="4" t="s">
        <v>109</v>
      </c>
    </row>
    <row r="889" spans="40:41" x14ac:dyDescent="0.1">
      <c r="AN889" s="35">
        <v>26195</v>
      </c>
      <c r="AO889" s="4" t="s">
        <v>110</v>
      </c>
    </row>
    <row r="890" spans="40:41" x14ac:dyDescent="0.1">
      <c r="AN890" s="35">
        <v>26225</v>
      </c>
      <c r="AO890" s="4" t="s">
        <v>111</v>
      </c>
    </row>
    <row r="891" spans="40:41" x14ac:dyDescent="0.1">
      <c r="AN891" s="35">
        <v>26255</v>
      </c>
      <c r="AO891" s="4" t="s">
        <v>112</v>
      </c>
    </row>
    <row r="892" spans="40:41" x14ac:dyDescent="0.1">
      <c r="AN892" s="35">
        <v>26285</v>
      </c>
      <c r="AO892" s="4" t="s">
        <v>379</v>
      </c>
    </row>
    <row r="893" spans="40:41" x14ac:dyDescent="0.1">
      <c r="AN893" s="35">
        <v>26314</v>
      </c>
      <c r="AO893" s="4" t="s">
        <v>113</v>
      </c>
    </row>
    <row r="894" spans="40:41" x14ac:dyDescent="0.1">
      <c r="AN894" s="35">
        <v>26344</v>
      </c>
      <c r="AO894" s="4" t="s">
        <v>100</v>
      </c>
    </row>
    <row r="895" spans="40:41" x14ac:dyDescent="0.1">
      <c r="AN895" s="35">
        <v>26373</v>
      </c>
      <c r="AO895" s="4" t="s">
        <v>104</v>
      </c>
    </row>
    <row r="896" spans="40:41" x14ac:dyDescent="0.1">
      <c r="AN896" s="35">
        <v>26403</v>
      </c>
      <c r="AO896" s="4" t="s">
        <v>105</v>
      </c>
    </row>
    <row r="897" spans="40:41" x14ac:dyDescent="0.1">
      <c r="AN897" s="35">
        <v>26432</v>
      </c>
      <c r="AO897" s="4" t="s">
        <v>106</v>
      </c>
    </row>
    <row r="898" spans="40:41" x14ac:dyDescent="0.1">
      <c r="AN898" s="35">
        <v>26461</v>
      </c>
      <c r="AO898" s="4" t="s">
        <v>107</v>
      </c>
    </row>
    <row r="899" spans="40:41" x14ac:dyDescent="0.1">
      <c r="AN899" s="35">
        <v>26491</v>
      </c>
      <c r="AO899" s="4" t="s">
        <v>108</v>
      </c>
    </row>
    <row r="900" spans="40:41" x14ac:dyDescent="0.1">
      <c r="AN900" s="35">
        <v>26520</v>
      </c>
      <c r="AO900" s="4" t="s">
        <v>109</v>
      </c>
    </row>
    <row r="901" spans="40:41" x14ac:dyDescent="0.1">
      <c r="AN901" s="35">
        <v>26550</v>
      </c>
      <c r="AO901" s="4" t="s">
        <v>110</v>
      </c>
    </row>
    <row r="902" spans="40:41" x14ac:dyDescent="0.1">
      <c r="AN902" s="35">
        <v>26579</v>
      </c>
      <c r="AO902" s="4" t="s">
        <v>111</v>
      </c>
    </row>
    <row r="903" spans="40:41" x14ac:dyDescent="0.1">
      <c r="AN903" s="35">
        <v>26609</v>
      </c>
      <c r="AO903" s="4" t="s">
        <v>112</v>
      </c>
    </row>
    <row r="904" spans="40:41" x14ac:dyDescent="0.1">
      <c r="AN904" s="35">
        <v>26639</v>
      </c>
      <c r="AO904" s="4" t="s">
        <v>379</v>
      </c>
    </row>
    <row r="905" spans="40:41" x14ac:dyDescent="0.1">
      <c r="AN905" s="35">
        <v>26668</v>
      </c>
      <c r="AO905" s="4" t="s">
        <v>113</v>
      </c>
    </row>
    <row r="906" spans="40:41" x14ac:dyDescent="0.1">
      <c r="AN906" s="35">
        <v>26698</v>
      </c>
      <c r="AO906" s="4" t="s">
        <v>100</v>
      </c>
    </row>
    <row r="907" spans="40:41" x14ac:dyDescent="0.1">
      <c r="AN907" s="35">
        <v>26728</v>
      </c>
      <c r="AO907" s="4" t="s">
        <v>104</v>
      </c>
    </row>
    <row r="908" spans="40:41" x14ac:dyDescent="0.1">
      <c r="AN908" s="35">
        <v>26757</v>
      </c>
      <c r="AO908" s="4" t="s">
        <v>105</v>
      </c>
    </row>
    <row r="909" spans="40:41" x14ac:dyDescent="0.1">
      <c r="AN909" s="35">
        <v>26787</v>
      </c>
      <c r="AO909" s="4" t="s">
        <v>106</v>
      </c>
    </row>
    <row r="910" spans="40:41" x14ac:dyDescent="0.1">
      <c r="AN910" s="35">
        <v>26816</v>
      </c>
      <c r="AO910" s="4" t="s">
        <v>107</v>
      </c>
    </row>
    <row r="911" spans="40:41" x14ac:dyDescent="0.1">
      <c r="AN911" s="35">
        <v>26845</v>
      </c>
      <c r="AO911" s="4" t="s">
        <v>108</v>
      </c>
    </row>
    <row r="912" spans="40:41" x14ac:dyDescent="0.1">
      <c r="AN912" s="35">
        <v>26875</v>
      </c>
      <c r="AO912" s="4" t="s">
        <v>109</v>
      </c>
    </row>
    <row r="913" spans="40:41" x14ac:dyDescent="0.1">
      <c r="AN913" s="35">
        <v>26904</v>
      </c>
      <c r="AO913" s="4" t="s">
        <v>110</v>
      </c>
    </row>
    <row r="914" spans="40:41" x14ac:dyDescent="0.1">
      <c r="AN914" s="35">
        <v>26933</v>
      </c>
      <c r="AO914" s="4" t="s">
        <v>111</v>
      </c>
    </row>
    <row r="915" spans="40:41" x14ac:dyDescent="0.1">
      <c r="AN915" s="35">
        <v>26963</v>
      </c>
      <c r="AO915" s="4" t="s">
        <v>112</v>
      </c>
    </row>
    <row r="916" spans="40:41" x14ac:dyDescent="0.1">
      <c r="AN916" s="35">
        <v>26993</v>
      </c>
      <c r="AO916" s="4" t="s">
        <v>379</v>
      </c>
    </row>
    <row r="917" spans="40:41" x14ac:dyDescent="0.1">
      <c r="AN917" s="35">
        <v>27022</v>
      </c>
      <c r="AO917" s="4" t="s">
        <v>113</v>
      </c>
    </row>
    <row r="918" spans="40:41" x14ac:dyDescent="0.1">
      <c r="AN918" s="35">
        <v>27052</v>
      </c>
      <c r="AO918" s="4" t="s">
        <v>100</v>
      </c>
    </row>
    <row r="919" spans="40:41" x14ac:dyDescent="0.1">
      <c r="AN919" s="35">
        <v>27082</v>
      </c>
      <c r="AO919" s="4" t="s">
        <v>104</v>
      </c>
    </row>
    <row r="920" spans="40:41" x14ac:dyDescent="0.1">
      <c r="AN920" s="35">
        <v>27112</v>
      </c>
      <c r="AO920" s="4" t="s">
        <v>105</v>
      </c>
    </row>
    <row r="921" spans="40:41" x14ac:dyDescent="0.1">
      <c r="AN921" s="35">
        <v>27141</v>
      </c>
      <c r="AO921" s="4" t="s">
        <v>106</v>
      </c>
    </row>
    <row r="922" spans="40:41" x14ac:dyDescent="0.1">
      <c r="AN922" s="35">
        <v>27171</v>
      </c>
      <c r="AO922" s="4" t="s">
        <v>143</v>
      </c>
    </row>
    <row r="923" spans="40:41" x14ac:dyDescent="0.1">
      <c r="AN923" s="35">
        <v>27200</v>
      </c>
      <c r="AO923" s="4" t="s">
        <v>107</v>
      </c>
    </row>
    <row r="924" spans="40:41" x14ac:dyDescent="0.1">
      <c r="AN924" s="35">
        <v>27229</v>
      </c>
      <c r="AO924" s="4" t="s">
        <v>108</v>
      </c>
    </row>
    <row r="925" spans="40:41" x14ac:dyDescent="0.1">
      <c r="AN925" s="35">
        <v>27259</v>
      </c>
      <c r="AO925" s="4" t="s">
        <v>109</v>
      </c>
    </row>
    <row r="926" spans="40:41" x14ac:dyDescent="0.1">
      <c r="AN926" s="35">
        <v>27288</v>
      </c>
      <c r="AO926" s="4" t="s">
        <v>110</v>
      </c>
    </row>
    <row r="927" spans="40:41" x14ac:dyDescent="0.1">
      <c r="AN927" s="35">
        <v>27317</v>
      </c>
      <c r="AO927" s="4" t="s">
        <v>111</v>
      </c>
    </row>
    <row r="928" spans="40:41" x14ac:dyDescent="0.1">
      <c r="AN928" s="35">
        <v>27347</v>
      </c>
      <c r="AO928" s="4" t="s">
        <v>112</v>
      </c>
    </row>
    <row r="929" spans="40:41" x14ac:dyDescent="0.1">
      <c r="AN929" s="35">
        <v>27377</v>
      </c>
      <c r="AO929" s="4" t="s">
        <v>379</v>
      </c>
    </row>
    <row r="930" spans="40:41" x14ac:dyDescent="0.1">
      <c r="AN930" s="35">
        <v>27406</v>
      </c>
      <c r="AO930" s="4" t="s">
        <v>113</v>
      </c>
    </row>
    <row r="931" spans="40:41" x14ac:dyDescent="0.1">
      <c r="AN931" s="35">
        <v>27436</v>
      </c>
      <c r="AO931" s="4" t="s">
        <v>100</v>
      </c>
    </row>
    <row r="932" spans="40:41" x14ac:dyDescent="0.1">
      <c r="AN932" s="35">
        <v>27466</v>
      </c>
      <c r="AO932" s="4" t="s">
        <v>104</v>
      </c>
    </row>
    <row r="933" spans="40:41" x14ac:dyDescent="0.1">
      <c r="AN933" s="35">
        <v>27496</v>
      </c>
      <c r="AO933" s="4" t="s">
        <v>105</v>
      </c>
    </row>
    <row r="934" spans="40:41" x14ac:dyDescent="0.1">
      <c r="AN934" s="35">
        <v>27525</v>
      </c>
      <c r="AO934" s="4" t="s">
        <v>106</v>
      </c>
    </row>
    <row r="935" spans="40:41" x14ac:dyDescent="0.1">
      <c r="AN935" s="35">
        <v>27555</v>
      </c>
      <c r="AO935" s="4" t="s">
        <v>107</v>
      </c>
    </row>
    <row r="936" spans="40:41" x14ac:dyDescent="0.1">
      <c r="AN936" s="35">
        <v>27584</v>
      </c>
      <c r="AO936" s="4" t="s">
        <v>108</v>
      </c>
    </row>
    <row r="937" spans="40:41" x14ac:dyDescent="0.1">
      <c r="AN937" s="35">
        <v>27613</v>
      </c>
      <c r="AO937" s="4" t="s">
        <v>109</v>
      </c>
    </row>
    <row r="938" spans="40:41" x14ac:dyDescent="0.1">
      <c r="AN938" s="35">
        <v>27643</v>
      </c>
      <c r="AO938" s="4" t="s">
        <v>110</v>
      </c>
    </row>
    <row r="939" spans="40:41" x14ac:dyDescent="0.1">
      <c r="AN939" s="35">
        <v>27672</v>
      </c>
      <c r="AO939" s="4" t="s">
        <v>111</v>
      </c>
    </row>
    <row r="940" spans="40:41" x14ac:dyDescent="0.1">
      <c r="AN940" s="35">
        <v>27701</v>
      </c>
      <c r="AO940" s="4" t="s">
        <v>112</v>
      </c>
    </row>
    <row r="941" spans="40:41" x14ac:dyDescent="0.1">
      <c r="AN941" s="35">
        <v>27731</v>
      </c>
      <c r="AO941" s="4" t="s">
        <v>379</v>
      </c>
    </row>
    <row r="942" spans="40:41" x14ac:dyDescent="0.1">
      <c r="AN942" s="35">
        <v>27760</v>
      </c>
      <c r="AO942" s="4" t="s">
        <v>113</v>
      </c>
    </row>
    <row r="943" spans="40:41" x14ac:dyDescent="0.1">
      <c r="AN943" s="35">
        <v>27790</v>
      </c>
      <c r="AO943" s="4" t="s">
        <v>100</v>
      </c>
    </row>
    <row r="944" spans="40:41" x14ac:dyDescent="0.1">
      <c r="AN944" s="35">
        <v>27820</v>
      </c>
      <c r="AO944" s="4" t="s">
        <v>104</v>
      </c>
    </row>
    <row r="945" spans="40:41" x14ac:dyDescent="0.1">
      <c r="AN945" s="35">
        <v>27850</v>
      </c>
      <c r="AO945" s="4" t="s">
        <v>105</v>
      </c>
    </row>
    <row r="946" spans="40:41" x14ac:dyDescent="0.1">
      <c r="AN946" s="35">
        <v>27879</v>
      </c>
      <c r="AO946" s="4" t="s">
        <v>106</v>
      </c>
    </row>
    <row r="947" spans="40:41" x14ac:dyDescent="0.1">
      <c r="AN947" s="35">
        <v>27909</v>
      </c>
      <c r="AO947" s="4" t="s">
        <v>107</v>
      </c>
    </row>
    <row r="948" spans="40:41" x14ac:dyDescent="0.1">
      <c r="AN948" s="35">
        <v>27938</v>
      </c>
      <c r="AO948" s="4" t="s">
        <v>108</v>
      </c>
    </row>
    <row r="949" spans="40:41" x14ac:dyDescent="0.1">
      <c r="AN949" s="35">
        <v>27968</v>
      </c>
      <c r="AO949" s="4" t="s">
        <v>109</v>
      </c>
    </row>
    <row r="950" spans="40:41" x14ac:dyDescent="0.1">
      <c r="AN950" s="35">
        <v>27997</v>
      </c>
      <c r="AO950" s="4" t="s">
        <v>110</v>
      </c>
    </row>
    <row r="951" spans="40:41" x14ac:dyDescent="0.1">
      <c r="AN951" s="35">
        <v>28027</v>
      </c>
      <c r="AO951" s="4" t="s">
        <v>141</v>
      </c>
    </row>
    <row r="952" spans="40:41" x14ac:dyDescent="0.1">
      <c r="AN952" s="35">
        <v>28056</v>
      </c>
      <c r="AO952" s="4" t="s">
        <v>111</v>
      </c>
    </row>
    <row r="953" spans="40:41" x14ac:dyDescent="0.1">
      <c r="AN953" s="35">
        <v>28085</v>
      </c>
      <c r="AO953" s="4" t="s">
        <v>112</v>
      </c>
    </row>
    <row r="954" spans="40:41" x14ac:dyDescent="0.1">
      <c r="AN954" s="35">
        <v>28115</v>
      </c>
      <c r="AO954" s="4" t="s">
        <v>379</v>
      </c>
    </row>
    <row r="955" spans="40:41" x14ac:dyDescent="0.1">
      <c r="AN955" s="35">
        <v>28144</v>
      </c>
      <c r="AO955" s="4" t="s">
        <v>113</v>
      </c>
    </row>
    <row r="956" spans="40:41" x14ac:dyDescent="0.1">
      <c r="AN956" s="35">
        <v>28174</v>
      </c>
      <c r="AO956" s="4" t="s">
        <v>100</v>
      </c>
    </row>
    <row r="957" spans="40:41" x14ac:dyDescent="0.1">
      <c r="AN957" s="35">
        <v>28204</v>
      </c>
      <c r="AO957" s="4" t="s">
        <v>104</v>
      </c>
    </row>
    <row r="958" spans="40:41" x14ac:dyDescent="0.1">
      <c r="AN958" s="35">
        <v>28233</v>
      </c>
      <c r="AO958" s="4" t="s">
        <v>105</v>
      </c>
    </row>
    <row r="959" spans="40:41" x14ac:dyDescent="0.1">
      <c r="AN959" s="35">
        <v>28263</v>
      </c>
      <c r="AO959" s="4" t="s">
        <v>106</v>
      </c>
    </row>
    <row r="960" spans="40:41" x14ac:dyDescent="0.1">
      <c r="AN960" s="35">
        <v>28293</v>
      </c>
      <c r="AO960" s="4" t="s">
        <v>107</v>
      </c>
    </row>
    <row r="961" spans="40:41" x14ac:dyDescent="0.1">
      <c r="AN961" s="35">
        <v>28322</v>
      </c>
      <c r="AO961" s="4" t="s">
        <v>108</v>
      </c>
    </row>
    <row r="962" spans="40:41" x14ac:dyDescent="0.1">
      <c r="AN962" s="35">
        <v>28352</v>
      </c>
      <c r="AO962" s="4" t="s">
        <v>109</v>
      </c>
    </row>
    <row r="963" spans="40:41" x14ac:dyDescent="0.1">
      <c r="AN963" s="35">
        <v>28381</v>
      </c>
      <c r="AO963" s="4" t="s">
        <v>110</v>
      </c>
    </row>
    <row r="964" spans="40:41" x14ac:dyDescent="0.1">
      <c r="AN964" s="35">
        <v>28411</v>
      </c>
      <c r="AO964" s="4" t="s">
        <v>111</v>
      </c>
    </row>
    <row r="965" spans="40:41" x14ac:dyDescent="0.1">
      <c r="AN965" s="35">
        <v>28440</v>
      </c>
      <c r="AO965" s="4" t="s">
        <v>112</v>
      </c>
    </row>
    <row r="966" spans="40:41" x14ac:dyDescent="0.1">
      <c r="AN966" s="35">
        <v>28470</v>
      </c>
      <c r="AO966" s="4" t="s">
        <v>379</v>
      </c>
    </row>
    <row r="967" spans="40:41" x14ac:dyDescent="0.1">
      <c r="AN967" s="35">
        <v>28499</v>
      </c>
      <c r="AO967" s="4" t="s">
        <v>113</v>
      </c>
    </row>
    <row r="968" spans="40:41" x14ac:dyDescent="0.1">
      <c r="AN968" s="35">
        <v>28528</v>
      </c>
      <c r="AO968" s="4" t="s">
        <v>100</v>
      </c>
    </row>
    <row r="969" spans="40:41" x14ac:dyDescent="0.1">
      <c r="AN969" s="35">
        <v>28558</v>
      </c>
      <c r="AO969" s="4" t="s">
        <v>104</v>
      </c>
    </row>
    <row r="970" spans="40:41" x14ac:dyDescent="0.1">
      <c r="AN970" s="35">
        <v>28587</v>
      </c>
      <c r="AO970" s="4" t="s">
        <v>105</v>
      </c>
    </row>
    <row r="971" spans="40:41" x14ac:dyDescent="0.1">
      <c r="AN971" s="35">
        <v>28617</v>
      </c>
      <c r="AO971" s="4" t="s">
        <v>106</v>
      </c>
    </row>
    <row r="972" spans="40:41" x14ac:dyDescent="0.1">
      <c r="AN972" s="35">
        <v>28647</v>
      </c>
      <c r="AO972" s="4" t="s">
        <v>107</v>
      </c>
    </row>
    <row r="973" spans="40:41" x14ac:dyDescent="0.1">
      <c r="AN973" s="35">
        <v>28676</v>
      </c>
      <c r="AO973" s="4" t="s">
        <v>108</v>
      </c>
    </row>
    <row r="974" spans="40:41" x14ac:dyDescent="0.1">
      <c r="AN974" s="35">
        <v>28706</v>
      </c>
      <c r="AO974" s="4" t="s">
        <v>109</v>
      </c>
    </row>
    <row r="975" spans="40:41" x14ac:dyDescent="0.1">
      <c r="AN975" s="35">
        <v>28736</v>
      </c>
      <c r="AO975" s="4" t="s">
        <v>110</v>
      </c>
    </row>
    <row r="976" spans="40:41" x14ac:dyDescent="0.1">
      <c r="AN976" s="35">
        <v>28765</v>
      </c>
      <c r="AO976" s="4" t="s">
        <v>111</v>
      </c>
    </row>
    <row r="977" spans="40:41" x14ac:dyDescent="0.1">
      <c r="AN977" s="35">
        <v>28795</v>
      </c>
      <c r="AO977" s="4" t="s">
        <v>112</v>
      </c>
    </row>
    <row r="978" spans="40:41" x14ac:dyDescent="0.1">
      <c r="AN978" s="35">
        <v>28824</v>
      </c>
      <c r="AO978" s="4" t="s">
        <v>379</v>
      </c>
    </row>
    <row r="979" spans="40:41" x14ac:dyDescent="0.1">
      <c r="AN979" s="35">
        <v>28854</v>
      </c>
      <c r="AO979" s="4" t="s">
        <v>113</v>
      </c>
    </row>
    <row r="980" spans="40:41" x14ac:dyDescent="0.1">
      <c r="AN980" s="35">
        <v>28883</v>
      </c>
      <c r="AO980" s="4" t="s">
        <v>100</v>
      </c>
    </row>
    <row r="981" spans="40:41" x14ac:dyDescent="0.1">
      <c r="AN981" s="35">
        <v>28913</v>
      </c>
      <c r="AO981" s="4" t="s">
        <v>104</v>
      </c>
    </row>
    <row r="982" spans="40:41" x14ac:dyDescent="0.1">
      <c r="AN982" s="35">
        <v>28942</v>
      </c>
      <c r="AO982" s="4" t="s">
        <v>105</v>
      </c>
    </row>
    <row r="983" spans="40:41" x14ac:dyDescent="0.1">
      <c r="AN983" s="35">
        <v>28971</v>
      </c>
      <c r="AO983" s="4" t="s">
        <v>106</v>
      </c>
    </row>
    <row r="984" spans="40:41" x14ac:dyDescent="0.1">
      <c r="AN984" s="35">
        <v>29001</v>
      </c>
      <c r="AO984" s="4" t="s">
        <v>107</v>
      </c>
    </row>
    <row r="985" spans="40:41" x14ac:dyDescent="0.1">
      <c r="AN985" s="35">
        <v>29030</v>
      </c>
      <c r="AO985" s="4" t="s">
        <v>108</v>
      </c>
    </row>
    <row r="986" spans="40:41" x14ac:dyDescent="0.1">
      <c r="AN986" s="35">
        <v>29060</v>
      </c>
      <c r="AO986" s="4" t="s">
        <v>145</v>
      </c>
    </row>
    <row r="987" spans="40:41" x14ac:dyDescent="0.1">
      <c r="AN987" s="35">
        <v>29090</v>
      </c>
      <c r="AO987" s="4" t="s">
        <v>109</v>
      </c>
    </row>
    <row r="988" spans="40:41" x14ac:dyDescent="0.1">
      <c r="AN988" s="35">
        <v>29119</v>
      </c>
      <c r="AO988" s="4" t="s">
        <v>110</v>
      </c>
    </row>
    <row r="989" spans="40:41" x14ac:dyDescent="0.1">
      <c r="AN989" s="35">
        <v>29149</v>
      </c>
      <c r="AO989" s="4" t="s">
        <v>111</v>
      </c>
    </row>
    <row r="990" spans="40:41" x14ac:dyDescent="0.1">
      <c r="AN990" s="35">
        <v>29179</v>
      </c>
      <c r="AO990" s="4" t="s">
        <v>112</v>
      </c>
    </row>
    <row r="991" spans="40:41" x14ac:dyDescent="0.1">
      <c r="AN991" s="35">
        <v>29208</v>
      </c>
      <c r="AO991" s="4" t="s">
        <v>379</v>
      </c>
    </row>
    <row r="992" spans="40:41" x14ac:dyDescent="0.1">
      <c r="AN992" s="35">
        <v>29238</v>
      </c>
      <c r="AO992" s="4" t="s">
        <v>113</v>
      </c>
    </row>
    <row r="993" spans="40:41" x14ac:dyDescent="0.1">
      <c r="AN993" s="35">
        <v>29267</v>
      </c>
      <c r="AO993" s="4" t="s">
        <v>100</v>
      </c>
    </row>
    <row r="994" spans="40:41" x14ac:dyDescent="0.1">
      <c r="AN994" s="35">
        <v>29297</v>
      </c>
      <c r="AO994" s="4" t="s">
        <v>104</v>
      </c>
    </row>
    <row r="995" spans="40:41" x14ac:dyDescent="0.1">
      <c r="AN995" s="35">
        <v>29326</v>
      </c>
      <c r="AO995" s="4" t="s">
        <v>105</v>
      </c>
    </row>
    <row r="996" spans="40:41" x14ac:dyDescent="0.1">
      <c r="AN996" s="35">
        <v>29355</v>
      </c>
      <c r="AO996" s="4" t="s">
        <v>106</v>
      </c>
    </row>
    <row r="997" spans="40:41" x14ac:dyDescent="0.1">
      <c r="AN997" s="35">
        <v>29385</v>
      </c>
      <c r="AO997" s="4" t="s">
        <v>107</v>
      </c>
    </row>
    <row r="998" spans="40:41" x14ac:dyDescent="0.1">
      <c r="AN998" s="35">
        <v>29414</v>
      </c>
      <c r="AO998" s="4" t="s">
        <v>108</v>
      </c>
    </row>
    <row r="999" spans="40:41" x14ac:dyDescent="0.1">
      <c r="AN999" s="35">
        <v>29444</v>
      </c>
      <c r="AO999" s="4" t="s">
        <v>109</v>
      </c>
    </row>
    <row r="1000" spans="40:41" x14ac:dyDescent="0.1">
      <c r="AN1000" s="35">
        <v>29473</v>
      </c>
      <c r="AO1000" s="4" t="s">
        <v>110</v>
      </c>
    </row>
    <row r="1001" spans="40:41" x14ac:dyDescent="0.1">
      <c r="AN1001" s="35">
        <v>29503</v>
      </c>
      <c r="AO1001" s="4" t="s">
        <v>111</v>
      </c>
    </row>
    <row r="1002" spans="40:41" x14ac:dyDescent="0.1">
      <c r="AN1002" s="35">
        <v>29533</v>
      </c>
      <c r="AO1002" s="4" t="s">
        <v>112</v>
      </c>
    </row>
    <row r="1003" spans="40:41" x14ac:dyDescent="0.1">
      <c r="AN1003" s="35">
        <v>29562</v>
      </c>
      <c r="AO1003" s="4" t="s">
        <v>379</v>
      </c>
    </row>
    <row r="1004" spans="40:41" x14ac:dyDescent="0.1">
      <c r="AN1004" s="35">
        <v>29592</v>
      </c>
      <c r="AO1004" s="4" t="s">
        <v>113</v>
      </c>
    </row>
    <row r="1005" spans="40:41" x14ac:dyDescent="0.1">
      <c r="AN1005" s="35">
        <v>29622</v>
      </c>
      <c r="AO1005" s="4" t="s">
        <v>100</v>
      </c>
    </row>
    <row r="1006" spans="40:41" x14ac:dyDescent="0.1">
      <c r="AN1006" s="35">
        <v>29651</v>
      </c>
      <c r="AO1006" s="4" t="s">
        <v>104</v>
      </c>
    </row>
    <row r="1007" spans="40:41" x14ac:dyDescent="0.1">
      <c r="AN1007" s="35">
        <v>29681</v>
      </c>
      <c r="AO1007" s="4" t="s">
        <v>105</v>
      </c>
    </row>
    <row r="1008" spans="40:41" x14ac:dyDescent="0.1">
      <c r="AN1008" s="35">
        <v>29710</v>
      </c>
      <c r="AO1008" s="4" t="s">
        <v>106</v>
      </c>
    </row>
    <row r="1009" spans="40:41" x14ac:dyDescent="0.1">
      <c r="AN1009" s="35">
        <v>29739</v>
      </c>
      <c r="AO1009" s="4" t="s">
        <v>107</v>
      </c>
    </row>
    <row r="1010" spans="40:41" x14ac:dyDescent="0.1">
      <c r="AN1010" s="35">
        <v>29769</v>
      </c>
      <c r="AO1010" s="4" t="s">
        <v>108</v>
      </c>
    </row>
    <row r="1011" spans="40:41" x14ac:dyDescent="0.1">
      <c r="AN1011" s="35">
        <v>29798</v>
      </c>
      <c r="AO1011" s="4" t="s">
        <v>109</v>
      </c>
    </row>
    <row r="1012" spans="40:41" x14ac:dyDescent="0.1">
      <c r="AN1012" s="35">
        <v>29827</v>
      </c>
      <c r="AO1012" s="4" t="s">
        <v>110</v>
      </c>
    </row>
    <row r="1013" spans="40:41" x14ac:dyDescent="0.1">
      <c r="AN1013" s="35">
        <v>29857</v>
      </c>
      <c r="AO1013" s="4" t="s">
        <v>111</v>
      </c>
    </row>
    <row r="1014" spans="40:41" x14ac:dyDescent="0.1">
      <c r="AN1014" s="35">
        <v>29887</v>
      </c>
      <c r="AO1014" s="4" t="s">
        <v>112</v>
      </c>
    </row>
    <row r="1015" spans="40:41" x14ac:dyDescent="0.1">
      <c r="AN1015" s="35">
        <v>29916</v>
      </c>
      <c r="AO1015" s="4" t="s">
        <v>379</v>
      </c>
    </row>
    <row r="1016" spans="40:41" x14ac:dyDescent="0.1">
      <c r="AN1016" s="35">
        <v>29946</v>
      </c>
      <c r="AO1016" s="4" t="s">
        <v>113</v>
      </c>
    </row>
    <row r="1017" spans="40:41" x14ac:dyDescent="0.1">
      <c r="AN1017" s="35">
        <v>29976</v>
      </c>
      <c r="AO1017" s="4" t="s">
        <v>100</v>
      </c>
    </row>
    <row r="1018" spans="40:41" x14ac:dyDescent="0.1">
      <c r="AN1018" s="35">
        <v>30006</v>
      </c>
      <c r="AO1018" s="4" t="s">
        <v>104</v>
      </c>
    </row>
    <row r="1019" spans="40:41" x14ac:dyDescent="0.1">
      <c r="AN1019" s="35">
        <v>30035</v>
      </c>
      <c r="AO1019" s="4" t="s">
        <v>105</v>
      </c>
    </row>
    <row r="1020" spans="40:41" x14ac:dyDescent="0.1">
      <c r="AN1020" s="35">
        <v>30065</v>
      </c>
      <c r="AO1020" s="4" t="s">
        <v>106</v>
      </c>
    </row>
    <row r="1021" spans="40:41" x14ac:dyDescent="0.1">
      <c r="AN1021" s="35">
        <v>30094</v>
      </c>
      <c r="AO1021" s="4" t="s">
        <v>143</v>
      </c>
    </row>
    <row r="1022" spans="40:41" x14ac:dyDescent="0.1">
      <c r="AN1022" s="35">
        <v>30123</v>
      </c>
      <c r="AO1022" s="4" t="s">
        <v>107</v>
      </c>
    </row>
    <row r="1023" spans="40:41" x14ac:dyDescent="0.1">
      <c r="AN1023" s="35">
        <v>30153</v>
      </c>
      <c r="AO1023" s="4" t="s">
        <v>108</v>
      </c>
    </row>
    <row r="1024" spans="40:41" x14ac:dyDescent="0.1">
      <c r="AN1024" s="35">
        <v>30182</v>
      </c>
      <c r="AO1024" s="4" t="s">
        <v>109</v>
      </c>
    </row>
    <row r="1025" spans="40:41" x14ac:dyDescent="0.1">
      <c r="AN1025" s="35">
        <v>30211</v>
      </c>
      <c r="AO1025" s="4" t="s">
        <v>110</v>
      </c>
    </row>
    <row r="1026" spans="40:41" x14ac:dyDescent="0.1">
      <c r="AN1026" s="35">
        <v>30241</v>
      </c>
      <c r="AO1026" s="4" t="s">
        <v>111</v>
      </c>
    </row>
    <row r="1027" spans="40:41" x14ac:dyDescent="0.1">
      <c r="AN1027" s="35">
        <v>30270</v>
      </c>
      <c r="AO1027" s="4" t="s">
        <v>112</v>
      </c>
    </row>
    <row r="1028" spans="40:41" x14ac:dyDescent="0.1">
      <c r="AN1028" s="35">
        <v>30300</v>
      </c>
      <c r="AO1028" s="4" t="s">
        <v>379</v>
      </c>
    </row>
    <row r="1029" spans="40:41" x14ac:dyDescent="0.1">
      <c r="AN1029" s="35">
        <v>30330</v>
      </c>
      <c r="AO1029" s="4" t="s">
        <v>113</v>
      </c>
    </row>
    <row r="1030" spans="40:41" x14ac:dyDescent="0.1">
      <c r="AN1030" s="35">
        <v>30360</v>
      </c>
      <c r="AO1030" s="4" t="s">
        <v>100</v>
      </c>
    </row>
    <row r="1031" spans="40:41" x14ac:dyDescent="0.1">
      <c r="AN1031" s="35">
        <v>30390</v>
      </c>
      <c r="AO1031" s="4" t="s">
        <v>104</v>
      </c>
    </row>
    <row r="1032" spans="40:41" x14ac:dyDescent="0.1">
      <c r="AN1032" s="35">
        <v>30419</v>
      </c>
      <c r="AO1032" s="4" t="s">
        <v>105</v>
      </c>
    </row>
    <row r="1033" spans="40:41" x14ac:dyDescent="0.1">
      <c r="AN1033" s="35">
        <v>30449</v>
      </c>
      <c r="AO1033" s="4" t="s">
        <v>106</v>
      </c>
    </row>
    <row r="1034" spans="40:41" x14ac:dyDescent="0.1">
      <c r="AN1034" s="35">
        <v>30478</v>
      </c>
      <c r="AO1034" s="4" t="s">
        <v>107</v>
      </c>
    </row>
    <row r="1035" spans="40:41" x14ac:dyDescent="0.1">
      <c r="AN1035" s="35">
        <v>30507</v>
      </c>
      <c r="AO1035" s="4" t="s">
        <v>108</v>
      </c>
    </row>
    <row r="1036" spans="40:41" x14ac:dyDescent="0.1">
      <c r="AN1036" s="35">
        <v>30537</v>
      </c>
      <c r="AO1036" s="4" t="s">
        <v>109</v>
      </c>
    </row>
    <row r="1037" spans="40:41" x14ac:dyDescent="0.1">
      <c r="AN1037" s="35">
        <v>30566</v>
      </c>
      <c r="AO1037" s="4" t="s">
        <v>110</v>
      </c>
    </row>
    <row r="1038" spans="40:41" x14ac:dyDescent="0.1">
      <c r="AN1038" s="35">
        <v>30595</v>
      </c>
      <c r="AO1038" s="4" t="s">
        <v>111</v>
      </c>
    </row>
    <row r="1039" spans="40:41" x14ac:dyDescent="0.1">
      <c r="AN1039" s="35">
        <v>30625</v>
      </c>
      <c r="AO1039" s="4" t="s">
        <v>112</v>
      </c>
    </row>
    <row r="1040" spans="40:41" x14ac:dyDescent="0.1">
      <c r="AN1040" s="35">
        <v>30654</v>
      </c>
      <c r="AO1040" s="4" t="s">
        <v>379</v>
      </c>
    </row>
    <row r="1041" spans="40:41" x14ac:dyDescent="0.1">
      <c r="AN1041" s="35">
        <v>30684</v>
      </c>
      <c r="AO1041" s="4" t="s">
        <v>113</v>
      </c>
    </row>
    <row r="1042" spans="40:41" x14ac:dyDescent="0.1">
      <c r="AN1042" s="35">
        <v>30714</v>
      </c>
      <c r="AO1042" s="4" t="s">
        <v>100</v>
      </c>
    </row>
    <row r="1043" spans="40:41" x14ac:dyDescent="0.1">
      <c r="AN1043" s="35">
        <v>30744</v>
      </c>
      <c r="AO1043" s="4" t="s">
        <v>104</v>
      </c>
    </row>
    <row r="1044" spans="40:41" x14ac:dyDescent="0.1">
      <c r="AN1044" s="35">
        <v>30773</v>
      </c>
      <c r="AO1044" s="4" t="s">
        <v>105</v>
      </c>
    </row>
    <row r="1045" spans="40:41" x14ac:dyDescent="0.1">
      <c r="AN1045" s="35">
        <v>30803</v>
      </c>
      <c r="AO1045" s="4" t="s">
        <v>106</v>
      </c>
    </row>
    <row r="1046" spans="40:41" x14ac:dyDescent="0.1">
      <c r="AN1046" s="35">
        <v>30833</v>
      </c>
      <c r="AO1046" s="4" t="s">
        <v>107</v>
      </c>
    </row>
    <row r="1047" spans="40:41" x14ac:dyDescent="0.1">
      <c r="AN1047" s="35">
        <v>30862</v>
      </c>
      <c r="AO1047" s="4" t="s">
        <v>108</v>
      </c>
    </row>
    <row r="1048" spans="40:41" x14ac:dyDescent="0.1">
      <c r="AN1048" s="35">
        <v>30891</v>
      </c>
      <c r="AO1048" s="4" t="s">
        <v>109</v>
      </c>
    </row>
    <row r="1049" spans="40:41" x14ac:dyDescent="0.1">
      <c r="AN1049" s="35">
        <v>30921</v>
      </c>
      <c r="AO1049" s="4" t="s">
        <v>110</v>
      </c>
    </row>
    <row r="1050" spans="40:41" x14ac:dyDescent="0.1">
      <c r="AN1050" s="35">
        <v>30950</v>
      </c>
      <c r="AO1050" s="4" t="s">
        <v>111</v>
      </c>
    </row>
    <row r="1051" spans="40:41" x14ac:dyDescent="0.1">
      <c r="AN1051" s="35">
        <v>30979</v>
      </c>
      <c r="AO1051" s="4" t="s">
        <v>112</v>
      </c>
    </row>
    <row r="1052" spans="40:41" x14ac:dyDescent="0.1">
      <c r="AN1052" s="35">
        <v>31009</v>
      </c>
      <c r="AO1052" s="4" t="s">
        <v>148</v>
      </c>
    </row>
    <row r="1053" spans="40:41" x14ac:dyDescent="0.1">
      <c r="AN1053" s="35">
        <v>31038</v>
      </c>
      <c r="AO1053" s="4" t="s">
        <v>379</v>
      </c>
    </row>
    <row r="1054" spans="40:41" x14ac:dyDescent="0.1">
      <c r="AN1054" s="35">
        <v>31068</v>
      </c>
      <c r="AO1054" s="4" t="s">
        <v>113</v>
      </c>
    </row>
    <row r="1055" spans="40:41" x14ac:dyDescent="0.1">
      <c r="AN1055" s="35">
        <v>31098</v>
      </c>
      <c r="AO1055" s="4" t="s">
        <v>100</v>
      </c>
    </row>
    <row r="1056" spans="40:41" x14ac:dyDescent="0.1">
      <c r="AN1056" s="35">
        <v>31127</v>
      </c>
      <c r="AO1056" s="4" t="s">
        <v>104</v>
      </c>
    </row>
    <row r="1057" spans="40:41" x14ac:dyDescent="0.1">
      <c r="AN1057" s="35">
        <v>31157</v>
      </c>
      <c r="AO1057" s="4" t="s">
        <v>105</v>
      </c>
    </row>
    <row r="1058" spans="40:41" x14ac:dyDescent="0.1">
      <c r="AN1058" s="35">
        <v>31187</v>
      </c>
      <c r="AO1058" s="4" t="s">
        <v>106</v>
      </c>
    </row>
    <row r="1059" spans="40:41" x14ac:dyDescent="0.1">
      <c r="AN1059" s="35">
        <v>31216</v>
      </c>
      <c r="AO1059" s="4" t="s">
        <v>107</v>
      </c>
    </row>
    <row r="1060" spans="40:41" x14ac:dyDescent="0.1">
      <c r="AN1060" s="35">
        <v>31246</v>
      </c>
      <c r="AO1060" s="4" t="s">
        <v>108</v>
      </c>
    </row>
    <row r="1061" spans="40:41" x14ac:dyDescent="0.1">
      <c r="AN1061" s="35">
        <v>31275</v>
      </c>
      <c r="AO1061" s="4" t="s">
        <v>109</v>
      </c>
    </row>
    <row r="1062" spans="40:41" x14ac:dyDescent="0.1">
      <c r="AN1062" s="35">
        <v>31305</v>
      </c>
      <c r="AO1062" s="4" t="s">
        <v>110</v>
      </c>
    </row>
    <row r="1063" spans="40:41" x14ac:dyDescent="0.1">
      <c r="AN1063" s="35">
        <v>31334</v>
      </c>
      <c r="AO1063" s="4" t="s">
        <v>111</v>
      </c>
    </row>
    <row r="1064" spans="40:41" x14ac:dyDescent="0.1">
      <c r="AN1064" s="35">
        <v>31363</v>
      </c>
      <c r="AO1064" s="4" t="s">
        <v>112</v>
      </c>
    </row>
    <row r="1065" spans="40:41" x14ac:dyDescent="0.1">
      <c r="AN1065" s="35">
        <v>31393</v>
      </c>
      <c r="AO1065" s="4" t="s">
        <v>379</v>
      </c>
    </row>
    <row r="1066" spans="40:41" x14ac:dyDescent="0.1">
      <c r="AN1066" s="35">
        <v>31422</v>
      </c>
      <c r="AO1066" s="4" t="s">
        <v>113</v>
      </c>
    </row>
    <row r="1067" spans="40:41" x14ac:dyDescent="0.1">
      <c r="AN1067" s="35">
        <v>31452</v>
      </c>
      <c r="AO1067" s="4" t="s">
        <v>100</v>
      </c>
    </row>
    <row r="1068" spans="40:41" x14ac:dyDescent="0.1">
      <c r="AN1068" s="35">
        <v>31481</v>
      </c>
      <c r="AO1068" s="4" t="s">
        <v>104</v>
      </c>
    </row>
    <row r="1069" spans="40:41" x14ac:dyDescent="0.1">
      <c r="AN1069" s="35">
        <v>31511</v>
      </c>
      <c r="AO1069" s="4" t="s">
        <v>105</v>
      </c>
    </row>
    <row r="1070" spans="40:41" x14ac:dyDescent="0.1">
      <c r="AN1070" s="35">
        <v>31541</v>
      </c>
      <c r="AO1070" s="4" t="s">
        <v>106</v>
      </c>
    </row>
    <row r="1071" spans="40:41" x14ac:dyDescent="0.1">
      <c r="AN1071" s="35">
        <v>31570</v>
      </c>
      <c r="AO1071" s="4" t="s">
        <v>107</v>
      </c>
    </row>
    <row r="1072" spans="40:41" x14ac:dyDescent="0.1">
      <c r="AN1072" s="35">
        <v>31600</v>
      </c>
      <c r="AO1072" s="4" t="s">
        <v>108</v>
      </c>
    </row>
    <row r="1073" spans="40:41" x14ac:dyDescent="0.1">
      <c r="AN1073" s="35">
        <v>31630</v>
      </c>
      <c r="AO1073" s="4" t="s">
        <v>109</v>
      </c>
    </row>
    <row r="1074" spans="40:41" x14ac:dyDescent="0.1">
      <c r="AN1074" s="35">
        <v>31659</v>
      </c>
      <c r="AO1074" s="4" t="s">
        <v>110</v>
      </c>
    </row>
    <row r="1075" spans="40:41" x14ac:dyDescent="0.1">
      <c r="AN1075" s="35">
        <v>31689</v>
      </c>
      <c r="AO1075" s="4" t="s">
        <v>111</v>
      </c>
    </row>
    <row r="1076" spans="40:41" x14ac:dyDescent="0.1">
      <c r="AN1076" s="35">
        <v>31718</v>
      </c>
      <c r="AO1076" s="4" t="s">
        <v>112</v>
      </c>
    </row>
    <row r="1077" spans="40:41" x14ac:dyDescent="0.1">
      <c r="AN1077" s="35">
        <v>31748</v>
      </c>
      <c r="AO1077" s="4" t="s">
        <v>379</v>
      </c>
    </row>
    <row r="1078" spans="40:41" x14ac:dyDescent="0.1">
      <c r="AN1078" s="35">
        <v>31777</v>
      </c>
      <c r="AO1078" s="4" t="s">
        <v>113</v>
      </c>
    </row>
    <row r="1079" spans="40:41" x14ac:dyDescent="0.1">
      <c r="AN1079" s="35">
        <v>31806</v>
      </c>
      <c r="AO1079" s="4" t="s">
        <v>100</v>
      </c>
    </row>
    <row r="1080" spans="40:41" x14ac:dyDescent="0.1">
      <c r="AN1080" s="35">
        <v>31836</v>
      </c>
      <c r="AO1080" s="4" t="s">
        <v>104</v>
      </c>
    </row>
    <row r="1081" spans="40:41" x14ac:dyDescent="0.1">
      <c r="AN1081" s="35">
        <v>31865</v>
      </c>
      <c r="AO1081" s="4" t="s">
        <v>105</v>
      </c>
    </row>
    <row r="1082" spans="40:41" x14ac:dyDescent="0.1">
      <c r="AN1082" s="35">
        <v>31895</v>
      </c>
      <c r="AO1082" s="4" t="s">
        <v>106</v>
      </c>
    </row>
    <row r="1083" spans="40:41" x14ac:dyDescent="0.1">
      <c r="AN1083" s="35">
        <v>31924</v>
      </c>
      <c r="AO1083" s="4" t="s">
        <v>107</v>
      </c>
    </row>
    <row r="1084" spans="40:41" x14ac:dyDescent="0.1">
      <c r="AN1084" s="35">
        <v>31954</v>
      </c>
      <c r="AO1084" s="4" t="s">
        <v>108</v>
      </c>
    </row>
    <row r="1085" spans="40:41" x14ac:dyDescent="0.1">
      <c r="AN1085" s="35">
        <v>31984</v>
      </c>
      <c r="AO1085" s="4" t="s">
        <v>145</v>
      </c>
    </row>
    <row r="1086" spans="40:41" x14ac:dyDescent="0.1">
      <c r="AN1086" s="35">
        <v>32013</v>
      </c>
      <c r="AO1086" s="4" t="s">
        <v>109</v>
      </c>
    </row>
    <row r="1087" spans="40:41" x14ac:dyDescent="0.1">
      <c r="AN1087" s="35">
        <v>32043</v>
      </c>
      <c r="AO1087" s="4" t="s">
        <v>110</v>
      </c>
    </row>
    <row r="1088" spans="40:41" x14ac:dyDescent="0.1">
      <c r="AN1088" s="35">
        <v>32073</v>
      </c>
      <c r="AO1088" s="4" t="s">
        <v>111</v>
      </c>
    </row>
    <row r="1089" spans="40:41" x14ac:dyDescent="0.1">
      <c r="AN1089" s="35">
        <v>32102</v>
      </c>
      <c r="AO1089" s="4" t="s">
        <v>112</v>
      </c>
    </row>
    <row r="1090" spans="40:41" x14ac:dyDescent="0.1">
      <c r="AN1090" s="35">
        <v>32132</v>
      </c>
      <c r="AO1090" s="4" t="s">
        <v>379</v>
      </c>
    </row>
    <row r="1091" spans="40:41" x14ac:dyDescent="0.1">
      <c r="AN1091" s="35">
        <v>32161</v>
      </c>
      <c r="AO1091" s="4" t="s">
        <v>113</v>
      </c>
    </row>
    <row r="1092" spans="40:41" x14ac:dyDescent="0.1">
      <c r="AN1092" s="35">
        <v>32190</v>
      </c>
      <c r="AO1092" s="4" t="s">
        <v>100</v>
      </c>
    </row>
    <row r="1093" spans="40:41" x14ac:dyDescent="0.1">
      <c r="AN1093" s="35">
        <v>32220</v>
      </c>
      <c r="AO1093" s="4" t="s">
        <v>104</v>
      </c>
    </row>
    <row r="1094" spans="40:41" x14ac:dyDescent="0.1">
      <c r="AN1094" s="35">
        <v>32249</v>
      </c>
      <c r="AO1094" s="4" t="s">
        <v>105</v>
      </c>
    </row>
    <row r="1095" spans="40:41" x14ac:dyDescent="0.1">
      <c r="AN1095" s="35">
        <v>32279</v>
      </c>
      <c r="AO1095" s="4" t="s">
        <v>106</v>
      </c>
    </row>
    <row r="1096" spans="40:41" x14ac:dyDescent="0.1">
      <c r="AN1096" s="35">
        <v>32308</v>
      </c>
      <c r="AO1096" s="4" t="s">
        <v>107</v>
      </c>
    </row>
    <row r="1097" spans="40:41" x14ac:dyDescent="0.1">
      <c r="AN1097" s="35">
        <v>32338</v>
      </c>
      <c r="AO1097" s="4" t="s">
        <v>108</v>
      </c>
    </row>
    <row r="1098" spans="40:41" x14ac:dyDescent="0.1">
      <c r="AN1098" s="35">
        <v>32367</v>
      </c>
      <c r="AO1098" s="4" t="s">
        <v>109</v>
      </c>
    </row>
    <row r="1099" spans="40:41" x14ac:dyDescent="0.1">
      <c r="AN1099" s="35">
        <v>32397</v>
      </c>
      <c r="AO1099" s="4" t="s">
        <v>110</v>
      </c>
    </row>
    <row r="1100" spans="40:41" x14ac:dyDescent="0.1">
      <c r="AN1100" s="35">
        <v>32427</v>
      </c>
      <c r="AO1100" s="4" t="s">
        <v>111</v>
      </c>
    </row>
    <row r="1101" spans="40:41" x14ac:dyDescent="0.1">
      <c r="AN1101" s="35">
        <v>32456</v>
      </c>
      <c r="AO1101" s="4" t="s">
        <v>112</v>
      </c>
    </row>
    <row r="1102" spans="40:41" x14ac:dyDescent="0.1">
      <c r="AN1102" s="35">
        <v>32486</v>
      </c>
      <c r="AO1102" s="4" t="s">
        <v>379</v>
      </c>
    </row>
    <row r="1103" spans="40:41" x14ac:dyDescent="0.1">
      <c r="AN1103" s="35">
        <v>32516</v>
      </c>
      <c r="AO1103" s="4" t="s">
        <v>113</v>
      </c>
    </row>
    <row r="1104" spans="40:41" x14ac:dyDescent="0.1">
      <c r="AN1104" s="35">
        <v>32545</v>
      </c>
      <c r="AO1104" s="4" t="s">
        <v>100</v>
      </c>
    </row>
    <row r="1105" spans="40:41" x14ac:dyDescent="0.1">
      <c r="AN1105" s="35">
        <v>32575</v>
      </c>
      <c r="AO1105" s="4" t="s">
        <v>104</v>
      </c>
    </row>
    <row r="1106" spans="40:41" x14ac:dyDescent="0.1">
      <c r="AN1106" s="35">
        <v>32604</v>
      </c>
      <c r="AO1106" s="4" t="s">
        <v>105</v>
      </c>
    </row>
    <row r="1107" spans="40:41" x14ac:dyDescent="0.1">
      <c r="AN1107" s="35">
        <v>32633</v>
      </c>
      <c r="AO1107" s="4" t="s">
        <v>106</v>
      </c>
    </row>
    <row r="1108" spans="40:41" x14ac:dyDescent="0.1">
      <c r="AN1108" s="35">
        <v>32663</v>
      </c>
      <c r="AO1108" s="4" t="s">
        <v>107</v>
      </c>
    </row>
    <row r="1109" spans="40:41" x14ac:dyDescent="0.1">
      <c r="AN1109" s="35">
        <v>32692</v>
      </c>
      <c r="AO1109" s="4" t="s">
        <v>108</v>
      </c>
    </row>
    <row r="1110" spans="40:41" x14ac:dyDescent="0.1">
      <c r="AN1110" s="35">
        <v>32721</v>
      </c>
      <c r="AO1110" s="4" t="s">
        <v>109</v>
      </c>
    </row>
    <row r="1111" spans="40:41" x14ac:dyDescent="0.1">
      <c r="AN1111" s="35">
        <v>32751</v>
      </c>
      <c r="AO1111" s="4" t="s">
        <v>110</v>
      </c>
    </row>
    <row r="1112" spans="40:41" x14ac:dyDescent="0.1">
      <c r="AN1112" s="35">
        <v>32781</v>
      </c>
      <c r="AO1112" s="4" t="s">
        <v>111</v>
      </c>
    </row>
    <row r="1113" spans="40:41" x14ac:dyDescent="0.1">
      <c r="AN1113" s="35">
        <v>32810</v>
      </c>
      <c r="AO1113" s="4" t="s">
        <v>112</v>
      </c>
    </row>
    <row r="1114" spans="40:41" x14ac:dyDescent="0.1">
      <c r="AN1114" s="35">
        <v>32840</v>
      </c>
      <c r="AO1114" s="4" t="s">
        <v>379</v>
      </c>
    </row>
    <row r="1115" spans="40:41" x14ac:dyDescent="0.1">
      <c r="AN1115" s="35">
        <v>32870</v>
      </c>
      <c r="AO1115" s="4" t="s">
        <v>113</v>
      </c>
    </row>
    <row r="1116" spans="40:41" x14ac:dyDescent="0.1">
      <c r="AN1116" s="35">
        <v>32900</v>
      </c>
      <c r="AO1116" s="4" t="s">
        <v>100</v>
      </c>
    </row>
    <row r="1117" spans="40:41" x14ac:dyDescent="0.1">
      <c r="AN1117" s="35">
        <v>32929</v>
      </c>
      <c r="AO1117" s="4" t="s">
        <v>104</v>
      </c>
    </row>
    <row r="1118" spans="40:41" x14ac:dyDescent="0.1">
      <c r="AN1118" s="35">
        <v>32959</v>
      </c>
      <c r="AO1118" s="4" t="s">
        <v>105</v>
      </c>
    </row>
    <row r="1119" spans="40:41" x14ac:dyDescent="0.1">
      <c r="AN1119" s="35">
        <v>32988</v>
      </c>
      <c r="AO1119" s="4" t="s">
        <v>106</v>
      </c>
    </row>
    <row r="1120" spans="40:41" x14ac:dyDescent="0.1">
      <c r="AN1120" s="35">
        <v>33017</v>
      </c>
      <c r="AO1120" s="4" t="s">
        <v>107</v>
      </c>
    </row>
    <row r="1121" spans="40:41" x14ac:dyDescent="0.1">
      <c r="AN1121" s="35">
        <v>33047</v>
      </c>
      <c r="AO1121" s="4" t="s">
        <v>142</v>
      </c>
    </row>
    <row r="1122" spans="40:41" x14ac:dyDescent="0.1">
      <c r="AN1122" s="35">
        <v>33076</v>
      </c>
      <c r="AO1122" s="4" t="s">
        <v>108</v>
      </c>
    </row>
    <row r="1123" spans="40:41" x14ac:dyDescent="0.1">
      <c r="AN1123" s="35">
        <v>33105</v>
      </c>
      <c r="AO1123" s="4" t="s">
        <v>109</v>
      </c>
    </row>
    <row r="1124" spans="40:41" x14ac:dyDescent="0.1">
      <c r="AN1124" s="35">
        <v>33135</v>
      </c>
      <c r="AO1124" s="4" t="s">
        <v>110</v>
      </c>
    </row>
    <row r="1125" spans="40:41" x14ac:dyDescent="0.1">
      <c r="AN1125" s="35">
        <v>33164</v>
      </c>
      <c r="AO1125" s="4" t="s">
        <v>111</v>
      </c>
    </row>
    <row r="1126" spans="40:41" x14ac:dyDescent="0.1">
      <c r="AN1126" s="35">
        <v>33194</v>
      </c>
      <c r="AO1126" s="4" t="s">
        <v>112</v>
      </c>
    </row>
    <row r="1127" spans="40:41" x14ac:dyDescent="0.1">
      <c r="AN1127" s="35">
        <v>33224</v>
      </c>
      <c r="AO1127" s="4" t="s">
        <v>379</v>
      </c>
    </row>
    <row r="1128" spans="40:41" x14ac:dyDescent="0.1">
      <c r="AN1128" s="35">
        <v>33254</v>
      </c>
      <c r="AO1128" s="4" t="s">
        <v>113</v>
      </c>
    </row>
    <row r="1129" spans="40:41" x14ac:dyDescent="0.1">
      <c r="AN1129" s="35">
        <v>33284</v>
      </c>
      <c r="AO1129" s="4" t="s">
        <v>100</v>
      </c>
    </row>
    <row r="1130" spans="40:41" x14ac:dyDescent="0.1">
      <c r="AN1130" s="35">
        <v>33313</v>
      </c>
      <c r="AO1130" s="4" t="s">
        <v>104</v>
      </c>
    </row>
    <row r="1131" spans="40:41" x14ac:dyDescent="0.1">
      <c r="AN1131" s="35">
        <v>33343</v>
      </c>
      <c r="AO1131" s="4" t="s">
        <v>105</v>
      </c>
    </row>
    <row r="1132" spans="40:41" x14ac:dyDescent="0.1">
      <c r="AN1132" s="35">
        <v>33372</v>
      </c>
      <c r="AO1132" s="4" t="s">
        <v>106</v>
      </c>
    </row>
    <row r="1133" spans="40:41" x14ac:dyDescent="0.1">
      <c r="AN1133" s="35">
        <v>33401</v>
      </c>
      <c r="AO1133" s="4" t="s">
        <v>107</v>
      </c>
    </row>
    <row r="1134" spans="40:41" x14ac:dyDescent="0.1">
      <c r="AN1134" s="35">
        <v>33431</v>
      </c>
      <c r="AO1134" s="4" t="s">
        <v>108</v>
      </c>
    </row>
    <row r="1135" spans="40:41" x14ac:dyDescent="0.1">
      <c r="AN1135" s="35">
        <v>33460</v>
      </c>
      <c r="AO1135" s="4" t="s">
        <v>109</v>
      </c>
    </row>
    <row r="1136" spans="40:41" x14ac:dyDescent="0.1">
      <c r="AN1136" s="35">
        <v>33489</v>
      </c>
      <c r="AO1136" s="4" t="s">
        <v>110</v>
      </c>
    </row>
    <row r="1137" spans="40:41" x14ac:dyDescent="0.1">
      <c r="AN1137" s="35">
        <v>33519</v>
      </c>
      <c r="AO1137" s="4" t="s">
        <v>111</v>
      </c>
    </row>
    <row r="1138" spans="40:41" x14ac:dyDescent="0.1">
      <c r="AN1138" s="35">
        <v>33548</v>
      </c>
      <c r="AO1138" s="4" t="s">
        <v>112</v>
      </c>
    </row>
    <row r="1139" spans="40:41" x14ac:dyDescent="0.1">
      <c r="AN1139" s="35">
        <v>33578</v>
      </c>
      <c r="AO1139" s="4" t="s">
        <v>379</v>
      </c>
    </row>
    <row r="1140" spans="40:41" x14ac:dyDescent="0.1">
      <c r="AN1140" s="35">
        <v>33608</v>
      </c>
      <c r="AO1140" s="4" t="s">
        <v>113</v>
      </c>
    </row>
    <row r="1141" spans="40:41" x14ac:dyDescent="0.1">
      <c r="AN1141" s="35">
        <v>33638</v>
      </c>
      <c r="AO1141" s="4" t="s">
        <v>100</v>
      </c>
    </row>
    <row r="1142" spans="40:41" x14ac:dyDescent="0.1">
      <c r="AN1142" s="35">
        <v>33667</v>
      </c>
      <c r="AO1142" s="4" t="s">
        <v>104</v>
      </c>
    </row>
    <row r="1143" spans="40:41" x14ac:dyDescent="0.1">
      <c r="AN1143" s="35">
        <v>33697</v>
      </c>
      <c r="AO1143" s="4" t="s">
        <v>105</v>
      </c>
    </row>
    <row r="1144" spans="40:41" x14ac:dyDescent="0.1">
      <c r="AN1144" s="35">
        <v>33727</v>
      </c>
      <c r="AO1144" s="4" t="s">
        <v>106</v>
      </c>
    </row>
    <row r="1145" spans="40:41" x14ac:dyDescent="0.1">
      <c r="AN1145" s="35">
        <v>33756</v>
      </c>
      <c r="AO1145" s="4" t="s">
        <v>107</v>
      </c>
    </row>
    <row r="1146" spans="40:41" x14ac:dyDescent="0.1">
      <c r="AN1146" s="35">
        <v>33785</v>
      </c>
      <c r="AO1146" s="4" t="s">
        <v>108</v>
      </c>
    </row>
    <row r="1147" spans="40:41" x14ac:dyDescent="0.1">
      <c r="AN1147" s="35">
        <v>33815</v>
      </c>
      <c r="AO1147" s="4" t="s">
        <v>109</v>
      </c>
    </row>
    <row r="1148" spans="40:41" x14ac:dyDescent="0.1">
      <c r="AN1148" s="35">
        <v>33844</v>
      </c>
      <c r="AO1148" s="4" t="s">
        <v>110</v>
      </c>
    </row>
    <row r="1149" spans="40:41" x14ac:dyDescent="0.1">
      <c r="AN1149" s="35">
        <v>33873</v>
      </c>
      <c r="AO1149" s="4" t="s">
        <v>111</v>
      </c>
    </row>
    <row r="1150" spans="40:41" x14ac:dyDescent="0.1">
      <c r="AN1150" s="35">
        <v>33903</v>
      </c>
      <c r="AO1150" s="4" t="s">
        <v>112</v>
      </c>
    </row>
    <row r="1151" spans="40:41" x14ac:dyDescent="0.1">
      <c r="AN1151" s="35">
        <v>33932</v>
      </c>
      <c r="AO1151" s="4" t="s">
        <v>379</v>
      </c>
    </row>
    <row r="1152" spans="40:41" x14ac:dyDescent="0.1">
      <c r="AN1152" s="35">
        <v>33962</v>
      </c>
      <c r="AO1152" s="4" t="s">
        <v>113</v>
      </c>
    </row>
    <row r="1153" spans="40:41" x14ac:dyDescent="0.1">
      <c r="AN1153" s="35">
        <v>33992</v>
      </c>
      <c r="AO1153" s="4" t="s">
        <v>100</v>
      </c>
    </row>
    <row r="1154" spans="40:41" x14ac:dyDescent="0.1">
      <c r="AN1154" s="35">
        <v>34021</v>
      </c>
      <c r="AO1154" s="4" t="s">
        <v>104</v>
      </c>
    </row>
    <row r="1155" spans="40:41" x14ac:dyDescent="0.1">
      <c r="AN1155" s="35">
        <v>34051</v>
      </c>
      <c r="AO1155" s="4" t="s">
        <v>105</v>
      </c>
    </row>
    <row r="1156" spans="40:41" x14ac:dyDescent="0.1">
      <c r="AN1156" s="35">
        <v>34081</v>
      </c>
      <c r="AO1156" s="4" t="s">
        <v>147</v>
      </c>
    </row>
    <row r="1157" spans="40:41" x14ac:dyDescent="0.1">
      <c r="AN1157" s="35">
        <v>34110</v>
      </c>
      <c r="AO1157" s="4" t="s">
        <v>106</v>
      </c>
    </row>
    <row r="1158" spans="40:41" x14ac:dyDescent="0.1">
      <c r="AN1158" s="35">
        <v>34140</v>
      </c>
      <c r="AO1158" s="4" t="s">
        <v>107</v>
      </c>
    </row>
    <row r="1159" spans="40:41" x14ac:dyDescent="0.1">
      <c r="AN1159" s="35">
        <v>34169</v>
      </c>
      <c r="AO1159" s="4" t="s">
        <v>108</v>
      </c>
    </row>
    <row r="1160" spans="40:41" x14ac:dyDescent="0.1">
      <c r="AN1160" s="35">
        <v>34199</v>
      </c>
      <c r="AO1160" s="4" t="s">
        <v>109</v>
      </c>
    </row>
    <row r="1161" spans="40:41" x14ac:dyDescent="0.1">
      <c r="AN1161" s="35">
        <v>34228</v>
      </c>
      <c r="AO1161" s="4" t="s">
        <v>110</v>
      </c>
    </row>
    <row r="1162" spans="40:41" x14ac:dyDescent="0.1">
      <c r="AN1162" s="35">
        <v>34257</v>
      </c>
      <c r="AO1162" s="4" t="s">
        <v>111</v>
      </c>
    </row>
    <row r="1163" spans="40:41" x14ac:dyDescent="0.1">
      <c r="AN1163" s="35">
        <v>34287</v>
      </c>
      <c r="AO1163" s="4" t="s">
        <v>112</v>
      </c>
    </row>
    <row r="1164" spans="40:41" x14ac:dyDescent="0.1">
      <c r="AN1164" s="35">
        <v>34316</v>
      </c>
      <c r="AO1164" s="4" t="s">
        <v>379</v>
      </c>
    </row>
    <row r="1165" spans="40:41" x14ac:dyDescent="0.1">
      <c r="AN1165" s="35">
        <v>34346</v>
      </c>
      <c r="AO1165" s="4" t="s">
        <v>113</v>
      </c>
    </row>
    <row r="1166" spans="40:41" x14ac:dyDescent="0.1">
      <c r="AN1166" s="35">
        <v>34375</v>
      </c>
      <c r="AO1166" s="4" t="s">
        <v>100</v>
      </c>
    </row>
    <row r="1167" spans="40:41" x14ac:dyDescent="0.1">
      <c r="AN1167" s="35">
        <v>34405</v>
      </c>
      <c r="AO1167" s="4" t="s">
        <v>104</v>
      </c>
    </row>
    <row r="1168" spans="40:41" x14ac:dyDescent="0.1">
      <c r="AN1168" s="35">
        <v>34435</v>
      </c>
      <c r="AO1168" s="4" t="s">
        <v>105</v>
      </c>
    </row>
    <row r="1169" spans="40:41" x14ac:dyDescent="0.1">
      <c r="AN1169" s="35">
        <v>34465</v>
      </c>
      <c r="AO1169" s="4" t="s">
        <v>106</v>
      </c>
    </row>
    <row r="1170" spans="40:41" x14ac:dyDescent="0.1">
      <c r="AN1170" s="35">
        <v>34494</v>
      </c>
      <c r="AO1170" s="4" t="s">
        <v>107</v>
      </c>
    </row>
    <row r="1171" spans="40:41" x14ac:dyDescent="0.1">
      <c r="AN1171" s="35">
        <v>34524</v>
      </c>
      <c r="AO1171" s="4" t="s">
        <v>108</v>
      </c>
    </row>
    <row r="1172" spans="40:41" x14ac:dyDescent="0.1">
      <c r="AN1172" s="35">
        <v>34553</v>
      </c>
      <c r="AO1172" s="4" t="s">
        <v>109</v>
      </c>
    </row>
    <row r="1173" spans="40:41" x14ac:dyDescent="0.1">
      <c r="AN1173" s="35">
        <v>34583</v>
      </c>
      <c r="AO1173" s="4" t="s">
        <v>110</v>
      </c>
    </row>
    <row r="1174" spans="40:41" x14ac:dyDescent="0.1">
      <c r="AN1174" s="35">
        <v>34612</v>
      </c>
      <c r="AO1174" s="4" t="s">
        <v>111</v>
      </c>
    </row>
    <row r="1175" spans="40:41" x14ac:dyDescent="0.1">
      <c r="AN1175" s="35">
        <v>34641</v>
      </c>
      <c r="AO1175" s="4" t="s">
        <v>112</v>
      </c>
    </row>
    <row r="1176" spans="40:41" x14ac:dyDescent="0.1">
      <c r="AN1176" s="35">
        <v>34671</v>
      </c>
      <c r="AO1176" s="4" t="s">
        <v>379</v>
      </c>
    </row>
    <row r="1177" spans="40:41" x14ac:dyDescent="0.1">
      <c r="AN1177" s="35">
        <v>34700</v>
      </c>
      <c r="AO1177" s="4" t="s">
        <v>113</v>
      </c>
    </row>
    <row r="1178" spans="40:41" x14ac:dyDescent="0.1">
      <c r="AN1178" s="35">
        <v>34730</v>
      </c>
      <c r="AO1178" s="4" t="s">
        <v>100</v>
      </c>
    </row>
    <row r="1179" spans="40:41" x14ac:dyDescent="0.1">
      <c r="AN1179" s="35">
        <v>34759</v>
      </c>
      <c r="AO1179" s="4" t="s">
        <v>104</v>
      </c>
    </row>
    <row r="1180" spans="40:41" x14ac:dyDescent="0.1">
      <c r="AN1180" s="35">
        <v>34789</v>
      </c>
      <c r="AO1180" s="4" t="s">
        <v>105</v>
      </c>
    </row>
    <row r="1181" spans="40:41" x14ac:dyDescent="0.1">
      <c r="AN1181" s="35">
        <v>34819</v>
      </c>
      <c r="AO1181" s="4" t="s">
        <v>106</v>
      </c>
    </row>
    <row r="1182" spans="40:41" x14ac:dyDescent="0.1">
      <c r="AN1182" s="35">
        <v>34848</v>
      </c>
      <c r="AO1182" s="4" t="s">
        <v>107</v>
      </c>
    </row>
    <row r="1183" spans="40:41" x14ac:dyDescent="0.1">
      <c r="AN1183" s="35">
        <v>34878</v>
      </c>
      <c r="AO1183" s="4" t="s">
        <v>108</v>
      </c>
    </row>
    <row r="1184" spans="40:41" x14ac:dyDescent="0.1">
      <c r="AN1184" s="35">
        <v>34907</v>
      </c>
      <c r="AO1184" s="4" t="s">
        <v>109</v>
      </c>
    </row>
    <row r="1185" spans="40:41" x14ac:dyDescent="0.1">
      <c r="AN1185" s="35">
        <v>34937</v>
      </c>
      <c r="AO1185" s="4" t="s">
        <v>110</v>
      </c>
    </row>
    <row r="1186" spans="40:41" x14ac:dyDescent="0.1">
      <c r="AN1186" s="35">
        <v>34967</v>
      </c>
      <c r="AO1186" s="4" t="s">
        <v>141</v>
      </c>
    </row>
    <row r="1187" spans="40:41" x14ac:dyDescent="0.1">
      <c r="AN1187" s="35">
        <v>34996</v>
      </c>
      <c r="AO1187" s="4" t="s">
        <v>111</v>
      </c>
    </row>
    <row r="1188" spans="40:41" x14ac:dyDescent="0.1">
      <c r="AN1188" s="35">
        <v>35025</v>
      </c>
      <c r="AO1188" s="4" t="s">
        <v>112</v>
      </c>
    </row>
    <row r="1189" spans="40:41" x14ac:dyDescent="0.1">
      <c r="AN1189" s="35">
        <v>35055</v>
      </c>
      <c r="AO1189" s="4" t="s">
        <v>379</v>
      </c>
    </row>
    <row r="1190" spans="40:41" x14ac:dyDescent="0.1">
      <c r="AN1190" s="35">
        <v>35084</v>
      </c>
      <c r="AO1190" s="4" t="s">
        <v>113</v>
      </c>
    </row>
    <row r="1191" spans="40:41" x14ac:dyDescent="0.1">
      <c r="AN1191" s="35">
        <v>35114</v>
      </c>
      <c r="AO1191" s="4" t="s">
        <v>100</v>
      </c>
    </row>
    <row r="1192" spans="40:41" x14ac:dyDescent="0.1">
      <c r="AN1192" s="35">
        <v>35143</v>
      </c>
      <c r="AO1192" s="4" t="s">
        <v>104</v>
      </c>
    </row>
    <row r="1193" spans="40:41" x14ac:dyDescent="0.1">
      <c r="AN1193" s="35">
        <v>35173</v>
      </c>
      <c r="AO1193" s="4" t="s">
        <v>105</v>
      </c>
    </row>
    <row r="1194" spans="40:41" x14ac:dyDescent="0.1">
      <c r="AN1194" s="35">
        <v>35202</v>
      </c>
      <c r="AO1194" s="4" t="s">
        <v>106</v>
      </c>
    </row>
    <row r="1195" spans="40:41" x14ac:dyDescent="0.1">
      <c r="AN1195" s="35">
        <v>35232</v>
      </c>
      <c r="AO1195" s="4" t="s">
        <v>107</v>
      </c>
    </row>
    <row r="1196" spans="40:41" x14ac:dyDescent="0.1">
      <c r="AN1196" s="35">
        <v>35262</v>
      </c>
      <c r="AO1196" s="4" t="s">
        <v>108</v>
      </c>
    </row>
    <row r="1197" spans="40:41" x14ac:dyDescent="0.1">
      <c r="AN1197" s="35">
        <v>35291</v>
      </c>
      <c r="AO1197" s="4" t="s">
        <v>109</v>
      </c>
    </row>
    <row r="1198" spans="40:41" x14ac:dyDescent="0.1">
      <c r="AN1198" s="35">
        <v>35321</v>
      </c>
      <c r="AO1198" s="4" t="s">
        <v>110</v>
      </c>
    </row>
    <row r="1199" spans="40:41" x14ac:dyDescent="0.1">
      <c r="AN1199" s="35">
        <v>35350</v>
      </c>
      <c r="AO1199" s="4" t="s">
        <v>111</v>
      </c>
    </row>
    <row r="1200" spans="40:41" x14ac:dyDescent="0.1">
      <c r="AN1200" s="35">
        <v>35380</v>
      </c>
      <c r="AO1200" s="4" t="s">
        <v>112</v>
      </c>
    </row>
    <row r="1201" spans="40:41" x14ac:dyDescent="0.1">
      <c r="AN1201" s="35">
        <v>35410</v>
      </c>
      <c r="AO1201" s="4" t="s">
        <v>379</v>
      </c>
    </row>
    <row r="1202" spans="40:41" x14ac:dyDescent="0.1">
      <c r="AN1202" s="35">
        <v>35439</v>
      </c>
      <c r="AO1202" s="4" t="s">
        <v>113</v>
      </c>
    </row>
    <row r="1203" spans="40:41" x14ac:dyDescent="0.1">
      <c r="AN1203" s="35">
        <v>35468</v>
      </c>
      <c r="AO1203" s="4" t="s">
        <v>100</v>
      </c>
    </row>
    <row r="1204" spans="40:41" x14ac:dyDescent="0.1">
      <c r="AN1204" s="35">
        <v>35498</v>
      </c>
      <c r="AO1204" s="4" t="s">
        <v>104</v>
      </c>
    </row>
    <row r="1205" spans="40:41" x14ac:dyDescent="0.1">
      <c r="AN1205" s="35">
        <v>35527</v>
      </c>
      <c r="AO1205" s="4" t="s">
        <v>105</v>
      </c>
    </row>
    <row r="1206" spans="40:41" x14ac:dyDescent="0.1">
      <c r="AN1206" s="35">
        <v>35557</v>
      </c>
      <c r="AO1206" s="4" t="s">
        <v>106</v>
      </c>
    </row>
    <row r="1207" spans="40:41" x14ac:dyDescent="0.1">
      <c r="AN1207" s="35">
        <v>35586</v>
      </c>
      <c r="AO1207" s="4" t="s">
        <v>107</v>
      </c>
    </row>
    <row r="1208" spans="40:41" x14ac:dyDescent="0.1">
      <c r="AN1208" s="35">
        <v>35616</v>
      </c>
      <c r="AO1208" s="4" t="s">
        <v>108</v>
      </c>
    </row>
    <row r="1209" spans="40:41" x14ac:dyDescent="0.1">
      <c r="AN1209" s="35">
        <v>35645</v>
      </c>
      <c r="AO1209" s="4" t="s">
        <v>109</v>
      </c>
    </row>
    <row r="1210" spans="40:41" x14ac:dyDescent="0.1">
      <c r="AN1210" s="35">
        <v>35675</v>
      </c>
      <c r="AO1210" s="4" t="s">
        <v>110</v>
      </c>
    </row>
    <row r="1211" spans="40:41" x14ac:dyDescent="0.1">
      <c r="AN1211" s="35">
        <v>35705</v>
      </c>
      <c r="AO1211" s="4" t="s">
        <v>111</v>
      </c>
    </row>
    <row r="1212" spans="40:41" x14ac:dyDescent="0.1">
      <c r="AN1212" s="35">
        <v>35734</v>
      </c>
      <c r="AO1212" s="4" t="s">
        <v>112</v>
      </c>
    </row>
    <row r="1213" spans="40:41" x14ac:dyDescent="0.1">
      <c r="AN1213" s="35">
        <v>35764</v>
      </c>
      <c r="AO1213" s="4" t="s">
        <v>379</v>
      </c>
    </row>
    <row r="1214" spans="40:41" x14ac:dyDescent="0.1">
      <c r="AN1214" s="35">
        <v>35794</v>
      </c>
      <c r="AO1214" s="4" t="s">
        <v>113</v>
      </c>
    </row>
    <row r="1215" spans="40:41" x14ac:dyDescent="0.1">
      <c r="AN1215" s="35">
        <v>35823</v>
      </c>
      <c r="AO1215" s="4" t="s">
        <v>100</v>
      </c>
    </row>
    <row r="1216" spans="40:41" x14ac:dyDescent="0.1">
      <c r="AN1216" s="35">
        <v>35853</v>
      </c>
      <c r="AO1216" s="4" t="s">
        <v>104</v>
      </c>
    </row>
    <row r="1217" spans="40:41" x14ac:dyDescent="0.1">
      <c r="AN1217" s="35">
        <v>35882</v>
      </c>
      <c r="AO1217" s="4" t="s">
        <v>105</v>
      </c>
    </row>
    <row r="1218" spans="40:41" x14ac:dyDescent="0.1">
      <c r="AN1218" s="35">
        <v>35911</v>
      </c>
      <c r="AO1218" s="4" t="s">
        <v>106</v>
      </c>
    </row>
    <row r="1219" spans="40:41" x14ac:dyDescent="0.1">
      <c r="AN1219" s="35">
        <v>35941</v>
      </c>
      <c r="AO1219" s="4" t="s">
        <v>107</v>
      </c>
    </row>
    <row r="1220" spans="40:41" x14ac:dyDescent="0.1">
      <c r="AN1220" s="35">
        <v>35970</v>
      </c>
      <c r="AO1220" s="4" t="s">
        <v>142</v>
      </c>
    </row>
    <row r="1221" spans="40:41" x14ac:dyDescent="0.1">
      <c r="AN1221" s="35">
        <v>35999</v>
      </c>
      <c r="AO1221" s="4" t="s">
        <v>108</v>
      </c>
    </row>
    <row r="1222" spans="40:41" x14ac:dyDescent="0.1">
      <c r="AN1222" s="35">
        <v>36029</v>
      </c>
      <c r="AO1222" s="4" t="s">
        <v>109</v>
      </c>
    </row>
    <row r="1223" spans="40:41" x14ac:dyDescent="0.1">
      <c r="AN1223" s="35">
        <v>36059</v>
      </c>
      <c r="AO1223" s="4" t="s">
        <v>110</v>
      </c>
    </row>
    <row r="1224" spans="40:41" x14ac:dyDescent="0.1">
      <c r="AN1224" s="35">
        <v>36088</v>
      </c>
      <c r="AO1224" s="4" t="s">
        <v>111</v>
      </c>
    </row>
    <row r="1225" spans="40:41" x14ac:dyDescent="0.1">
      <c r="AN1225" s="35">
        <v>36118</v>
      </c>
      <c r="AO1225" s="4" t="s">
        <v>112</v>
      </c>
    </row>
    <row r="1226" spans="40:41" x14ac:dyDescent="0.1">
      <c r="AN1226" s="35">
        <v>36148</v>
      </c>
      <c r="AO1226" s="4" t="s">
        <v>379</v>
      </c>
    </row>
    <row r="1227" spans="40:41" x14ac:dyDescent="0.1">
      <c r="AN1227" s="35">
        <v>36177</v>
      </c>
      <c r="AO1227" s="4" t="s">
        <v>113</v>
      </c>
    </row>
    <row r="1228" spans="40:41" x14ac:dyDescent="0.1">
      <c r="AN1228" s="35">
        <v>36207</v>
      </c>
      <c r="AO1228" s="4" t="s">
        <v>100</v>
      </c>
    </row>
    <row r="1229" spans="40:41" x14ac:dyDescent="0.1">
      <c r="AN1229" s="35">
        <v>36237</v>
      </c>
      <c r="AO1229" s="4" t="s">
        <v>104</v>
      </c>
    </row>
    <row r="1230" spans="40:41" x14ac:dyDescent="0.1">
      <c r="AN1230" s="35">
        <v>36266</v>
      </c>
      <c r="AO1230" s="4" t="s">
        <v>105</v>
      </c>
    </row>
    <row r="1231" spans="40:41" x14ac:dyDescent="0.1">
      <c r="AN1231" s="35">
        <v>36295</v>
      </c>
      <c r="AO1231" s="4" t="s">
        <v>106</v>
      </c>
    </row>
    <row r="1232" spans="40:41" x14ac:dyDescent="0.1">
      <c r="AN1232" s="35">
        <v>36325</v>
      </c>
      <c r="AO1232" s="4" t="s">
        <v>107</v>
      </c>
    </row>
    <row r="1233" spans="40:41" x14ac:dyDescent="0.1">
      <c r="AN1233" s="35">
        <v>36354</v>
      </c>
      <c r="AO1233" s="4" t="s">
        <v>108</v>
      </c>
    </row>
    <row r="1234" spans="40:41" x14ac:dyDescent="0.1">
      <c r="AN1234" s="35">
        <v>36383</v>
      </c>
      <c r="AO1234" s="4" t="s">
        <v>109</v>
      </c>
    </row>
    <row r="1235" spans="40:41" x14ac:dyDescent="0.1">
      <c r="AN1235" s="35">
        <v>36413</v>
      </c>
      <c r="AO1235" s="4" t="s">
        <v>110</v>
      </c>
    </row>
    <row r="1236" spans="40:41" x14ac:dyDescent="0.1">
      <c r="AN1236" s="35">
        <v>36442</v>
      </c>
      <c r="AO1236" s="4" t="s">
        <v>111</v>
      </c>
    </row>
    <row r="1237" spans="40:41" x14ac:dyDescent="0.1">
      <c r="AN1237" s="35">
        <v>36472</v>
      </c>
      <c r="AO1237" s="4" t="s">
        <v>112</v>
      </c>
    </row>
    <row r="1238" spans="40:41" x14ac:dyDescent="0.1">
      <c r="AN1238" s="35">
        <v>36502</v>
      </c>
      <c r="AO1238" s="4" t="s">
        <v>379</v>
      </c>
    </row>
    <row r="1239" spans="40:41" x14ac:dyDescent="0.1">
      <c r="AN1239" s="35">
        <v>36532</v>
      </c>
      <c r="AO1239" s="4" t="s">
        <v>113</v>
      </c>
    </row>
    <row r="1240" spans="40:41" x14ac:dyDescent="0.1">
      <c r="AN1240" s="35">
        <v>36561</v>
      </c>
      <c r="AO1240" s="4" t="s">
        <v>100</v>
      </c>
    </row>
    <row r="1241" spans="40:41" x14ac:dyDescent="0.1">
      <c r="AN1241" s="35">
        <v>36591</v>
      </c>
      <c r="AO1241" s="4" t="s">
        <v>104</v>
      </c>
    </row>
    <row r="1242" spans="40:41" x14ac:dyDescent="0.1">
      <c r="AN1242" s="35">
        <v>36621</v>
      </c>
      <c r="AO1242" s="4" t="s">
        <v>105</v>
      </c>
    </row>
    <row r="1243" spans="40:41" x14ac:dyDescent="0.1">
      <c r="AN1243" s="35">
        <v>36650</v>
      </c>
      <c r="AO1243" s="4" t="s">
        <v>106</v>
      </c>
    </row>
    <row r="1244" spans="40:41" x14ac:dyDescent="0.1">
      <c r="AN1244" s="35">
        <v>36679</v>
      </c>
      <c r="AO1244" s="4" t="s">
        <v>107</v>
      </c>
    </row>
    <row r="1245" spans="40:41" x14ac:dyDescent="0.1">
      <c r="AN1245" s="35">
        <v>36709</v>
      </c>
      <c r="AO1245" s="4" t="s">
        <v>108</v>
      </c>
    </row>
    <row r="1246" spans="40:41" x14ac:dyDescent="0.1">
      <c r="AN1246" s="35">
        <v>36738</v>
      </c>
      <c r="AO1246" s="4" t="s">
        <v>109</v>
      </c>
    </row>
    <row r="1247" spans="40:41" x14ac:dyDescent="0.1">
      <c r="AN1247" s="35">
        <v>36767</v>
      </c>
      <c r="AO1247" s="4" t="s">
        <v>110</v>
      </c>
    </row>
    <row r="1248" spans="40:41" x14ac:dyDescent="0.1">
      <c r="AN1248" s="35">
        <v>36797</v>
      </c>
      <c r="AO1248" s="4" t="s">
        <v>111</v>
      </c>
    </row>
    <row r="1249" spans="40:41" x14ac:dyDescent="0.1">
      <c r="AN1249" s="35">
        <v>36826</v>
      </c>
      <c r="AO1249" s="4" t="s">
        <v>112</v>
      </c>
    </row>
    <row r="1250" spans="40:41" x14ac:dyDescent="0.1">
      <c r="AN1250" s="35">
        <v>36856</v>
      </c>
      <c r="AO1250" s="4" t="s">
        <v>379</v>
      </c>
    </row>
    <row r="1251" spans="40:41" x14ac:dyDescent="0.1">
      <c r="AN1251" s="35">
        <v>36886</v>
      </c>
      <c r="AO1251" s="4" t="s">
        <v>113</v>
      </c>
    </row>
    <row r="1252" spans="40:41" x14ac:dyDescent="0.1">
      <c r="AN1252" s="35">
        <v>36915</v>
      </c>
      <c r="AO1252" s="4" t="s">
        <v>100</v>
      </c>
    </row>
    <row r="1253" spans="40:41" x14ac:dyDescent="0.1">
      <c r="AN1253" s="35">
        <v>36945</v>
      </c>
      <c r="AO1253" s="4" t="s">
        <v>104</v>
      </c>
    </row>
    <row r="1254" spans="40:41" x14ac:dyDescent="0.1">
      <c r="AN1254" s="35">
        <v>36975</v>
      </c>
      <c r="AO1254" s="4" t="s">
        <v>105</v>
      </c>
    </row>
    <row r="1255" spans="40:41" x14ac:dyDescent="0.1">
      <c r="AN1255" s="35">
        <v>37004</v>
      </c>
      <c r="AO1255" s="4" t="s">
        <v>106</v>
      </c>
    </row>
    <row r="1256" spans="40:41" x14ac:dyDescent="0.1">
      <c r="AN1256" s="35">
        <v>37034</v>
      </c>
      <c r="AO1256" s="4" t="s">
        <v>143</v>
      </c>
    </row>
    <row r="1257" spans="40:41" x14ac:dyDescent="0.1">
      <c r="AN1257" s="35">
        <v>37063</v>
      </c>
      <c r="AO1257" s="4" t="s">
        <v>107</v>
      </c>
    </row>
    <row r="1258" spans="40:41" x14ac:dyDescent="0.1">
      <c r="AN1258" s="35">
        <v>37093</v>
      </c>
      <c r="AO1258" s="4" t="s">
        <v>108</v>
      </c>
    </row>
    <row r="1259" spans="40:41" x14ac:dyDescent="0.1">
      <c r="AN1259" s="35">
        <v>37122</v>
      </c>
      <c r="AO1259" s="4" t="s">
        <v>109</v>
      </c>
    </row>
    <row r="1260" spans="40:41" x14ac:dyDescent="0.1">
      <c r="AN1260" s="35">
        <v>37151</v>
      </c>
      <c r="AO1260" s="4" t="s">
        <v>110</v>
      </c>
    </row>
    <row r="1261" spans="40:41" x14ac:dyDescent="0.1">
      <c r="AN1261" s="35">
        <v>37181</v>
      </c>
      <c r="AO1261" s="4" t="s">
        <v>111</v>
      </c>
    </row>
    <row r="1262" spans="40:41" x14ac:dyDescent="0.1">
      <c r="AN1262" s="35">
        <v>37210</v>
      </c>
      <c r="AO1262" s="4" t="s">
        <v>112</v>
      </c>
    </row>
    <row r="1263" spans="40:41" x14ac:dyDescent="0.1">
      <c r="AN1263" s="35">
        <v>37240</v>
      </c>
      <c r="AO1263" s="4" t="s">
        <v>379</v>
      </c>
    </row>
    <row r="1264" spans="40:41" x14ac:dyDescent="0.1">
      <c r="AN1264" s="35">
        <v>37269</v>
      </c>
      <c r="AO1264" s="4" t="s">
        <v>113</v>
      </c>
    </row>
    <row r="1265" spans="40:41" x14ac:dyDescent="0.1">
      <c r="AN1265" s="35">
        <v>37299</v>
      </c>
      <c r="AO1265" s="4" t="s">
        <v>100</v>
      </c>
    </row>
    <row r="1266" spans="40:41" x14ac:dyDescent="0.1">
      <c r="AN1266" s="35">
        <v>37329</v>
      </c>
      <c r="AO1266" s="4" t="s">
        <v>104</v>
      </c>
    </row>
    <row r="1267" spans="40:41" x14ac:dyDescent="0.1">
      <c r="AN1267" s="35">
        <v>37359</v>
      </c>
      <c r="AO1267" s="4" t="s">
        <v>105</v>
      </c>
    </row>
    <row r="1268" spans="40:41" x14ac:dyDescent="0.1">
      <c r="AN1268" s="35">
        <v>37388</v>
      </c>
      <c r="AO1268" s="4" t="s">
        <v>106</v>
      </c>
    </row>
    <row r="1269" spans="40:41" x14ac:dyDescent="0.1">
      <c r="AN1269" s="35">
        <v>37418</v>
      </c>
      <c r="AO1269" s="4" t="s">
        <v>107</v>
      </c>
    </row>
    <row r="1270" spans="40:41" x14ac:dyDescent="0.1">
      <c r="AN1270" s="35">
        <v>37447</v>
      </c>
      <c r="AO1270" s="4" t="s">
        <v>108</v>
      </c>
    </row>
    <row r="1271" spans="40:41" x14ac:dyDescent="0.1">
      <c r="AN1271" s="35">
        <v>37477</v>
      </c>
      <c r="AO1271" s="4" t="s">
        <v>109</v>
      </c>
    </row>
    <row r="1272" spans="40:41" x14ac:dyDescent="0.1">
      <c r="AN1272" s="35">
        <v>37506</v>
      </c>
      <c r="AO1272" s="4" t="s">
        <v>110</v>
      </c>
    </row>
    <row r="1273" spans="40:41" x14ac:dyDescent="0.1">
      <c r="AN1273" s="35">
        <v>37535</v>
      </c>
      <c r="AO1273" s="4" t="s">
        <v>111</v>
      </c>
    </row>
    <row r="1274" spans="40:41" x14ac:dyDescent="0.1">
      <c r="AN1274" s="35">
        <v>37565</v>
      </c>
      <c r="AO1274" s="4" t="s">
        <v>112</v>
      </c>
    </row>
    <row r="1275" spans="40:41" x14ac:dyDescent="0.1">
      <c r="AN1275" s="35">
        <v>37594</v>
      </c>
      <c r="AO1275" s="4" t="s">
        <v>379</v>
      </c>
    </row>
    <row r="1276" spans="40:41" x14ac:dyDescent="0.1">
      <c r="AN1276" s="35">
        <v>37624</v>
      </c>
      <c r="AO1276" s="4" t="s">
        <v>113</v>
      </c>
    </row>
    <row r="1277" spans="40:41" x14ac:dyDescent="0.1">
      <c r="AN1277" s="35">
        <v>37653</v>
      </c>
      <c r="AO1277" s="4" t="s">
        <v>100</v>
      </c>
    </row>
    <row r="1278" spans="40:41" x14ac:dyDescent="0.1">
      <c r="AN1278" s="35">
        <v>37683</v>
      </c>
      <c r="AO1278" s="4" t="s">
        <v>104</v>
      </c>
    </row>
    <row r="1279" spans="40:41" x14ac:dyDescent="0.1">
      <c r="AN1279" s="35">
        <v>37713</v>
      </c>
      <c r="AO1279" s="4" t="s">
        <v>105</v>
      </c>
    </row>
    <row r="1280" spans="40:41" x14ac:dyDescent="0.1">
      <c r="AN1280" s="35">
        <v>37742</v>
      </c>
      <c r="AO1280" s="4" t="s">
        <v>106</v>
      </c>
    </row>
    <row r="1281" spans="40:41" x14ac:dyDescent="0.1">
      <c r="AN1281" s="35">
        <v>37772</v>
      </c>
      <c r="AO1281" s="4" t="s">
        <v>107</v>
      </c>
    </row>
    <row r="1282" spans="40:41" x14ac:dyDescent="0.1">
      <c r="AN1282" s="35">
        <v>37802</v>
      </c>
      <c r="AO1282" s="4" t="s">
        <v>108</v>
      </c>
    </row>
    <row r="1283" spans="40:41" x14ac:dyDescent="0.1">
      <c r="AN1283" s="35">
        <v>37831</v>
      </c>
      <c r="AO1283" s="4" t="s">
        <v>109</v>
      </c>
    </row>
    <row r="1284" spans="40:41" x14ac:dyDescent="0.1">
      <c r="AN1284" s="35">
        <v>37861</v>
      </c>
      <c r="AO1284" s="4" t="s">
        <v>110</v>
      </c>
    </row>
    <row r="1285" spans="40:41" x14ac:dyDescent="0.1">
      <c r="AN1285" s="35">
        <v>37890</v>
      </c>
      <c r="AO1285" s="4" t="s">
        <v>111</v>
      </c>
    </row>
    <row r="1286" spans="40:41" x14ac:dyDescent="0.1">
      <c r="AN1286" s="35">
        <v>37919</v>
      </c>
      <c r="AO1286" s="4" t="s">
        <v>112</v>
      </c>
    </row>
    <row r="1287" spans="40:41" x14ac:dyDescent="0.1">
      <c r="AN1287" s="35">
        <v>37949</v>
      </c>
      <c r="AO1287" s="4" t="s">
        <v>379</v>
      </c>
    </row>
    <row r="1288" spans="40:41" x14ac:dyDescent="0.1">
      <c r="AN1288" s="35">
        <v>37978</v>
      </c>
      <c r="AO1288" s="4" t="s">
        <v>113</v>
      </c>
    </row>
    <row r="1289" spans="40:41" x14ac:dyDescent="0.1">
      <c r="AN1289" s="35">
        <v>38008</v>
      </c>
      <c r="AO1289" s="4" t="s">
        <v>100</v>
      </c>
    </row>
    <row r="1290" spans="40:41" x14ac:dyDescent="0.1">
      <c r="AN1290" s="35">
        <v>38037</v>
      </c>
      <c r="AO1290" s="4" t="s">
        <v>104</v>
      </c>
    </row>
    <row r="1291" spans="40:41" x14ac:dyDescent="0.1">
      <c r="AN1291" s="35">
        <v>38067</v>
      </c>
      <c r="AO1291" s="4" t="s">
        <v>144</v>
      </c>
    </row>
    <row r="1292" spans="40:41" x14ac:dyDescent="0.1">
      <c r="AN1292" s="35">
        <v>38096</v>
      </c>
      <c r="AO1292" s="4" t="s">
        <v>105</v>
      </c>
    </row>
    <row r="1293" spans="40:41" x14ac:dyDescent="0.1">
      <c r="AN1293" s="35">
        <v>38126</v>
      </c>
      <c r="AO1293" s="4" t="s">
        <v>106</v>
      </c>
    </row>
    <row r="1294" spans="40:41" x14ac:dyDescent="0.1">
      <c r="AN1294" s="35">
        <v>38156</v>
      </c>
      <c r="AO1294" s="4" t="s">
        <v>107</v>
      </c>
    </row>
    <row r="1295" spans="40:41" x14ac:dyDescent="0.1">
      <c r="AN1295" s="35">
        <v>38185</v>
      </c>
      <c r="AO1295" s="4" t="s">
        <v>108</v>
      </c>
    </row>
    <row r="1296" spans="40:41" x14ac:dyDescent="0.1">
      <c r="AN1296" s="35">
        <v>38215</v>
      </c>
      <c r="AO1296" s="4" t="s">
        <v>109</v>
      </c>
    </row>
    <row r="1297" spans="40:41" x14ac:dyDescent="0.1">
      <c r="AN1297" s="35">
        <v>38244</v>
      </c>
      <c r="AO1297" s="4" t="s">
        <v>110</v>
      </c>
    </row>
    <row r="1298" spans="40:41" x14ac:dyDescent="0.1">
      <c r="AN1298" s="35">
        <v>38274</v>
      </c>
      <c r="AO1298" s="4" t="s">
        <v>111</v>
      </c>
    </row>
    <row r="1299" spans="40:41" x14ac:dyDescent="0.1">
      <c r="AN1299" s="35">
        <v>38303</v>
      </c>
      <c r="AO1299" s="4" t="s">
        <v>112</v>
      </c>
    </row>
    <row r="1300" spans="40:41" x14ac:dyDescent="0.1">
      <c r="AN1300" s="35">
        <v>38333</v>
      </c>
      <c r="AO1300" s="4" t="s">
        <v>379</v>
      </c>
    </row>
    <row r="1301" spans="40:41" x14ac:dyDescent="0.1">
      <c r="AN1301" s="35">
        <v>38362</v>
      </c>
      <c r="AO1301" s="4" t="s">
        <v>113</v>
      </c>
    </row>
    <row r="1302" spans="40:41" x14ac:dyDescent="0.1">
      <c r="AN1302" s="35">
        <v>38392</v>
      </c>
      <c r="AO1302" s="4" t="s">
        <v>100</v>
      </c>
    </row>
    <row r="1303" spans="40:41" x14ac:dyDescent="0.1">
      <c r="AN1303" s="35">
        <v>38421</v>
      </c>
      <c r="AO1303" s="4" t="s">
        <v>104</v>
      </c>
    </row>
    <row r="1304" spans="40:41" x14ac:dyDescent="0.1">
      <c r="AN1304" s="35">
        <v>38451</v>
      </c>
      <c r="AO1304" s="4" t="s">
        <v>105</v>
      </c>
    </row>
    <row r="1305" spans="40:41" x14ac:dyDescent="0.1">
      <c r="AN1305" s="35">
        <v>38480</v>
      </c>
      <c r="AO1305" s="4" t="s">
        <v>106</v>
      </c>
    </row>
    <row r="1306" spans="40:41" x14ac:dyDescent="0.1">
      <c r="AN1306" s="35">
        <v>38510</v>
      </c>
      <c r="AO1306" s="4" t="s">
        <v>107</v>
      </c>
    </row>
    <row r="1307" spans="40:41" x14ac:dyDescent="0.1">
      <c r="AN1307" s="35">
        <v>38539</v>
      </c>
      <c r="AO1307" s="4" t="s">
        <v>108</v>
      </c>
    </row>
    <row r="1308" spans="40:41" x14ac:dyDescent="0.1">
      <c r="AN1308" s="35">
        <v>38569</v>
      </c>
      <c r="AO1308" s="4" t="s">
        <v>109</v>
      </c>
    </row>
    <row r="1309" spans="40:41" x14ac:dyDescent="0.1">
      <c r="AN1309" s="35">
        <v>38599</v>
      </c>
      <c r="AO1309" s="4" t="s">
        <v>110</v>
      </c>
    </row>
    <row r="1310" spans="40:41" x14ac:dyDescent="0.1">
      <c r="AN1310" s="35">
        <v>38628</v>
      </c>
      <c r="AO1310" s="4" t="s">
        <v>111</v>
      </c>
    </row>
    <row r="1311" spans="40:41" x14ac:dyDescent="0.1">
      <c r="AN1311" s="35">
        <v>38658</v>
      </c>
      <c r="AO1311" s="4" t="s">
        <v>112</v>
      </c>
    </row>
    <row r="1312" spans="40:41" x14ac:dyDescent="0.1">
      <c r="AN1312" s="35">
        <v>38687</v>
      </c>
      <c r="AO1312" s="4" t="s">
        <v>379</v>
      </c>
    </row>
    <row r="1313" spans="40:41" x14ac:dyDescent="0.1">
      <c r="AN1313" s="35">
        <v>38717</v>
      </c>
      <c r="AO1313" s="4" t="s">
        <v>113</v>
      </c>
    </row>
    <row r="1314" spans="40:41" x14ac:dyDescent="0.1">
      <c r="AN1314" s="35">
        <v>38746</v>
      </c>
      <c r="AO1314" s="4" t="s">
        <v>100</v>
      </c>
    </row>
    <row r="1315" spans="40:41" x14ac:dyDescent="0.1">
      <c r="AN1315" s="35">
        <v>38776</v>
      </c>
      <c r="AO1315" s="4" t="s">
        <v>104</v>
      </c>
    </row>
    <row r="1316" spans="40:41" x14ac:dyDescent="0.1">
      <c r="AN1316" s="35">
        <v>38805</v>
      </c>
      <c r="AO1316" s="4" t="s">
        <v>105</v>
      </c>
    </row>
    <row r="1317" spans="40:41" x14ac:dyDescent="0.1">
      <c r="AN1317" s="35">
        <v>38835</v>
      </c>
      <c r="AO1317" s="4" t="s">
        <v>106</v>
      </c>
    </row>
    <row r="1318" spans="40:41" x14ac:dyDescent="0.1">
      <c r="AN1318" s="35">
        <v>38864</v>
      </c>
      <c r="AO1318" s="4" t="s">
        <v>107</v>
      </c>
    </row>
    <row r="1319" spans="40:41" x14ac:dyDescent="0.1">
      <c r="AN1319" s="35">
        <v>38894</v>
      </c>
      <c r="AO1319" s="4" t="s">
        <v>108</v>
      </c>
    </row>
    <row r="1320" spans="40:41" x14ac:dyDescent="0.1">
      <c r="AN1320" s="35">
        <v>38923</v>
      </c>
      <c r="AO1320" s="4" t="s">
        <v>109</v>
      </c>
    </row>
    <row r="1321" spans="40:41" x14ac:dyDescent="0.1">
      <c r="AN1321" s="35">
        <v>38953</v>
      </c>
      <c r="AO1321" s="4" t="s">
        <v>146</v>
      </c>
    </row>
    <row r="1322" spans="40:41" x14ac:dyDescent="0.1">
      <c r="AN1322" s="35">
        <v>38982</v>
      </c>
      <c r="AO1322" s="4" t="s">
        <v>110</v>
      </c>
    </row>
    <row r="1323" spans="40:41" x14ac:dyDescent="0.1">
      <c r="AN1323" s="35">
        <v>39012</v>
      </c>
      <c r="AO1323" s="4" t="s">
        <v>111</v>
      </c>
    </row>
    <row r="1324" spans="40:41" x14ac:dyDescent="0.1">
      <c r="AN1324" s="35">
        <v>39042</v>
      </c>
      <c r="AO1324" s="4" t="s">
        <v>112</v>
      </c>
    </row>
    <row r="1325" spans="40:41" x14ac:dyDescent="0.1">
      <c r="AN1325" s="35">
        <v>39071</v>
      </c>
      <c r="AO1325" s="4" t="s">
        <v>379</v>
      </c>
    </row>
    <row r="1326" spans="40:41" x14ac:dyDescent="0.1">
      <c r="AN1326" s="35">
        <v>39101</v>
      </c>
      <c r="AO1326" s="4" t="s">
        <v>113</v>
      </c>
    </row>
    <row r="1327" spans="40:41" x14ac:dyDescent="0.1">
      <c r="AN1327" s="35">
        <v>39131</v>
      </c>
      <c r="AO1327" s="4" t="s">
        <v>100</v>
      </c>
    </row>
    <row r="1328" spans="40:41" x14ac:dyDescent="0.1">
      <c r="AN1328" s="35">
        <v>39160</v>
      </c>
      <c r="AO1328" s="4" t="s">
        <v>104</v>
      </c>
    </row>
    <row r="1329" spans="40:41" x14ac:dyDescent="0.1">
      <c r="AN1329" s="35">
        <v>39189</v>
      </c>
      <c r="AO1329" s="4" t="s">
        <v>105</v>
      </c>
    </row>
    <row r="1330" spans="40:41" x14ac:dyDescent="0.1">
      <c r="AN1330" s="35">
        <v>39219</v>
      </c>
      <c r="AO1330" s="4" t="s">
        <v>106</v>
      </c>
    </row>
    <row r="1331" spans="40:41" x14ac:dyDescent="0.1">
      <c r="AN1331" s="35">
        <v>39248</v>
      </c>
      <c r="AO1331" s="4" t="s">
        <v>107</v>
      </c>
    </row>
    <row r="1332" spans="40:41" x14ac:dyDescent="0.1">
      <c r="AN1332" s="35">
        <v>39277</v>
      </c>
      <c r="AO1332" s="4" t="s">
        <v>108</v>
      </c>
    </row>
    <row r="1333" spans="40:41" x14ac:dyDescent="0.1">
      <c r="AN1333" s="35">
        <v>39307</v>
      </c>
      <c r="AO1333" s="4" t="s">
        <v>109</v>
      </c>
    </row>
    <row r="1334" spans="40:41" x14ac:dyDescent="0.1">
      <c r="AN1334" s="35">
        <v>39336</v>
      </c>
      <c r="AO1334" s="4" t="s">
        <v>110</v>
      </c>
    </row>
    <row r="1335" spans="40:41" x14ac:dyDescent="0.1">
      <c r="AN1335" s="35">
        <v>39366</v>
      </c>
      <c r="AO1335" s="4" t="s">
        <v>111</v>
      </c>
    </row>
    <row r="1336" spans="40:41" x14ac:dyDescent="0.1">
      <c r="AN1336" s="35">
        <v>39396</v>
      </c>
      <c r="AO1336" s="4" t="s">
        <v>112</v>
      </c>
    </row>
    <row r="1337" spans="40:41" x14ac:dyDescent="0.1">
      <c r="AN1337" s="35">
        <v>39426</v>
      </c>
      <c r="AO1337" s="4" t="s">
        <v>379</v>
      </c>
    </row>
    <row r="1338" spans="40:41" x14ac:dyDescent="0.1">
      <c r="AN1338" s="35">
        <v>39455</v>
      </c>
      <c r="AO1338" s="4" t="s">
        <v>113</v>
      </c>
    </row>
    <row r="1339" spans="40:41" x14ac:dyDescent="0.1">
      <c r="AN1339" s="35">
        <v>39485</v>
      </c>
      <c r="AO1339" s="4" t="s">
        <v>100</v>
      </c>
    </row>
    <row r="1340" spans="40:41" x14ac:dyDescent="0.1">
      <c r="AN1340" s="35">
        <v>39515</v>
      </c>
      <c r="AO1340" s="4" t="s">
        <v>104</v>
      </c>
    </row>
    <row r="1341" spans="40:41" x14ac:dyDescent="0.1">
      <c r="AN1341" s="35">
        <v>39544</v>
      </c>
      <c r="AO1341" s="4" t="s">
        <v>105</v>
      </c>
    </row>
    <row r="1342" spans="40:41" x14ac:dyDescent="0.1">
      <c r="AN1342" s="35">
        <v>39573</v>
      </c>
      <c r="AO1342" s="4" t="s">
        <v>106</v>
      </c>
    </row>
    <row r="1343" spans="40:41" x14ac:dyDescent="0.1">
      <c r="AN1343" s="35">
        <v>39603</v>
      </c>
      <c r="AO1343" s="4" t="s">
        <v>107</v>
      </c>
    </row>
    <row r="1344" spans="40:41" x14ac:dyDescent="0.1">
      <c r="AN1344" s="35">
        <v>39632</v>
      </c>
      <c r="AO1344" s="4" t="s">
        <v>108</v>
      </c>
    </row>
    <row r="1345" spans="40:41" x14ac:dyDescent="0.1">
      <c r="AN1345" s="35">
        <v>39661</v>
      </c>
      <c r="AO1345" s="4" t="s">
        <v>109</v>
      </c>
    </row>
    <row r="1346" spans="40:41" x14ac:dyDescent="0.1">
      <c r="AN1346" s="35">
        <v>39691</v>
      </c>
      <c r="AO1346" s="4" t="s">
        <v>110</v>
      </c>
    </row>
    <row r="1347" spans="40:41" x14ac:dyDescent="0.1">
      <c r="AN1347" s="35">
        <v>39720</v>
      </c>
      <c r="AO1347" s="4" t="s">
        <v>111</v>
      </c>
    </row>
    <row r="1348" spans="40:41" x14ac:dyDescent="0.1">
      <c r="AN1348" s="35">
        <v>39750</v>
      </c>
      <c r="AO1348" s="4" t="s">
        <v>112</v>
      </c>
    </row>
    <row r="1349" spans="40:41" x14ac:dyDescent="0.1">
      <c r="AN1349" s="35">
        <v>39780</v>
      </c>
      <c r="AO1349" s="4" t="s">
        <v>379</v>
      </c>
    </row>
    <row r="1350" spans="40:41" x14ac:dyDescent="0.1">
      <c r="AN1350" s="35">
        <v>39809</v>
      </c>
      <c r="AO1350" s="4" t="s">
        <v>113</v>
      </c>
    </row>
    <row r="1351" spans="40:41" x14ac:dyDescent="0.1">
      <c r="AN1351" s="35">
        <v>39839</v>
      </c>
      <c r="AO1351" s="4" t="s">
        <v>100</v>
      </c>
    </row>
    <row r="1352" spans="40:41" x14ac:dyDescent="0.1">
      <c r="AN1352" s="35">
        <v>39869</v>
      </c>
      <c r="AO1352" s="4" t="s">
        <v>104</v>
      </c>
    </row>
    <row r="1353" spans="40:41" x14ac:dyDescent="0.1">
      <c r="AN1353" s="35">
        <v>39899</v>
      </c>
      <c r="AO1353" s="4" t="s">
        <v>105</v>
      </c>
    </row>
    <row r="1354" spans="40:41" x14ac:dyDescent="0.1">
      <c r="AN1354" s="35">
        <v>39928</v>
      </c>
      <c r="AO1354" s="4" t="s">
        <v>106</v>
      </c>
    </row>
    <row r="1355" spans="40:41" x14ac:dyDescent="0.1">
      <c r="AN1355" s="35">
        <v>39957</v>
      </c>
      <c r="AO1355" s="4" t="s">
        <v>107</v>
      </c>
    </row>
    <row r="1356" spans="40:41" x14ac:dyDescent="0.1">
      <c r="AN1356" s="35">
        <v>39987</v>
      </c>
      <c r="AO1356" s="4" t="s">
        <v>142</v>
      </c>
    </row>
    <row r="1357" spans="40:41" x14ac:dyDescent="0.1">
      <c r="AN1357" s="35">
        <v>40016</v>
      </c>
      <c r="AO1357" s="4" t="s">
        <v>108</v>
      </c>
    </row>
    <row r="1358" spans="40:41" x14ac:dyDescent="0.1">
      <c r="AN1358" s="35">
        <v>40045</v>
      </c>
      <c r="AO1358" s="4" t="s">
        <v>109</v>
      </c>
    </row>
    <row r="1359" spans="40:41" x14ac:dyDescent="0.1">
      <c r="AN1359" s="35">
        <v>40075</v>
      </c>
      <c r="AO1359" s="4" t="s">
        <v>110</v>
      </c>
    </row>
    <row r="1360" spans="40:41" x14ac:dyDescent="0.1">
      <c r="AN1360" s="35">
        <v>40104</v>
      </c>
      <c r="AO1360" s="4" t="s">
        <v>111</v>
      </c>
    </row>
    <row r="1361" spans="40:41" x14ac:dyDescent="0.1">
      <c r="AN1361" s="35">
        <v>40134</v>
      </c>
      <c r="AO1361" s="4" t="s">
        <v>112</v>
      </c>
    </row>
    <row r="1362" spans="40:41" x14ac:dyDescent="0.1">
      <c r="AN1362" s="35">
        <v>40163</v>
      </c>
      <c r="AO1362" s="4" t="s">
        <v>379</v>
      </c>
    </row>
    <row r="1363" spans="40:41" x14ac:dyDescent="0.1">
      <c r="AN1363" s="35">
        <v>40193</v>
      </c>
      <c r="AO1363" s="4" t="s">
        <v>113</v>
      </c>
    </row>
    <row r="1364" spans="40:41" x14ac:dyDescent="0.1">
      <c r="AN1364" s="35">
        <v>40223</v>
      </c>
      <c r="AO1364" s="4" t="s">
        <v>100</v>
      </c>
    </row>
    <row r="1365" spans="40:41" x14ac:dyDescent="0.1">
      <c r="AN1365" s="35">
        <v>40253</v>
      </c>
      <c r="AO1365" s="4" t="s">
        <v>104</v>
      </c>
    </row>
    <row r="1366" spans="40:41" x14ac:dyDescent="0.1">
      <c r="AN1366" s="35">
        <v>40282</v>
      </c>
      <c r="AO1366" s="4" t="s">
        <v>105</v>
      </c>
    </row>
    <row r="1367" spans="40:41" x14ac:dyDescent="0.1">
      <c r="AN1367" s="35">
        <v>40312</v>
      </c>
      <c r="AO1367" s="4" t="s">
        <v>106</v>
      </c>
    </row>
    <row r="1368" spans="40:41" x14ac:dyDescent="0.1">
      <c r="AN1368" s="35">
        <v>40341</v>
      </c>
      <c r="AO1368" s="4" t="s">
        <v>107</v>
      </c>
    </row>
    <row r="1369" spans="40:41" x14ac:dyDescent="0.1">
      <c r="AN1369" s="35">
        <v>40371</v>
      </c>
      <c r="AO1369" s="4" t="s">
        <v>108</v>
      </c>
    </row>
    <row r="1370" spans="40:41" x14ac:dyDescent="0.1">
      <c r="AN1370" s="35">
        <v>40400</v>
      </c>
      <c r="AO1370" s="4" t="s">
        <v>109</v>
      </c>
    </row>
    <row r="1371" spans="40:41" x14ac:dyDescent="0.1">
      <c r="AN1371" s="35">
        <v>40429</v>
      </c>
      <c r="AO1371" s="4" t="s">
        <v>110</v>
      </c>
    </row>
    <row r="1372" spans="40:41" x14ac:dyDescent="0.1">
      <c r="AN1372" s="35">
        <v>40459</v>
      </c>
      <c r="AO1372" s="4" t="s">
        <v>111</v>
      </c>
    </row>
    <row r="1373" spans="40:41" x14ac:dyDescent="0.1">
      <c r="AN1373" s="35">
        <v>40488</v>
      </c>
      <c r="AO1373" s="4" t="s">
        <v>112</v>
      </c>
    </row>
    <row r="1374" spans="40:41" x14ac:dyDescent="0.1">
      <c r="AN1374" s="35">
        <v>40518</v>
      </c>
      <c r="AO1374" s="4" t="s">
        <v>379</v>
      </c>
    </row>
    <row r="1375" spans="40:41" x14ac:dyDescent="0.1">
      <c r="AN1375" s="35">
        <v>40547</v>
      </c>
      <c r="AO1375" s="4" t="s">
        <v>113</v>
      </c>
    </row>
    <row r="1376" spans="40:41" x14ac:dyDescent="0.1">
      <c r="AN1376" s="35">
        <v>40577</v>
      </c>
      <c r="AO1376" s="4" t="s">
        <v>100</v>
      </c>
    </row>
    <row r="1377" spans="40:41" x14ac:dyDescent="0.1">
      <c r="AN1377" s="35">
        <v>40607</v>
      </c>
      <c r="AO1377" s="4" t="s">
        <v>104</v>
      </c>
    </row>
    <row r="1378" spans="40:41" x14ac:dyDescent="0.1">
      <c r="AN1378" s="35">
        <v>40636</v>
      </c>
      <c r="AO1378" s="4" t="s">
        <v>105</v>
      </c>
    </row>
    <row r="1379" spans="40:41" x14ac:dyDescent="0.1">
      <c r="AN1379" s="35">
        <v>40666</v>
      </c>
      <c r="AO1379" s="4" t="s">
        <v>106</v>
      </c>
    </row>
    <row r="1380" spans="40:41" x14ac:dyDescent="0.1">
      <c r="AN1380" s="35">
        <v>40696</v>
      </c>
      <c r="AO1380" s="4" t="s">
        <v>107</v>
      </c>
    </row>
    <row r="1381" spans="40:41" x14ac:dyDescent="0.1">
      <c r="AN1381" s="35">
        <v>40725</v>
      </c>
      <c r="AO1381" s="4" t="s">
        <v>108</v>
      </c>
    </row>
    <row r="1382" spans="40:41" x14ac:dyDescent="0.1">
      <c r="AN1382" s="35">
        <v>40755</v>
      </c>
      <c r="AO1382" s="4" t="s">
        <v>109</v>
      </c>
    </row>
    <row r="1383" spans="40:41" x14ac:dyDescent="0.1">
      <c r="AN1383" s="35">
        <v>40784</v>
      </c>
      <c r="AO1383" s="4" t="s">
        <v>110</v>
      </c>
    </row>
    <row r="1384" spans="40:41" x14ac:dyDescent="0.1">
      <c r="AN1384" s="35">
        <v>40813</v>
      </c>
      <c r="AO1384" s="4" t="s">
        <v>111</v>
      </c>
    </row>
    <row r="1385" spans="40:41" x14ac:dyDescent="0.1">
      <c r="AN1385" s="35">
        <v>40843</v>
      </c>
      <c r="AO1385" s="4" t="s">
        <v>112</v>
      </c>
    </row>
    <row r="1386" spans="40:41" x14ac:dyDescent="0.1">
      <c r="AN1386" s="35">
        <v>40872</v>
      </c>
      <c r="AO1386" s="4" t="s">
        <v>379</v>
      </c>
    </row>
    <row r="1387" spans="40:41" x14ac:dyDescent="0.1">
      <c r="AN1387" s="35">
        <v>40902</v>
      </c>
      <c r="AO1387" s="4" t="s">
        <v>113</v>
      </c>
    </row>
    <row r="1388" spans="40:41" x14ac:dyDescent="0.1">
      <c r="AN1388" s="35">
        <v>40931</v>
      </c>
      <c r="AO1388" s="4" t="s">
        <v>100</v>
      </c>
    </row>
    <row r="1389" spans="40:41" x14ac:dyDescent="0.1">
      <c r="AN1389" s="35">
        <v>40961</v>
      </c>
      <c r="AO1389" s="4" t="s">
        <v>104</v>
      </c>
    </row>
    <row r="1390" spans="40:41" x14ac:dyDescent="0.1">
      <c r="AN1390" s="35">
        <v>40990</v>
      </c>
      <c r="AO1390" s="4" t="s">
        <v>105</v>
      </c>
    </row>
    <row r="1391" spans="40:41" x14ac:dyDescent="0.1">
      <c r="AN1391" s="35">
        <v>41020</v>
      </c>
      <c r="AO1391" s="4" t="s">
        <v>106</v>
      </c>
    </row>
    <row r="1392" spans="40:41" x14ac:dyDescent="0.1">
      <c r="AN1392" s="35">
        <v>41050</v>
      </c>
      <c r="AO1392" s="4" t="s">
        <v>143</v>
      </c>
    </row>
    <row r="1393" spans="40:41" x14ac:dyDescent="0.1">
      <c r="AN1393" s="35">
        <v>41079</v>
      </c>
      <c r="AO1393" s="4" t="s">
        <v>107</v>
      </c>
    </row>
    <row r="1394" spans="40:41" x14ac:dyDescent="0.1">
      <c r="AN1394" s="35">
        <v>41109</v>
      </c>
      <c r="AO1394" s="4" t="s">
        <v>108</v>
      </c>
    </row>
    <row r="1395" spans="40:41" x14ac:dyDescent="0.1">
      <c r="AN1395" s="35">
        <v>41138</v>
      </c>
      <c r="AO1395" s="4" t="s">
        <v>109</v>
      </c>
    </row>
    <row r="1396" spans="40:41" x14ac:dyDescent="0.1">
      <c r="AN1396" s="35">
        <v>41168</v>
      </c>
      <c r="AO1396" s="4" t="s">
        <v>110</v>
      </c>
    </row>
    <row r="1397" spans="40:41" x14ac:dyDescent="0.1">
      <c r="AN1397" s="35">
        <v>41197</v>
      </c>
      <c r="AO1397" s="4" t="s">
        <v>111</v>
      </c>
    </row>
    <row r="1398" spans="40:41" x14ac:dyDescent="0.1">
      <c r="AN1398" s="35">
        <v>41227</v>
      </c>
      <c r="AO1398" s="4" t="s">
        <v>112</v>
      </c>
    </row>
    <row r="1399" spans="40:41" x14ac:dyDescent="0.1">
      <c r="AN1399" s="35">
        <v>41256</v>
      </c>
      <c r="AO1399" s="4" t="s">
        <v>379</v>
      </c>
    </row>
    <row r="1400" spans="40:41" x14ac:dyDescent="0.1">
      <c r="AN1400" s="35">
        <v>41286</v>
      </c>
      <c r="AO1400" s="4" t="s">
        <v>113</v>
      </c>
    </row>
    <row r="1401" spans="40:41" x14ac:dyDescent="0.1">
      <c r="AN1401" s="35">
        <v>41315</v>
      </c>
      <c r="AO1401" s="4" t="s">
        <v>100</v>
      </c>
    </row>
    <row r="1402" spans="40:41" x14ac:dyDescent="0.1">
      <c r="AN1402" s="35">
        <v>41345</v>
      </c>
      <c r="AO1402" s="4" t="s">
        <v>104</v>
      </c>
    </row>
    <row r="1403" spans="40:41" x14ac:dyDescent="0.1">
      <c r="AN1403" s="35">
        <v>41374</v>
      </c>
      <c r="AO1403" s="4" t="s">
        <v>105</v>
      </c>
    </row>
    <row r="1404" spans="40:41" x14ac:dyDescent="0.1">
      <c r="AN1404" s="35">
        <v>41404</v>
      </c>
      <c r="AO1404" s="4" t="s">
        <v>106</v>
      </c>
    </row>
    <row r="1405" spans="40:41" x14ac:dyDescent="0.1">
      <c r="AN1405" s="35">
        <v>41434</v>
      </c>
      <c r="AO1405" s="4" t="s">
        <v>107</v>
      </c>
    </row>
    <row r="1406" spans="40:41" x14ac:dyDescent="0.1">
      <c r="AN1406" s="35">
        <v>41463</v>
      </c>
      <c r="AO1406" s="4" t="s">
        <v>108</v>
      </c>
    </row>
    <row r="1407" spans="40:41" x14ac:dyDescent="0.1">
      <c r="AN1407" s="35">
        <v>41493</v>
      </c>
      <c r="AO1407" s="4" t="s">
        <v>109</v>
      </c>
    </row>
    <row r="1408" spans="40:41" x14ac:dyDescent="0.1">
      <c r="AN1408" s="35">
        <v>41522</v>
      </c>
      <c r="AO1408" s="4" t="s">
        <v>110</v>
      </c>
    </row>
    <row r="1409" spans="40:41" x14ac:dyDescent="0.1">
      <c r="AN1409" s="35">
        <v>41552</v>
      </c>
      <c r="AO1409" s="4" t="s">
        <v>111</v>
      </c>
    </row>
    <row r="1410" spans="40:41" x14ac:dyDescent="0.1">
      <c r="AN1410" s="35">
        <v>41581</v>
      </c>
      <c r="AO1410" s="4" t="s">
        <v>112</v>
      </c>
    </row>
    <row r="1411" spans="40:41" x14ac:dyDescent="0.1">
      <c r="AN1411" s="35">
        <v>41611</v>
      </c>
      <c r="AO1411" s="4" t="s">
        <v>379</v>
      </c>
    </row>
    <row r="1412" spans="40:41" x14ac:dyDescent="0.1">
      <c r="AN1412" s="35">
        <v>41640</v>
      </c>
      <c r="AO1412" s="4" t="s">
        <v>113</v>
      </c>
    </row>
    <row r="1413" spans="40:41" x14ac:dyDescent="0.1">
      <c r="AN1413" s="35">
        <v>41670</v>
      </c>
      <c r="AO1413" s="4" t="s">
        <v>100</v>
      </c>
    </row>
    <row r="1414" spans="40:41" x14ac:dyDescent="0.1">
      <c r="AN1414" s="35">
        <v>41699</v>
      </c>
      <c r="AO1414" s="4" t="s">
        <v>104</v>
      </c>
    </row>
    <row r="1415" spans="40:41" x14ac:dyDescent="0.1">
      <c r="AN1415" s="35">
        <v>41729</v>
      </c>
      <c r="AO1415" s="4" t="s">
        <v>105</v>
      </c>
    </row>
    <row r="1416" spans="40:41" x14ac:dyDescent="0.1">
      <c r="AN1416" s="35">
        <v>41758</v>
      </c>
      <c r="AO1416" s="4" t="s">
        <v>106</v>
      </c>
    </row>
    <row r="1417" spans="40:41" x14ac:dyDescent="0.1">
      <c r="AN1417" s="35">
        <v>41788</v>
      </c>
      <c r="AO1417" s="4" t="s">
        <v>107</v>
      </c>
    </row>
    <row r="1418" spans="40:41" x14ac:dyDescent="0.1">
      <c r="AN1418" s="35">
        <v>41817</v>
      </c>
      <c r="AO1418" s="4" t="s">
        <v>108</v>
      </c>
    </row>
    <row r="1419" spans="40:41" x14ac:dyDescent="0.1">
      <c r="AN1419" s="35">
        <v>41847</v>
      </c>
      <c r="AO1419" s="4" t="s">
        <v>109</v>
      </c>
    </row>
    <row r="1420" spans="40:41" x14ac:dyDescent="0.1">
      <c r="AN1420" s="35">
        <v>41876</v>
      </c>
      <c r="AO1420" s="4" t="s">
        <v>110</v>
      </c>
    </row>
    <row r="1421" spans="40:41" x14ac:dyDescent="0.1">
      <c r="AN1421" s="35">
        <v>41906</v>
      </c>
      <c r="AO1421" s="4" t="s">
        <v>111</v>
      </c>
    </row>
    <row r="1422" spans="40:41" x14ac:dyDescent="0.1">
      <c r="AN1422" s="35">
        <v>41936</v>
      </c>
      <c r="AO1422" s="4" t="s">
        <v>149</v>
      </c>
    </row>
    <row r="1423" spans="40:41" x14ac:dyDescent="0.1">
      <c r="AN1423" s="35">
        <v>41965</v>
      </c>
      <c r="AO1423" s="4" t="s">
        <v>112</v>
      </c>
    </row>
    <row r="1424" spans="40:41" x14ac:dyDescent="0.1">
      <c r="AN1424" s="35">
        <v>41995</v>
      </c>
      <c r="AO1424" s="4" t="s">
        <v>379</v>
      </c>
    </row>
    <row r="1425" spans="40:41" x14ac:dyDescent="0.1">
      <c r="AN1425" s="35">
        <v>42024</v>
      </c>
      <c r="AO1425" s="4" t="s">
        <v>113</v>
      </c>
    </row>
    <row r="1426" spans="40:41" x14ac:dyDescent="0.1">
      <c r="AN1426" s="35">
        <v>42054</v>
      </c>
      <c r="AO1426" s="4" t="s">
        <v>100</v>
      </c>
    </row>
    <row r="1427" spans="40:41" x14ac:dyDescent="0.1">
      <c r="AN1427" s="35">
        <v>42083</v>
      </c>
      <c r="AO1427" s="4" t="s">
        <v>104</v>
      </c>
    </row>
    <row r="1428" spans="40:41" x14ac:dyDescent="0.1">
      <c r="AN1428" s="35">
        <v>42113</v>
      </c>
      <c r="AO1428" s="4" t="s">
        <v>105</v>
      </c>
    </row>
    <row r="1429" spans="40:41" x14ac:dyDescent="0.1">
      <c r="AN1429" s="35">
        <v>42142</v>
      </c>
      <c r="AO1429" s="4" t="s">
        <v>106</v>
      </c>
    </row>
    <row r="1430" spans="40:41" x14ac:dyDescent="0.1">
      <c r="AN1430" s="35">
        <v>42171</v>
      </c>
      <c r="AO1430" s="4" t="s">
        <v>107</v>
      </c>
    </row>
    <row r="1431" spans="40:41" x14ac:dyDescent="0.1">
      <c r="AN1431" s="35">
        <v>42201</v>
      </c>
      <c r="AO1431" s="4" t="s">
        <v>108</v>
      </c>
    </row>
    <row r="1432" spans="40:41" x14ac:dyDescent="0.1">
      <c r="AN1432" s="35">
        <v>42230</v>
      </c>
      <c r="AO1432" s="4" t="s">
        <v>109</v>
      </c>
    </row>
    <row r="1433" spans="40:41" x14ac:dyDescent="0.1">
      <c r="AN1433" s="35">
        <v>42260</v>
      </c>
      <c r="AO1433" s="4" t="s">
        <v>110</v>
      </c>
    </row>
    <row r="1434" spans="40:41" x14ac:dyDescent="0.1">
      <c r="AN1434" s="35">
        <v>42290</v>
      </c>
      <c r="AO1434" s="4" t="s">
        <v>111</v>
      </c>
    </row>
    <row r="1435" spans="40:41" x14ac:dyDescent="0.1">
      <c r="AN1435" s="35">
        <v>42320</v>
      </c>
      <c r="AO1435" s="4" t="s">
        <v>112</v>
      </c>
    </row>
    <row r="1436" spans="40:41" x14ac:dyDescent="0.1">
      <c r="AN1436" s="35">
        <v>42349</v>
      </c>
      <c r="AO1436" s="4" t="s">
        <v>379</v>
      </c>
    </row>
    <row r="1437" spans="40:41" x14ac:dyDescent="0.1">
      <c r="AN1437" s="35">
        <v>42379</v>
      </c>
      <c r="AO1437" s="4" t="s">
        <v>113</v>
      </c>
    </row>
    <row r="1438" spans="40:41" x14ac:dyDescent="0.1">
      <c r="AN1438" s="35">
        <v>42408</v>
      </c>
      <c r="AO1438" s="4" t="s">
        <v>100</v>
      </c>
    </row>
    <row r="1439" spans="40:41" x14ac:dyDescent="0.1">
      <c r="AN1439" s="35">
        <v>42438</v>
      </c>
      <c r="AO1439" s="4" t="s">
        <v>104</v>
      </c>
    </row>
    <row r="1440" spans="40:41" x14ac:dyDescent="0.1">
      <c r="AN1440" s="35">
        <v>42467</v>
      </c>
      <c r="AO1440" s="4" t="s">
        <v>105</v>
      </c>
    </row>
    <row r="1441" spans="40:41" x14ac:dyDescent="0.1">
      <c r="AN1441" s="35">
        <v>42497</v>
      </c>
      <c r="AO1441" s="4" t="s">
        <v>106</v>
      </c>
    </row>
    <row r="1442" spans="40:41" x14ac:dyDescent="0.1">
      <c r="AN1442" s="35">
        <v>42526</v>
      </c>
      <c r="AO1442" s="4" t="s">
        <v>107</v>
      </c>
    </row>
    <row r="1443" spans="40:41" x14ac:dyDescent="0.1">
      <c r="AN1443" s="35">
        <v>42555</v>
      </c>
      <c r="AO1443" s="4" t="s">
        <v>108</v>
      </c>
    </row>
    <row r="1444" spans="40:41" x14ac:dyDescent="0.1">
      <c r="AN1444" s="35">
        <v>42585</v>
      </c>
      <c r="AO1444" s="4" t="s">
        <v>109</v>
      </c>
    </row>
    <row r="1445" spans="40:41" x14ac:dyDescent="0.1">
      <c r="AN1445" s="35">
        <v>42614</v>
      </c>
      <c r="AO1445" s="4" t="s">
        <v>110</v>
      </c>
    </row>
    <row r="1446" spans="40:41" x14ac:dyDescent="0.1">
      <c r="AN1446" s="35">
        <v>42644</v>
      </c>
      <c r="AO1446" s="4" t="s">
        <v>111</v>
      </c>
    </row>
    <row r="1447" spans="40:41" x14ac:dyDescent="0.1">
      <c r="AN1447" s="35">
        <v>42674</v>
      </c>
      <c r="AO1447" s="4" t="s">
        <v>112</v>
      </c>
    </row>
    <row r="1448" spans="40:41" x14ac:dyDescent="0.1">
      <c r="AN1448" s="35">
        <v>42703</v>
      </c>
      <c r="AO1448" s="4" t="s">
        <v>379</v>
      </c>
    </row>
    <row r="1449" spans="40:41" x14ac:dyDescent="0.1">
      <c r="AN1449" s="35">
        <v>42733</v>
      </c>
      <c r="AO1449" s="4" t="s">
        <v>113</v>
      </c>
    </row>
    <row r="1450" spans="40:41" x14ac:dyDescent="0.1">
      <c r="AN1450" s="35">
        <v>42763</v>
      </c>
      <c r="AO1450" s="4" t="s">
        <v>100</v>
      </c>
    </row>
    <row r="1451" spans="40:41" x14ac:dyDescent="0.1">
      <c r="AN1451" s="35">
        <v>42792</v>
      </c>
      <c r="AO1451" s="4" t="s">
        <v>104</v>
      </c>
    </row>
    <row r="1452" spans="40:41" x14ac:dyDescent="0.1">
      <c r="AN1452" s="35">
        <v>42822</v>
      </c>
      <c r="AO1452" s="4" t="s">
        <v>105</v>
      </c>
    </row>
    <row r="1453" spans="40:41" x14ac:dyDescent="0.1">
      <c r="AN1453" s="35">
        <v>42851</v>
      </c>
      <c r="AO1453" s="4" t="s">
        <v>106</v>
      </c>
    </row>
    <row r="1454" spans="40:41" x14ac:dyDescent="0.1">
      <c r="AN1454" s="35">
        <v>42881</v>
      </c>
      <c r="AO1454" s="4" t="s">
        <v>107</v>
      </c>
    </row>
    <row r="1455" spans="40:41" x14ac:dyDescent="0.1">
      <c r="AN1455" s="35">
        <v>42910</v>
      </c>
      <c r="AO1455" s="4" t="s">
        <v>108</v>
      </c>
    </row>
    <row r="1456" spans="40:41" x14ac:dyDescent="0.1">
      <c r="AN1456" s="35">
        <v>42939</v>
      </c>
      <c r="AO1456" s="4" t="s">
        <v>145</v>
      </c>
    </row>
    <row r="1457" spans="40:41" x14ac:dyDescent="0.1">
      <c r="AN1457" s="35">
        <v>42969</v>
      </c>
      <c r="AO1457" s="4" t="s">
        <v>109</v>
      </c>
    </row>
    <row r="1458" spans="40:41" x14ac:dyDescent="0.1">
      <c r="AN1458" s="35">
        <v>42998</v>
      </c>
      <c r="AO1458" s="4" t="s">
        <v>110</v>
      </c>
    </row>
    <row r="1459" spans="40:41" x14ac:dyDescent="0.1">
      <c r="AN1459" s="35">
        <v>43028</v>
      </c>
      <c r="AO1459" s="4" t="s">
        <v>111</v>
      </c>
    </row>
    <row r="1460" spans="40:41" x14ac:dyDescent="0.1">
      <c r="AN1460" s="35">
        <v>43057</v>
      </c>
      <c r="AO1460" s="4" t="s">
        <v>112</v>
      </c>
    </row>
    <row r="1461" spans="40:41" x14ac:dyDescent="0.1">
      <c r="AN1461" s="35">
        <v>43087</v>
      </c>
      <c r="AO1461" s="4" t="s">
        <v>379</v>
      </c>
    </row>
    <row r="1462" spans="40:41" x14ac:dyDescent="0.1">
      <c r="AN1462" s="35">
        <v>43117</v>
      </c>
      <c r="AO1462" s="4" t="s">
        <v>113</v>
      </c>
    </row>
    <row r="1463" spans="40:41" x14ac:dyDescent="0.1">
      <c r="AN1463" s="35">
        <v>43147</v>
      </c>
      <c r="AO1463" s="4" t="s">
        <v>100</v>
      </c>
    </row>
    <row r="1464" spans="40:41" x14ac:dyDescent="0.1">
      <c r="AN1464" s="35">
        <v>43176</v>
      </c>
      <c r="AO1464" s="4" t="s">
        <v>104</v>
      </c>
    </row>
    <row r="1465" spans="40:41" x14ac:dyDescent="0.1">
      <c r="AN1465" s="35">
        <v>43206</v>
      </c>
      <c r="AO1465" s="4" t="s">
        <v>105</v>
      </c>
    </row>
    <row r="1466" spans="40:41" x14ac:dyDescent="0.1">
      <c r="AN1466" s="35">
        <v>43235</v>
      </c>
      <c r="AO1466" s="4" t="s">
        <v>106</v>
      </c>
    </row>
    <row r="1467" spans="40:41" x14ac:dyDescent="0.1">
      <c r="AN1467" s="35">
        <v>43265</v>
      </c>
      <c r="AO1467" s="4" t="s">
        <v>107</v>
      </c>
    </row>
    <row r="1468" spans="40:41" x14ac:dyDescent="0.1">
      <c r="AN1468" s="35">
        <v>43294</v>
      </c>
      <c r="AO1468" s="4" t="s">
        <v>108</v>
      </c>
    </row>
    <row r="1469" spans="40:41" x14ac:dyDescent="0.1">
      <c r="AN1469" s="35">
        <v>43323</v>
      </c>
      <c r="AO1469" s="4" t="s">
        <v>109</v>
      </c>
    </row>
    <row r="1470" spans="40:41" x14ac:dyDescent="0.1">
      <c r="AN1470" s="35">
        <v>43353</v>
      </c>
      <c r="AO1470" s="4" t="s">
        <v>110</v>
      </c>
    </row>
    <row r="1471" spans="40:41" x14ac:dyDescent="0.1">
      <c r="AN1471" s="35">
        <v>43382</v>
      </c>
      <c r="AO1471" s="4" t="s">
        <v>111</v>
      </c>
    </row>
    <row r="1472" spans="40:41" x14ac:dyDescent="0.1">
      <c r="AN1472" s="35">
        <v>43412</v>
      </c>
      <c r="AO1472" s="4" t="s">
        <v>112</v>
      </c>
    </row>
    <row r="1473" spans="40:41" x14ac:dyDescent="0.1">
      <c r="AN1473" s="35">
        <v>43441</v>
      </c>
      <c r="AO1473" s="4" t="s">
        <v>379</v>
      </c>
    </row>
    <row r="1474" spans="40:41" x14ac:dyDescent="0.1">
      <c r="AN1474" s="35">
        <v>43471</v>
      </c>
      <c r="AO1474" s="4" t="s">
        <v>113</v>
      </c>
    </row>
    <row r="1475" spans="40:41" x14ac:dyDescent="0.1">
      <c r="AN1475" s="35">
        <v>43501</v>
      </c>
      <c r="AO1475" s="4" t="s">
        <v>100</v>
      </c>
    </row>
    <row r="1476" spans="40:41" x14ac:dyDescent="0.1">
      <c r="AN1476" s="35">
        <v>43531</v>
      </c>
      <c r="AO1476" s="4" t="s">
        <v>104</v>
      </c>
    </row>
    <row r="1477" spans="40:41" x14ac:dyDescent="0.1">
      <c r="AN1477" s="35">
        <v>43560</v>
      </c>
      <c r="AO1477" s="4" t="s">
        <v>105</v>
      </c>
    </row>
    <row r="1478" spans="40:41" x14ac:dyDescent="0.1">
      <c r="AN1478" s="35">
        <v>43590</v>
      </c>
      <c r="AO1478" s="4" t="s">
        <v>106</v>
      </c>
    </row>
    <row r="1479" spans="40:41" x14ac:dyDescent="0.1">
      <c r="AN1479" s="35">
        <v>43619</v>
      </c>
      <c r="AO1479" s="4" t="s">
        <v>107</v>
      </c>
    </row>
    <row r="1480" spans="40:41" x14ac:dyDescent="0.1">
      <c r="AN1480" s="35">
        <v>43649</v>
      </c>
      <c r="AO1480" s="4" t="s">
        <v>108</v>
      </c>
    </row>
    <row r="1481" spans="40:41" x14ac:dyDescent="0.1">
      <c r="AN1481" s="35">
        <v>43678</v>
      </c>
      <c r="AO1481" s="4" t="s">
        <v>109</v>
      </c>
    </row>
    <row r="1482" spans="40:41" x14ac:dyDescent="0.1">
      <c r="AN1482" s="35">
        <v>43707</v>
      </c>
      <c r="AO1482" s="4" t="s">
        <v>110</v>
      </c>
    </row>
    <row r="1483" spans="40:41" x14ac:dyDescent="0.1">
      <c r="AN1483" s="35">
        <v>43737</v>
      </c>
      <c r="AO1483" s="4" t="s">
        <v>111</v>
      </c>
    </row>
    <row r="1484" spans="40:41" x14ac:dyDescent="0.1">
      <c r="AN1484" s="35">
        <v>43766</v>
      </c>
      <c r="AO1484" s="4" t="s">
        <v>112</v>
      </c>
    </row>
    <row r="1485" spans="40:41" x14ac:dyDescent="0.1">
      <c r="AN1485" s="35">
        <v>43795</v>
      </c>
      <c r="AO1485" s="4" t="s">
        <v>379</v>
      </c>
    </row>
    <row r="1486" spans="40:41" x14ac:dyDescent="0.1">
      <c r="AN1486" s="35">
        <v>43825</v>
      </c>
      <c r="AO1486" s="4" t="s">
        <v>113</v>
      </c>
    </row>
    <row r="1487" spans="40:41" x14ac:dyDescent="0.1">
      <c r="AN1487" s="35">
        <v>43855</v>
      </c>
      <c r="AO1487" s="4" t="s">
        <v>100</v>
      </c>
    </row>
    <row r="1488" spans="40:41" x14ac:dyDescent="0.1">
      <c r="AN1488" s="35">
        <v>43884</v>
      </c>
      <c r="AO1488" s="4" t="s">
        <v>104</v>
      </c>
    </row>
    <row r="1489" spans="38:41" x14ac:dyDescent="0.1">
      <c r="AN1489" s="35">
        <v>43914</v>
      </c>
      <c r="AO1489" s="4" t="s">
        <v>105</v>
      </c>
    </row>
    <row r="1490" spans="38:41" x14ac:dyDescent="0.1">
      <c r="AN1490" s="35">
        <v>43944</v>
      </c>
      <c r="AO1490" s="4" t="s">
        <v>106</v>
      </c>
    </row>
    <row r="1491" spans="38:41" x14ac:dyDescent="0.1">
      <c r="AN1491" s="35">
        <v>43974</v>
      </c>
      <c r="AO1491" s="4" t="s">
        <v>143</v>
      </c>
    </row>
    <row r="1492" spans="38:41" x14ac:dyDescent="0.1">
      <c r="AN1492" s="35">
        <v>44003</v>
      </c>
      <c r="AO1492" s="4" t="s">
        <v>107</v>
      </c>
    </row>
    <row r="1493" spans="38:41" x14ac:dyDescent="0.1">
      <c r="AN1493" s="35">
        <v>44033</v>
      </c>
      <c r="AO1493" s="4" t="s">
        <v>108</v>
      </c>
    </row>
    <row r="1494" spans="38:41" x14ac:dyDescent="0.1">
      <c r="AN1494" s="35">
        <v>44062</v>
      </c>
      <c r="AO1494" s="4" t="s">
        <v>109</v>
      </c>
    </row>
    <row r="1495" spans="38:41" x14ac:dyDescent="0.1">
      <c r="AN1495" s="35">
        <v>44091</v>
      </c>
      <c r="AO1495" s="4" t="s">
        <v>110</v>
      </c>
    </row>
    <row r="1496" spans="38:41" x14ac:dyDescent="0.1">
      <c r="AN1496" s="35">
        <v>44121</v>
      </c>
      <c r="AO1496" s="4" t="s">
        <v>111</v>
      </c>
    </row>
    <row r="1497" spans="38:41" x14ac:dyDescent="0.1">
      <c r="AN1497" s="35">
        <v>44150</v>
      </c>
      <c r="AO1497" s="4" t="s">
        <v>112</v>
      </c>
    </row>
    <row r="1498" spans="38:41" x14ac:dyDescent="0.1">
      <c r="AL1498" s="13"/>
      <c r="AN1498" s="35">
        <v>44180</v>
      </c>
      <c r="AO1498" s="4" t="s">
        <v>379</v>
      </c>
    </row>
    <row r="1499" spans="38:41" x14ac:dyDescent="0.1">
      <c r="AL1499" s="13"/>
      <c r="AN1499" s="23">
        <v>44209</v>
      </c>
      <c r="AO1499" s="4" t="s">
        <v>113</v>
      </c>
    </row>
    <row r="1500" spans="38:41" x14ac:dyDescent="0.1">
      <c r="AL1500" s="13"/>
      <c r="AN1500" s="23">
        <v>44239</v>
      </c>
      <c r="AO1500" s="4" t="s">
        <v>100</v>
      </c>
    </row>
    <row r="1501" spans="38:41" x14ac:dyDescent="0.1">
      <c r="AL1501" s="13"/>
      <c r="AN1501" s="23">
        <v>44268</v>
      </c>
      <c r="AO1501" s="4" t="s">
        <v>104</v>
      </c>
    </row>
    <row r="1502" spans="38:41" x14ac:dyDescent="0.1">
      <c r="AL1502" s="13"/>
      <c r="AN1502" s="23">
        <v>44298</v>
      </c>
      <c r="AO1502" s="4" t="s">
        <v>105</v>
      </c>
    </row>
    <row r="1503" spans="38:41" x14ac:dyDescent="0.1">
      <c r="AL1503" s="13"/>
      <c r="AN1503" s="23">
        <v>44328</v>
      </c>
      <c r="AO1503" s="4" t="s">
        <v>106</v>
      </c>
    </row>
    <row r="1504" spans="38:41" x14ac:dyDescent="0.1">
      <c r="AL1504" s="13"/>
      <c r="AN1504" s="23">
        <v>44357</v>
      </c>
      <c r="AO1504" s="4" t="s">
        <v>107</v>
      </c>
    </row>
    <row r="1505" spans="38:41" x14ac:dyDescent="0.1">
      <c r="AL1505" s="13"/>
      <c r="AN1505" s="23">
        <v>44387</v>
      </c>
      <c r="AO1505" s="4" t="s">
        <v>108</v>
      </c>
    </row>
    <row r="1506" spans="38:41" x14ac:dyDescent="0.1">
      <c r="AL1506" s="13"/>
      <c r="AN1506" s="23">
        <v>44416</v>
      </c>
      <c r="AO1506" s="4" t="s">
        <v>109</v>
      </c>
    </row>
    <row r="1507" spans="38:41" x14ac:dyDescent="0.1">
      <c r="AL1507" s="13"/>
      <c r="AN1507" s="23">
        <v>44446</v>
      </c>
      <c r="AO1507" s="4" t="s">
        <v>110</v>
      </c>
    </row>
    <row r="1508" spans="38:41" x14ac:dyDescent="0.1">
      <c r="AL1508" s="13"/>
      <c r="AN1508" s="23">
        <v>44475</v>
      </c>
      <c r="AO1508" s="4" t="s">
        <v>111</v>
      </c>
    </row>
    <row r="1509" spans="38:41" x14ac:dyDescent="0.1">
      <c r="AL1509" s="13"/>
      <c r="AN1509" s="23">
        <v>44505</v>
      </c>
      <c r="AO1509" s="4" t="s">
        <v>112</v>
      </c>
    </row>
    <row r="1510" spans="38:41" x14ac:dyDescent="0.1">
      <c r="AL1510" s="13"/>
      <c r="AN1510" s="23">
        <v>44534</v>
      </c>
      <c r="AO1510" s="4" t="s">
        <v>379</v>
      </c>
    </row>
    <row r="1511" spans="38:41" x14ac:dyDescent="0.1">
      <c r="AL1511" s="13"/>
      <c r="AN1511" s="23">
        <v>44564</v>
      </c>
      <c r="AO1511" s="4" t="s">
        <v>113</v>
      </c>
    </row>
    <row r="1512" spans="38:41" x14ac:dyDescent="0.1">
      <c r="AL1512" s="13"/>
      <c r="AN1512" s="23">
        <v>44593</v>
      </c>
      <c r="AO1512" s="4" t="s">
        <v>100</v>
      </c>
    </row>
    <row r="1513" spans="38:41" x14ac:dyDescent="0.1">
      <c r="AL1513" s="13"/>
      <c r="AN1513" s="23">
        <v>44623</v>
      </c>
      <c r="AO1513" s="4" t="s">
        <v>104</v>
      </c>
    </row>
    <row r="1514" spans="38:41" x14ac:dyDescent="0.1">
      <c r="AL1514" s="13"/>
      <c r="AN1514" s="23">
        <v>44652</v>
      </c>
      <c r="AO1514" s="4" t="s">
        <v>105</v>
      </c>
    </row>
    <row r="1515" spans="38:41" x14ac:dyDescent="0.1">
      <c r="AL1515" s="13"/>
      <c r="AN1515" s="23">
        <v>44682</v>
      </c>
      <c r="AO1515" s="4" t="s">
        <v>106</v>
      </c>
    </row>
    <row r="1516" spans="38:41" x14ac:dyDescent="0.1">
      <c r="AL1516" s="13"/>
      <c r="AN1516" s="23">
        <v>44711</v>
      </c>
      <c r="AO1516" s="4" t="s">
        <v>107</v>
      </c>
    </row>
    <row r="1517" spans="38:41" x14ac:dyDescent="0.1">
      <c r="AL1517" s="13"/>
      <c r="AN1517" s="23">
        <v>44741</v>
      </c>
      <c r="AO1517" s="4" t="s">
        <v>108</v>
      </c>
    </row>
    <row r="1518" spans="38:41" x14ac:dyDescent="0.1">
      <c r="AL1518" s="13"/>
      <c r="AN1518" s="23">
        <v>44771</v>
      </c>
      <c r="AO1518" s="4" t="s">
        <v>109</v>
      </c>
    </row>
    <row r="1519" spans="38:41" x14ac:dyDescent="0.1">
      <c r="AL1519" s="13"/>
      <c r="AN1519" s="23">
        <v>44800</v>
      </c>
      <c r="AO1519" s="4" t="s">
        <v>110</v>
      </c>
    </row>
    <row r="1520" spans="38:41" x14ac:dyDescent="0.1">
      <c r="AL1520" s="13"/>
      <c r="AN1520" s="23">
        <v>44830</v>
      </c>
      <c r="AO1520" s="4" t="s">
        <v>111</v>
      </c>
    </row>
    <row r="1521" spans="38:41" x14ac:dyDescent="0.1">
      <c r="AL1521" s="13"/>
      <c r="AN1521" s="23">
        <v>44859</v>
      </c>
      <c r="AO1521" s="4" t="s">
        <v>112</v>
      </c>
    </row>
    <row r="1522" spans="38:41" x14ac:dyDescent="0.1">
      <c r="AL1522" s="13"/>
      <c r="AN1522" s="23">
        <v>44889</v>
      </c>
      <c r="AO1522" s="4" t="s">
        <v>379</v>
      </c>
    </row>
    <row r="1523" spans="38:41" x14ac:dyDescent="0.1">
      <c r="AL1523" s="13"/>
      <c r="AN1523" s="23">
        <v>44918</v>
      </c>
      <c r="AO1523" s="4" t="s">
        <v>113</v>
      </c>
    </row>
    <row r="1524" spans="38:41" x14ac:dyDescent="0.1">
      <c r="AL1524" s="13"/>
      <c r="AN1524" s="23">
        <v>44948</v>
      </c>
      <c r="AO1524" s="4" t="s">
        <v>100</v>
      </c>
    </row>
    <row r="1525" spans="38:41" x14ac:dyDescent="0.1">
      <c r="AL1525" s="13"/>
      <c r="AN1525" s="23">
        <v>44977</v>
      </c>
      <c r="AO1525" s="4" t="s">
        <v>104</v>
      </c>
    </row>
    <row r="1526" spans="38:41" x14ac:dyDescent="0.1">
      <c r="AL1526" s="13"/>
      <c r="AN1526" s="23">
        <v>45007</v>
      </c>
      <c r="AO1526" s="4" t="s">
        <v>147</v>
      </c>
    </row>
    <row r="1527" spans="38:41" x14ac:dyDescent="0.1">
      <c r="AL1527" s="13"/>
      <c r="AN1527" s="23">
        <v>45036</v>
      </c>
      <c r="AO1527" s="4" t="s">
        <v>105</v>
      </c>
    </row>
    <row r="1528" spans="38:41" x14ac:dyDescent="0.1">
      <c r="AL1528" s="13"/>
      <c r="AN1528" s="23">
        <v>45065</v>
      </c>
      <c r="AO1528" s="4" t="s">
        <v>106</v>
      </c>
    </row>
    <row r="1529" spans="38:41" x14ac:dyDescent="0.1">
      <c r="AL1529" s="13"/>
      <c r="AN1529" s="23">
        <v>45095</v>
      </c>
      <c r="AO1529" s="4" t="s">
        <v>107</v>
      </c>
    </row>
    <row r="1530" spans="38:41" x14ac:dyDescent="0.1">
      <c r="AL1530" s="13"/>
      <c r="AN1530" s="23">
        <v>45125</v>
      </c>
      <c r="AO1530" s="4" t="s">
        <v>108</v>
      </c>
    </row>
    <row r="1531" spans="38:41" x14ac:dyDescent="0.1">
      <c r="AL1531" s="13"/>
      <c r="AN1531" s="23">
        <v>45154</v>
      </c>
      <c r="AO1531" s="4" t="s">
        <v>109</v>
      </c>
    </row>
    <row r="1532" spans="38:41" x14ac:dyDescent="0.1">
      <c r="AL1532" s="13"/>
      <c r="AN1532" s="23">
        <v>45184</v>
      </c>
      <c r="AO1532" s="4" t="s">
        <v>110</v>
      </c>
    </row>
    <row r="1533" spans="38:41" x14ac:dyDescent="0.1">
      <c r="AL1533" s="13"/>
      <c r="AN1533" s="23">
        <v>45214</v>
      </c>
      <c r="AO1533" s="4" t="s">
        <v>111</v>
      </c>
    </row>
    <row r="1534" spans="38:41" x14ac:dyDescent="0.1">
      <c r="AL1534" s="13"/>
      <c r="AN1534" s="23">
        <v>45243</v>
      </c>
      <c r="AO1534" s="4" t="s">
        <v>112</v>
      </c>
    </row>
    <row r="1535" spans="38:41" x14ac:dyDescent="0.1">
      <c r="AL1535" s="13"/>
      <c r="AN1535" s="23">
        <v>45273</v>
      </c>
      <c r="AO1535" s="4" t="s">
        <v>379</v>
      </c>
    </row>
    <row r="1536" spans="38:41" x14ac:dyDescent="0.1">
      <c r="AL1536" s="13"/>
      <c r="AN1536" s="23">
        <v>45302</v>
      </c>
      <c r="AO1536" s="4" t="s">
        <v>113</v>
      </c>
    </row>
    <row r="1537" spans="38:41" x14ac:dyDescent="0.1">
      <c r="AL1537" s="13"/>
      <c r="AN1537" s="23">
        <v>45332</v>
      </c>
      <c r="AO1537" s="4" t="s">
        <v>100</v>
      </c>
    </row>
    <row r="1538" spans="38:41" x14ac:dyDescent="0.1">
      <c r="AL1538" s="13"/>
      <c r="AN1538" s="23">
        <v>45361</v>
      </c>
      <c r="AO1538" s="4" t="s">
        <v>104</v>
      </c>
    </row>
    <row r="1539" spans="38:41" x14ac:dyDescent="0.1">
      <c r="AL1539" s="13"/>
      <c r="AN1539" s="23">
        <v>45391</v>
      </c>
      <c r="AO1539" s="4" t="s">
        <v>105</v>
      </c>
    </row>
    <row r="1540" spans="38:41" x14ac:dyDescent="0.1">
      <c r="AL1540" s="13"/>
      <c r="AN1540" s="23">
        <v>45420</v>
      </c>
      <c r="AO1540" s="4" t="s">
        <v>106</v>
      </c>
    </row>
    <row r="1541" spans="38:41" x14ac:dyDescent="0.1">
      <c r="AL1541" s="13"/>
      <c r="AN1541" s="23">
        <v>45449</v>
      </c>
      <c r="AO1541" s="4" t="s">
        <v>107</v>
      </c>
    </row>
    <row r="1542" spans="38:41" x14ac:dyDescent="0.1">
      <c r="AL1542" s="13"/>
      <c r="AN1542" s="23">
        <v>45479</v>
      </c>
      <c r="AO1542" s="4" t="s">
        <v>108</v>
      </c>
    </row>
    <row r="1543" spans="38:41" x14ac:dyDescent="0.1">
      <c r="AL1543" s="13"/>
      <c r="AN1543" s="23">
        <v>45508</v>
      </c>
      <c r="AO1543" s="4" t="s">
        <v>109</v>
      </c>
    </row>
    <row r="1544" spans="38:41" x14ac:dyDescent="0.1">
      <c r="AL1544" s="13"/>
      <c r="AN1544" s="23">
        <v>45538</v>
      </c>
      <c r="AO1544" s="4" t="s">
        <v>110</v>
      </c>
    </row>
    <row r="1545" spans="38:41" x14ac:dyDescent="0.1">
      <c r="AL1545" s="13"/>
      <c r="AN1545" s="23">
        <v>45568</v>
      </c>
      <c r="AO1545" s="4" t="s">
        <v>111</v>
      </c>
    </row>
    <row r="1546" spans="38:41" x14ac:dyDescent="0.1">
      <c r="AL1546" s="13"/>
      <c r="AN1546" s="23">
        <v>45597</v>
      </c>
      <c r="AO1546" s="4" t="s">
        <v>112</v>
      </c>
    </row>
    <row r="1547" spans="38:41" x14ac:dyDescent="0.1">
      <c r="AL1547" s="13"/>
      <c r="AN1547" s="23">
        <v>45627</v>
      </c>
      <c r="AO1547" s="4" t="s">
        <v>379</v>
      </c>
    </row>
    <row r="1548" spans="38:41" x14ac:dyDescent="0.1">
      <c r="AL1548" s="13"/>
      <c r="AN1548" s="23">
        <v>45657</v>
      </c>
      <c r="AO1548" s="4" t="s">
        <v>113</v>
      </c>
    </row>
    <row r="1549" spans="38:41" x14ac:dyDescent="0.1">
      <c r="AL1549" s="13"/>
      <c r="AN1549" s="23">
        <v>45686</v>
      </c>
      <c r="AO1549" s="4" t="s">
        <v>100</v>
      </c>
    </row>
    <row r="1550" spans="38:41" x14ac:dyDescent="0.1">
      <c r="AL1550" s="13"/>
      <c r="AN1550" s="23">
        <v>45716</v>
      </c>
      <c r="AO1550" s="4" t="s">
        <v>104</v>
      </c>
    </row>
    <row r="1551" spans="38:41" x14ac:dyDescent="0.1">
      <c r="AL1551" s="13"/>
      <c r="AN1551" s="23">
        <v>45745</v>
      </c>
      <c r="AO1551" s="4" t="s">
        <v>105</v>
      </c>
    </row>
    <row r="1552" spans="38:41" x14ac:dyDescent="0.1">
      <c r="AL1552" s="13"/>
      <c r="AN1552" s="23">
        <v>45775</v>
      </c>
      <c r="AO1552" s="4" t="s">
        <v>106</v>
      </c>
    </row>
    <row r="1553" spans="38:41" x14ac:dyDescent="0.1">
      <c r="AL1553" s="13"/>
      <c r="AN1553" s="23">
        <v>45804</v>
      </c>
      <c r="AO1553" s="4" t="s">
        <v>107</v>
      </c>
    </row>
    <row r="1554" spans="38:41" x14ac:dyDescent="0.1">
      <c r="AL1554" s="13"/>
      <c r="AN1554" s="23">
        <v>45833</v>
      </c>
      <c r="AO1554" s="4" t="s">
        <v>108</v>
      </c>
    </row>
    <row r="1555" spans="38:41" x14ac:dyDescent="0.1">
      <c r="AL1555" s="13"/>
      <c r="AN1555" s="23">
        <v>45863</v>
      </c>
      <c r="AO1555" s="4" t="s">
        <v>145</v>
      </c>
    </row>
    <row r="1556" spans="38:41" x14ac:dyDescent="0.1">
      <c r="AL1556" s="13"/>
      <c r="AN1556" s="23">
        <v>45892</v>
      </c>
      <c r="AO1556" s="4" t="s">
        <v>109</v>
      </c>
    </row>
    <row r="1557" spans="38:41" x14ac:dyDescent="0.1">
      <c r="AL1557" s="13"/>
      <c r="AN1557" s="23">
        <v>45922</v>
      </c>
      <c r="AO1557" s="4" t="s">
        <v>110</v>
      </c>
    </row>
    <row r="1558" spans="38:41" x14ac:dyDescent="0.1">
      <c r="AL1558" s="13"/>
      <c r="AN1558" s="23">
        <v>45951</v>
      </c>
      <c r="AO1558" s="4" t="s">
        <v>111</v>
      </c>
    </row>
    <row r="1559" spans="38:41" x14ac:dyDescent="0.1">
      <c r="AL1559" s="13"/>
      <c r="AN1559" s="23">
        <v>45981</v>
      </c>
      <c r="AO1559" s="4" t="s">
        <v>112</v>
      </c>
    </row>
    <row r="1560" spans="38:41" x14ac:dyDescent="0.1">
      <c r="AL1560" s="13"/>
      <c r="AN1560" s="23">
        <v>46011</v>
      </c>
      <c r="AO1560" s="4" t="s">
        <v>379</v>
      </c>
    </row>
    <row r="1561" spans="38:41" x14ac:dyDescent="0.1">
      <c r="AL1561" s="13"/>
      <c r="AN1561" s="23">
        <v>46041</v>
      </c>
      <c r="AO1561" s="4" t="s">
        <v>113</v>
      </c>
    </row>
    <row r="1562" spans="38:41" x14ac:dyDescent="0.1">
      <c r="AL1562" s="13"/>
      <c r="AN1562" s="23">
        <v>46070</v>
      </c>
      <c r="AO1562" s="4" t="s">
        <v>100</v>
      </c>
    </row>
    <row r="1563" spans="38:41" x14ac:dyDescent="0.1">
      <c r="AL1563" s="13"/>
      <c r="AN1563" s="23">
        <v>46100</v>
      </c>
      <c r="AO1563" s="4" t="s">
        <v>104</v>
      </c>
    </row>
    <row r="1564" spans="38:41" x14ac:dyDescent="0.1">
      <c r="AL1564" s="13"/>
      <c r="AN1564" s="23">
        <v>46129</v>
      </c>
      <c r="AO1564" s="4" t="s">
        <v>105</v>
      </c>
    </row>
    <row r="1565" spans="38:41" x14ac:dyDescent="0.1">
      <c r="AL1565" s="13"/>
      <c r="AN1565" s="23">
        <v>46159</v>
      </c>
      <c r="AO1565" s="4" t="s">
        <v>106</v>
      </c>
    </row>
    <row r="1566" spans="38:41" x14ac:dyDescent="0.1">
      <c r="AL1566" s="13"/>
      <c r="AN1566" s="23">
        <v>46188</v>
      </c>
      <c r="AO1566" s="4" t="s">
        <v>107</v>
      </c>
    </row>
    <row r="1567" spans="38:41" x14ac:dyDescent="0.1">
      <c r="AL1567" s="13"/>
      <c r="AN1567" s="23">
        <v>46217</v>
      </c>
      <c r="AO1567" s="4" t="s">
        <v>108</v>
      </c>
    </row>
    <row r="1568" spans="38:41" x14ac:dyDescent="0.1">
      <c r="AL1568" s="13"/>
      <c r="AN1568" s="23">
        <v>46247</v>
      </c>
      <c r="AO1568" s="4" t="s">
        <v>109</v>
      </c>
    </row>
    <row r="1569" spans="38:41" x14ac:dyDescent="0.1">
      <c r="AL1569" s="13"/>
      <c r="AN1569" s="23">
        <v>46276</v>
      </c>
      <c r="AO1569" s="4" t="s">
        <v>110</v>
      </c>
    </row>
    <row r="1570" spans="38:41" x14ac:dyDescent="0.1">
      <c r="AL1570" s="13"/>
      <c r="AN1570" s="23">
        <v>46305</v>
      </c>
      <c r="AO1570" s="4" t="s">
        <v>111</v>
      </c>
    </row>
    <row r="1571" spans="38:41" x14ac:dyDescent="0.1">
      <c r="AL1571" s="13"/>
      <c r="AN1571" s="23">
        <v>46335</v>
      </c>
      <c r="AO1571" s="4" t="s">
        <v>112</v>
      </c>
    </row>
    <row r="1572" spans="38:41" x14ac:dyDescent="0.1">
      <c r="AL1572" s="13"/>
      <c r="AN1572" s="23">
        <v>46365</v>
      </c>
      <c r="AO1572" s="4" t="s">
        <v>379</v>
      </c>
    </row>
    <row r="1573" spans="38:41" x14ac:dyDescent="0.1">
      <c r="AL1573" s="13"/>
      <c r="AN1573" s="23">
        <v>46395</v>
      </c>
      <c r="AO1573" s="4" t="s">
        <v>113</v>
      </c>
    </row>
    <row r="1574" spans="38:41" x14ac:dyDescent="0.1">
      <c r="AL1574" s="13"/>
      <c r="AN1574" s="23">
        <v>46424</v>
      </c>
      <c r="AO1574" s="4" t="s">
        <v>100</v>
      </c>
    </row>
    <row r="1575" spans="38:41" x14ac:dyDescent="0.1">
      <c r="AL1575" s="13"/>
      <c r="AN1575" s="23">
        <v>46454</v>
      </c>
      <c r="AO1575" s="4" t="s">
        <v>104</v>
      </c>
    </row>
    <row r="1576" spans="38:41" x14ac:dyDescent="0.1">
      <c r="AL1576" s="13"/>
      <c r="AN1576" s="23">
        <v>46484</v>
      </c>
      <c r="AO1576" s="4" t="s">
        <v>105</v>
      </c>
    </row>
    <row r="1577" spans="38:41" x14ac:dyDescent="0.1">
      <c r="AL1577" s="13"/>
      <c r="AN1577" s="23">
        <v>46513</v>
      </c>
      <c r="AO1577" s="4" t="s">
        <v>106</v>
      </c>
    </row>
    <row r="1578" spans="38:41" x14ac:dyDescent="0.1">
      <c r="AL1578" s="13"/>
      <c r="AN1578" s="23">
        <v>46543</v>
      </c>
      <c r="AO1578" s="4" t="s">
        <v>107</v>
      </c>
    </row>
    <row r="1579" spans="38:41" x14ac:dyDescent="0.1">
      <c r="AL1579" s="13"/>
      <c r="AN1579" s="23">
        <v>46572</v>
      </c>
      <c r="AO1579" s="4" t="s">
        <v>108</v>
      </c>
    </row>
    <row r="1580" spans="38:41" x14ac:dyDescent="0.1">
      <c r="AL1580" s="13"/>
      <c r="AN1580" s="23">
        <v>46601</v>
      </c>
      <c r="AO1580" s="4" t="s">
        <v>109</v>
      </c>
    </row>
    <row r="1581" spans="38:41" x14ac:dyDescent="0.1">
      <c r="AL1581" s="13"/>
      <c r="AN1581" s="23">
        <v>46631</v>
      </c>
      <c r="AO1581" s="4" t="s">
        <v>110</v>
      </c>
    </row>
    <row r="1582" spans="38:41" x14ac:dyDescent="0.1">
      <c r="AL1582" s="13"/>
      <c r="AN1582" s="23">
        <v>46660</v>
      </c>
      <c r="AO1582" s="4" t="s">
        <v>111</v>
      </c>
    </row>
    <row r="1583" spans="38:41" x14ac:dyDescent="0.1">
      <c r="AL1583" s="13"/>
      <c r="AN1583" s="23">
        <v>46689</v>
      </c>
      <c r="AO1583" s="4" t="s">
        <v>112</v>
      </c>
    </row>
    <row r="1584" spans="38:41" x14ac:dyDescent="0.1">
      <c r="AL1584" s="13"/>
      <c r="AN1584" s="23">
        <v>46719</v>
      </c>
      <c r="AO1584" s="4" t="s">
        <v>379</v>
      </c>
    </row>
    <row r="1585" spans="38:41" x14ac:dyDescent="0.1">
      <c r="AL1585" s="13"/>
      <c r="AN1585" s="23">
        <v>46749</v>
      </c>
      <c r="AO1585" s="4" t="s">
        <v>113</v>
      </c>
    </row>
    <row r="1586" spans="38:41" x14ac:dyDescent="0.1">
      <c r="AL1586" s="13"/>
      <c r="AN1586" s="23">
        <v>46778</v>
      </c>
      <c r="AO1586" s="4" t="s">
        <v>100</v>
      </c>
    </row>
    <row r="1587" spans="38:41" x14ac:dyDescent="0.1">
      <c r="AL1587" s="13"/>
      <c r="AN1587" s="23">
        <v>46808</v>
      </c>
      <c r="AO1587" s="4" t="s">
        <v>104</v>
      </c>
    </row>
    <row r="1588" spans="38:41" x14ac:dyDescent="0.1">
      <c r="AL1588" s="13"/>
      <c r="AN1588" s="23">
        <v>46838</v>
      </c>
      <c r="AO1588" s="4" t="s">
        <v>105</v>
      </c>
    </row>
    <row r="1589" spans="38:41" x14ac:dyDescent="0.1">
      <c r="AL1589" s="13"/>
      <c r="AN1589" s="23">
        <v>46868</v>
      </c>
      <c r="AO1589" s="4" t="s">
        <v>106</v>
      </c>
    </row>
    <row r="1590" spans="38:41" x14ac:dyDescent="0.1">
      <c r="AL1590" s="13"/>
      <c r="AN1590" s="23">
        <v>46897</v>
      </c>
      <c r="AO1590" s="4" t="s">
        <v>107</v>
      </c>
    </row>
    <row r="1591" spans="38:41" x14ac:dyDescent="0.1">
      <c r="AL1591" s="13"/>
      <c r="AN1591" s="23">
        <v>46927</v>
      </c>
      <c r="AO1591" s="4" t="s">
        <v>142</v>
      </c>
    </row>
    <row r="1592" spans="38:41" x14ac:dyDescent="0.1">
      <c r="AL1592" s="13"/>
      <c r="AN1592" s="23">
        <v>46956</v>
      </c>
      <c r="AO1592" s="4" t="s">
        <v>108</v>
      </c>
    </row>
    <row r="1593" spans="38:41" x14ac:dyDescent="0.1">
      <c r="AL1593" s="13"/>
      <c r="AN1593" s="23">
        <v>46985</v>
      </c>
      <c r="AO1593" s="4" t="s">
        <v>109</v>
      </c>
    </row>
    <row r="1594" spans="38:41" x14ac:dyDescent="0.1">
      <c r="AL1594" s="13"/>
      <c r="AN1594" s="23">
        <v>47015</v>
      </c>
      <c r="AO1594" s="4" t="s">
        <v>110</v>
      </c>
    </row>
    <row r="1595" spans="38:41" x14ac:dyDescent="0.1">
      <c r="AL1595" s="13"/>
      <c r="AN1595" s="23">
        <v>47044</v>
      </c>
      <c r="AO1595" s="4" t="s">
        <v>111</v>
      </c>
    </row>
    <row r="1596" spans="38:41" x14ac:dyDescent="0.1">
      <c r="AL1596" s="13"/>
      <c r="AN1596" s="23">
        <v>47073</v>
      </c>
      <c r="AO1596" s="4" t="s">
        <v>112</v>
      </c>
    </row>
    <row r="1597" spans="38:41" x14ac:dyDescent="0.1">
      <c r="AL1597" s="13"/>
      <c r="AN1597" s="23">
        <v>47103</v>
      </c>
      <c r="AO1597" s="4" t="s">
        <v>379</v>
      </c>
    </row>
    <row r="1598" spans="38:41" x14ac:dyDescent="0.1">
      <c r="AL1598" s="13"/>
      <c r="AN1598" s="23">
        <v>47133</v>
      </c>
      <c r="AO1598" s="4" t="s">
        <v>113</v>
      </c>
    </row>
    <row r="1599" spans="38:41" x14ac:dyDescent="0.1">
      <c r="AL1599" s="13"/>
      <c r="AN1599" s="23">
        <v>47162</v>
      </c>
      <c r="AO1599" s="4" t="s">
        <v>100</v>
      </c>
    </row>
    <row r="1600" spans="38:41" x14ac:dyDescent="0.1">
      <c r="AL1600" s="13"/>
      <c r="AN1600" s="23">
        <v>47192</v>
      </c>
      <c r="AO1600" s="4" t="s">
        <v>104</v>
      </c>
    </row>
    <row r="1601" spans="38:41" x14ac:dyDescent="0.1">
      <c r="AL1601" s="13"/>
      <c r="AN1601" s="23">
        <v>47222</v>
      </c>
      <c r="AO1601" s="4" t="s">
        <v>105</v>
      </c>
    </row>
    <row r="1602" spans="38:41" x14ac:dyDescent="0.1">
      <c r="AL1602" s="13"/>
      <c r="AN1602" s="23">
        <v>47251</v>
      </c>
      <c r="AO1602" s="4" t="s">
        <v>106</v>
      </c>
    </row>
    <row r="1603" spans="38:41" x14ac:dyDescent="0.1">
      <c r="AL1603" s="13"/>
      <c r="AN1603" s="23">
        <v>47281</v>
      </c>
      <c r="AO1603" s="4" t="s">
        <v>107</v>
      </c>
    </row>
    <row r="1604" spans="38:41" x14ac:dyDescent="0.1">
      <c r="AL1604" s="13"/>
      <c r="AN1604" s="23">
        <v>47310</v>
      </c>
      <c r="AO1604" s="4" t="s">
        <v>108</v>
      </c>
    </row>
    <row r="1605" spans="38:41" x14ac:dyDescent="0.1">
      <c r="AL1605" s="13"/>
      <c r="AN1605" s="23">
        <v>47340</v>
      </c>
      <c r="AO1605" s="4" t="s">
        <v>109</v>
      </c>
    </row>
    <row r="1606" spans="38:41" x14ac:dyDescent="0.1">
      <c r="AL1606" s="13"/>
      <c r="AN1606" s="23">
        <v>47369</v>
      </c>
      <c r="AO1606" s="4" t="s">
        <v>110</v>
      </c>
    </row>
    <row r="1607" spans="38:41" x14ac:dyDescent="0.1">
      <c r="AL1607" s="13"/>
      <c r="AN1607" s="23">
        <v>47399</v>
      </c>
      <c r="AO1607" s="4" t="s">
        <v>111</v>
      </c>
    </row>
    <row r="1608" spans="38:41" x14ac:dyDescent="0.1">
      <c r="AL1608" s="13"/>
      <c r="AN1608" s="23">
        <v>47428</v>
      </c>
      <c r="AO1608" s="4" t="s">
        <v>112</v>
      </c>
    </row>
    <row r="1609" spans="38:41" x14ac:dyDescent="0.1">
      <c r="AL1609" s="13"/>
      <c r="AN1609" s="23">
        <v>47457</v>
      </c>
      <c r="AO1609" s="4" t="s">
        <v>379</v>
      </c>
    </row>
    <row r="1610" spans="38:41" x14ac:dyDescent="0.1">
      <c r="AL1610" s="13"/>
      <c r="AN1610" s="23">
        <v>47487</v>
      </c>
      <c r="AO1610" s="4" t="s">
        <v>113</v>
      </c>
    </row>
    <row r="1611" spans="38:41" x14ac:dyDescent="0.1">
      <c r="AL1611" s="13"/>
      <c r="AN1611" s="23">
        <v>47516</v>
      </c>
      <c r="AO1611" s="4" t="s">
        <v>100</v>
      </c>
    </row>
    <row r="1612" spans="38:41" x14ac:dyDescent="0.1">
      <c r="AL1612" s="13"/>
      <c r="AN1612" s="23">
        <v>47546</v>
      </c>
      <c r="AO1612" s="4" t="s">
        <v>104</v>
      </c>
    </row>
    <row r="1613" spans="38:41" x14ac:dyDescent="0.1">
      <c r="AL1613" s="13"/>
      <c r="AN1613" s="23">
        <v>47576</v>
      </c>
      <c r="AO1613" s="4" t="s">
        <v>105</v>
      </c>
    </row>
    <row r="1614" spans="38:41" x14ac:dyDescent="0.1">
      <c r="AL1614" s="13"/>
      <c r="AN1614" s="23">
        <v>47605</v>
      </c>
      <c r="AO1614" s="4" t="s">
        <v>106</v>
      </c>
    </row>
    <row r="1615" spans="38:41" x14ac:dyDescent="0.1">
      <c r="AL1615" s="13"/>
      <c r="AN1615" s="23">
        <v>47635</v>
      </c>
      <c r="AO1615" s="4" t="s">
        <v>107</v>
      </c>
    </row>
    <row r="1616" spans="38:41" x14ac:dyDescent="0.1">
      <c r="AL1616" s="13"/>
      <c r="AN1616" s="23">
        <v>47665</v>
      </c>
      <c r="AO1616" s="4" t="s">
        <v>108</v>
      </c>
    </row>
    <row r="1617" spans="38:41" x14ac:dyDescent="0.1">
      <c r="AL1617" s="13"/>
      <c r="AN1617" s="23">
        <v>47694</v>
      </c>
      <c r="AO1617" s="4" t="s">
        <v>109</v>
      </c>
    </row>
    <row r="1618" spans="38:41" x14ac:dyDescent="0.1">
      <c r="AL1618" s="13"/>
      <c r="AN1618" s="23">
        <v>47724</v>
      </c>
      <c r="AO1618" s="4" t="s">
        <v>110</v>
      </c>
    </row>
    <row r="1619" spans="38:41" x14ac:dyDescent="0.1">
      <c r="AL1619" s="13"/>
      <c r="AN1619" s="23">
        <v>47753</v>
      </c>
      <c r="AO1619" s="4" t="s">
        <v>111</v>
      </c>
    </row>
    <row r="1620" spans="38:41" x14ac:dyDescent="0.1">
      <c r="AL1620" s="13"/>
      <c r="AN1620" s="23">
        <v>47783</v>
      </c>
      <c r="AO1620" s="4" t="s">
        <v>112</v>
      </c>
    </row>
    <row r="1621" spans="38:41" x14ac:dyDescent="0.1">
      <c r="AL1621" s="13"/>
      <c r="AN1621" s="23">
        <v>47812</v>
      </c>
      <c r="AO1621" s="4" t="s">
        <v>379</v>
      </c>
    </row>
    <row r="1622" spans="38:41" x14ac:dyDescent="0.1">
      <c r="AL1622" s="13"/>
      <c r="AN1622" s="23">
        <v>47842</v>
      </c>
      <c r="AO1622" s="4" t="s">
        <v>113</v>
      </c>
    </row>
    <row r="1623" spans="38:41" x14ac:dyDescent="0.1">
      <c r="AL1623" s="13"/>
      <c r="AN1623" s="23">
        <v>47871</v>
      </c>
      <c r="AO1623" s="4" t="s">
        <v>100</v>
      </c>
    </row>
    <row r="1624" spans="38:41" x14ac:dyDescent="0.1">
      <c r="AL1624" s="13"/>
      <c r="AN1624" s="23">
        <v>47900</v>
      </c>
      <c r="AO1624" s="4" t="s">
        <v>104</v>
      </c>
    </row>
    <row r="1625" spans="38:41" x14ac:dyDescent="0.1">
      <c r="AL1625" s="13"/>
      <c r="AN1625" s="23">
        <v>47930</v>
      </c>
      <c r="AO1625" s="4" t="s">
        <v>105</v>
      </c>
    </row>
    <row r="1626" spans="38:41" x14ac:dyDescent="0.1">
      <c r="AL1626" s="13"/>
      <c r="AN1626" s="23">
        <v>47960</v>
      </c>
      <c r="AO1626" s="4" t="s">
        <v>147</v>
      </c>
    </row>
    <row r="1627" spans="38:41" x14ac:dyDescent="0.1">
      <c r="AL1627" s="13"/>
      <c r="AN1627" s="23">
        <v>47989</v>
      </c>
      <c r="AO1627" s="4" t="s">
        <v>106</v>
      </c>
    </row>
    <row r="1628" spans="38:41" x14ac:dyDescent="0.1">
      <c r="AL1628" s="13"/>
      <c r="AN1628" s="23">
        <v>48019</v>
      </c>
      <c r="AO1628" s="4" t="s">
        <v>107</v>
      </c>
    </row>
    <row r="1629" spans="38:41" x14ac:dyDescent="0.1">
      <c r="AL1629" s="13"/>
      <c r="AN1629" s="23">
        <v>48048</v>
      </c>
      <c r="AO1629" s="4" t="s">
        <v>108</v>
      </c>
    </row>
    <row r="1630" spans="38:41" x14ac:dyDescent="0.1">
      <c r="AL1630" s="13"/>
      <c r="AN1630" s="23">
        <v>48078</v>
      </c>
      <c r="AO1630" s="4" t="s">
        <v>109</v>
      </c>
    </row>
    <row r="1631" spans="38:41" x14ac:dyDescent="0.1">
      <c r="AL1631" s="13"/>
      <c r="AN1631" s="23">
        <v>48108</v>
      </c>
      <c r="AO1631" s="4" t="s">
        <v>110</v>
      </c>
    </row>
    <row r="1632" spans="38:41" x14ac:dyDescent="0.1">
      <c r="AL1632" s="13"/>
      <c r="AN1632" s="23">
        <v>48137</v>
      </c>
      <c r="AO1632" s="4" t="s">
        <v>111</v>
      </c>
    </row>
    <row r="1633" spans="38:41" x14ac:dyDescent="0.1">
      <c r="AL1633" s="13"/>
      <c r="AN1633" s="23">
        <v>48167</v>
      </c>
      <c r="AO1633" s="4" t="s">
        <v>112</v>
      </c>
    </row>
    <row r="1634" spans="38:41" x14ac:dyDescent="0.1">
      <c r="AL1634" s="13"/>
      <c r="AN1634" s="23">
        <v>48196</v>
      </c>
      <c r="AO1634" s="4" t="s">
        <v>379</v>
      </c>
    </row>
    <row r="1635" spans="38:41" x14ac:dyDescent="0.1">
      <c r="AL1635" s="13"/>
      <c r="AN1635" s="23">
        <v>48226</v>
      </c>
      <c r="AO1635" s="4" t="s">
        <v>113</v>
      </c>
    </row>
    <row r="1636" spans="38:41" x14ac:dyDescent="0.1">
      <c r="AL1636" s="13"/>
      <c r="AN1636" s="23">
        <v>48255</v>
      </c>
      <c r="AO1636" s="4" t="s">
        <v>100</v>
      </c>
    </row>
    <row r="1637" spans="38:41" x14ac:dyDescent="0.1">
      <c r="AL1637" s="13"/>
      <c r="AN1637" s="23">
        <v>48285</v>
      </c>
      <c r="AO1637" s="4" t="s">
        <v>104</v>
      </c>
    </row>
    <row r="1638" spans="38:41" x14ac:dyDescent="0.1">
      <c r="AL1638" s="13"/>
      <c r="AN1638" s="23">
        <v>48314</v>
      </c>
      <c r="AO1638" s="4" t="s">
        <v>105</v>
      </c>
    </row>
    <row r="1639" spans="38:41" x14ac:dyDescent="0.1">
      <c r="AL1639" s="13"/>
      <c r="AN1639" s="23">
        <v>48343</v>
      </c>
      <c r="AO1639" s="4" t="s">
        <v>106</v>
      </c>
    </row>
    <row r="1640" spans="38:41" x14ac:dyDescent="0.1">
      <c r="AL1640" s="13"/>
      <c r="AN1640" s="23">
        <v>48373</v>
      </c>
      <c r="AO1640" s="4" t="s">
        <v>107</v>
      </c>
    </row>
    <row r="1641" spans="38:41" x14ac:dyDescent="0.1">
      <c r="AL1641" s="13"/>
      <c r="AN1641" s="23">
        <v>48402</v>
      </c>
      <c r="AO1641" s="4" t="s">
        <v>108</v>
      </c>
    </row>
    <row r="1642" spans="38:41" x14ac:dyDescent="0.1">
      <c r="AL1642" s="13"/>
      <c r="AN1642" s="23">
        <v>48432</v>
      </c>
      <c r="AO1642" s="4" t="s">
        <v>109</v>
      </c>
    </row>
    <row r="1643" spans="38:41" x14ac:dyDescent="0.1">
      <c r="AL1643" s="13"/>
      <c r="AN1643" s="23">
        <v>48462</v>
      </c>
      <c r="AO1643" s="4" t="s">
        <v>110</v>
      </c>
    </row>
    <row r="1644" spans="38:41" x14ac:dyDescent="0.1">
      <c r="AL1644" s="13"/>
      <c r="AN1644" s="23">
        <v>48491</v>
      </c>
      <c r="AO1644" s="4" t="s">
        <v>111</v>
      </c>
    </row>
    <row r="1645" spans="38:41" x14ac:dyDescent="0.1">
      <c r="AL1645" s="13"/>
      <c r="AN1645" s="23">
        <v>48521</v>
      </c>
      <c r="AO1645" s="4" t="s">
        <v>112</v>
      </c>
    </row>
    <row r="1646" spans="38:41" x14ac:dyDescent="0.1">
      <c r="AL1646" s="13"/>
      <c r="AN1646" s="23">
        <v>48551</v>
      </c>
      <c r="AO1646" s="4" t="s">
        <v>379</v>
      </c>
    </row>
    <row r="1647" spans="38:41" x14ac:dyDescent="0.1">
      <c r="AL1647" s="13"/>
      <c r="AN1647" s="23">
        <v>48580</v>
      </c>
      <c r="AO1647" s="4" t="s">
        <v>113</v>
      </c>
    </row>
    <row r="1648" spans="38:41" x14ac:dyDescent="0.1">
      <c r="AL1648" s="13"/>
      <c r="AN1648" s="23">
        <v>48610</v>
      </c>
      <c r="AO1648" s="4" t="s">
        <v>100</v>
      </c>
    </row>
    <row r="1649" spans="38:41" x14ac:dyDescent="0.1">
      <c r="AL1649" s="13"/>
      <c r="AN1649" s="23">
        <v>48639</v>
      </c>
      <c r="AO1649" s="4" t="s">
        <v>104</v>
      </c>
    </row>
    <row r="1650" spans="38:41" x14ac:dyDescent="0.1">
      <c r="AL1650" s="13"/>
      <c r="AN1650" s="23">
        <v>48669</v>
      </c>
      <c r="AO1650" s="4" t="s">
        <v>105</v>
      </c>
    </row>
    <row r="1651" spans="38:41" x14ac:dyDescent="0.1">
      <c r="AL1651" s="13"/>
      <c r="AN1651" s="23">
        <v>48698</v>
      </c>
      <c r="AO1651" s="4" t="s">
        <v>106</v>
      </c>
    </row>
    <row r="1652" spans="38:41" x14ac:dyDescent="0.1">
      <c r="AL1652" s="13"/>
      <c r="AN1652" s="23">
        <v>48727</v>
      </c>
      <c r="AO1652" s="4" t="s">
        <v>107</v>
      </c>
    </row>
    <row r="1653" spans="38:41" x14ac:dyDescent="0.1">
      <c r="AL1653" s="13"/>
      <c r="AN1653" s="23">
        <v>48757</v>
      </c>
      <c r="AO1653" s="4" t="s">
        <v>108</v>
      </c>
    </row>
    <row r="1654" spans="38:41" x14ac:dyDescent="0.1">
      <c r="AL1654" s="13"/>
      <c r="AN1654" s="23">
        <v>48786</v>
      </c>
      <c r="AO1654" s="4" t="s">
        <v>109</v>
      </c>
    </row>
    <row r="1655" spans="38:41" x14ac:dyDescent="0.1">
      <c r="AL1655" s="13"/>
      <c r="AN1655" s="23">
        <v>48815</v>
      </c>
      <c r="AO1655" s="4" t="s">
        <v>146</v>
      </c>
    </row>
    <row r="1656" spans="38:41" x14ac:dyDescent="0.1">
      <c r="AL1656" s="13"/>
      <c r="AN1656" s="23">
        <v>48845</v>
      </c>
      <c r="AO1656" s="4" t="s">
        <v>110</v>
      </c>
    </row>
    <row r="1657" spans="38:41" x14ac:dyDescent="0.1">
      <c r="AL1657" s="13"/>
      <c r="AN1657" s="23">
        <v>48875</v>
      </c>
      <c r="AO1657" s="4" t="s">
        <v>111</v>
      </c>
    </row>
    <row r="1658" spans="38:41" x14ac:dyDescent="0.1">
      <c r="AL1658" s="13"/>
      <c r="AN1658" s="23">
        <v>48905</v>
      </c>
      <c r="AO1658" s="4" t="s">
        <v>112</v>
      </c>
    </row>
    <row r="1659" spans="38:41" x14ac:dyDescent="0.1">
      <c r="AL1659" s="13"/>
      <c r="AN1659" s="23">
        <v>48935</v>
      </c>
      <c r="AO1659" s="4" t="s">
        <v>379</v>
      </c>
    </row>
    <row r="1660" spans="38:41" x14ac:dyDescent="0.1">
      <c r="AL1660" s="13"/>
      <c r="AN1660" s="23">
        <v>48964</v>
      </c>
      <c r="AO1660" s="4" t="s">
        <v>113</v>
      </c>
    </row>
    <row r="1661" spans="38:41" x14ac:dyDescent="0.1">
      <c r="AL1661" s="13"/>
      <c r="AM1661" s="23"/>
      <c r="AN1661" s="23">
        <v>48994</v>
      </c>
      <c r="AO1661" s="4" t="s">
        <v>100</v>
      </c>
    </row>
    <row r="1662" spans="38:41" x14ac:dyDescent="0.1">
      <c r="AL1662" s="13"/>
      <c r="AM1662" s="23"/>
      <c r="AN1662" s="23">
        <v>49023</v>
      </c>
      <c r="AO1662" s="4" t="s">
        <v>104</v>
      </c>
    </row>
    <row r="1663" spans="38:41" x14ac:dyDescent="0.1">
      <c r="AL1663" s="13"/>
      <c r="AM1663" s="23"/>
      <c r="AN1663" s="23">
        <v>49053</v>
      </c>
      <c r="AO1663" s="4" t="s">
        <v>105</v>
      </c>
    </row>
    <row r="1664" spans="38:41" x14ac:dyDescent="0.1">
      <c r="AL1664" s="13"/>
      <c r="AM1664" s="23"/>
      <c r="AN1664" s="23">
        <v>49082</v>
      </c>
      <c r="AO1664" s="4" t="s">
        <v>106</v>
      </c>
    </row>
    <row r="1665" spans="38:41" x14ac:dyDescent="0.1">
      <c r="AL1665" s="13"/>
      <c r="AM1665" s="23"/>
      <c r="AN1665" s="23">
        <v>49111</v>
      </c>
      <c r="AO1665" s="4" t="s">
        <v>107</v>
      </c>
    </row>
    <row r="1666" spans="38:41" x14ac:dyDescent="0.1">
      <c r="AL1666" s="13"/>
      <c r="AM1666" s="23"/>
      <c r="AN1666" s="23">
        <v>49141</v>
      </c>
      <c r="AO1666" s="4" t="s">
        <v>108</v>
      </c>
    </row>
    <row r="1667" spans="38:41" x14ac:dyDescent="0.1">
      <c r="AL1667" s="13"/>
      <c r="AM1667" s="23"/>
      <c r="AN1667" s="23">
        <v>49170</v>
      </c>
      <c r="AO1667" s="4" t="s">
        <v>109</v>
      </c>
    </row>
    <row r="1668" spans="38:41" x14ac:dyDescent="0.1">
      <c r="AL1668" s="13"/>
      <c r="AM1668" s="23"/>
      <c r="AN1668" s="23">
        <v>49200</v>
      </c>
      <c r="AO1668" s="4" t="s">
        <v>110</v>
      </c>
    </row>
    <row r="1669" spans="38:41" x14ac:dyDescent="0.1">
      <c r="AL1669" s="13"/>
      <c r="AM1669" s="23"/>
      <c r="AN1669" s="23">
        <v>49229</v>
      </c>
      <c r="AO1669" s="4" t="s">
        <v>111</v>
      </c>
    </row>
    <row r="1670" spans="38:41" x14ac:dyDescent="0.1">
      <c r="AL1670" s="13"/>
      <c r="AM1670" s="23"/>
      <c r="AN1670" s="23">
        <v>49259</v>
      </c>
      <c r="AO1670" s="4" t="s">
        <v>112</v>
      </c>
    </row>
    <row r="1671" spans="38:41" x14ac:dyDescent="0.1">
      <c r="AL1671" s="13"/>
      <c r="AM1671" s="23"/>
      <c r="AN1671" s="23">
        <v>49289</v>
      </c>
      <c r="AO1671" s="4" t="s">
        <v>379</v>
      </c>
    </row>
    <row r="1672" spans="38:41" x14ac:dyDescent="0.1">
      <c r="AL1672" s="13"/>
      <c r="AM1672" s="23"/>
      <c r="AN1672" s="23">
        <v>49318</v>
      </c>
      <c r="AO1672" s="4" t="s">
        <v>113</v>
      </c>
    </row>
    <row r="1673" spans="38:41" x14ac:dyDescent="0.1">
      <c r="AL1673" s="13"/>
      <c r="AM1673" s="23"/>
      <c r="AN1673" s="23">
        <v>49348</v>
      </c>
      <c r="AO1673" s="4" t="s">
        <v>100</v>
      </c>
    </row>
    <row r="1674" spans="38:41" x14ac:dyDescent="0.1">
      <c r="AL1674" s="13"/>
      <c r="AM1674" s="23"/>
      <c r="AN1674" s="23">
        <v>49378</v>
      </c>
      <c r="AO1674" s="4" t="s">
        <v>104</v>
      </c>
    </row>
    <row r="1675" spans="38:41" x14ac:dyDescent="0.1">
      <c r="AL1675" s="13"/>
      <c r="AM1675" s="23"/>
      <c r="AN1675" s="23">
        <v>49407</v>
      </c>
      <c r="AO1675" s="4" t="s">
        <v>105</v>
      </c>
    </row>
    <row r="1676" spans="38:41" x14ac:dyDescent="0.1">
      <c r="AL1676" s="13"/>
      <c r="AM1676" s="23"/>
      <c r="AN1676" s="23">
        <v>49437</v>
      </c>
      <c r="AO1676" s="4" t="s">
        <v>106</v>
      </c>
    </row>
    <row r="1677" spans="38:41" x14ac:dyDescent="0.1">
      <c r="AL1677" s="13"/>
      <c r="AM1677" s="23"/>
      <c r="AN1677" s="23">
        <v>49466</v>
      </c>
      <c r="AO1677" s="4" t="s">
        <v>107</v>
      </c>
    </row>
    <row r="1678" spans="38:41" x14ac:dyDescent="0.1">
      <c r="AL1678" s="13"/>
      <c r="AM1678" s="23"/>
      <c r="AN1678" s="23">
        <v>49495</v>
      </c>
      <c r="AO1678" s="4" t="s">
        <v>108</v>
      </c>
    </row>
    <row r="1679" spans="38:41" x14ac:dyDescent="0.1">
      <c r="AL1679" s="13"/>
      <c r="AM1679" s="23"/>
      <c r="AN1679" s="23">
        <v>49525</v>
      </c>
      <c r="AO1679" s="4" t="s">
        <v>109</v>
      </c>
    </row>
    <row r="1680" spans="38:41" x14ac:dyDescent="0.1">
      <c r="AL1680" s="13"/>
      <c r="AM1680" s="23"/>
      <c r="AN1680" s="23">
        <v>49554</v>
      </c>
      <c r="AO1680" s="4" t="s">
        <v>110</v>
      </c>
    </row>
    <row r="1681" spans="38:41" x14ac:dyDescent="0.1">
      <c r="AL1681" s="13"/>
      <c r="AM1681" s="23"/>
      <c r="AN1681" s="23">
        <v>49583</v>
      </c>
      <c r="AO1681" s="4" t="s">
        <v>111</v>
      </c>
    </row>
    <row r="1682" spans="38:41" x14ac:dyDescent="0.1">
      <c r="AL1682" s="13"/>
      <c r="AM1682" s="23"/>
      <c r="AN1682" s="23">
        <v>49613</v>
      </c>
      <c r="AO1682" s="4" t="s">
        <v>112</v>
      </c>
    </row>
    <row r="1683" spans="38:41" x14ac:dyDescent="0.1">
      <c r="AL1683" s="13"/>
      <c r="AM1683" s="23"/>
      <c r="AN1683" s="23">
        <v>49643</v>
      </c>
      <c r="AO1683" s="4" t="s">
        <v>379</v>
      </c>
    </row>
    <row r="1684" spans="38:41" x14ac:dyDescent="0.1">
      <c r="AM1684" s="23"/>
      <c r="AN1684" s="23">
        <v>49672</v>
      </c>
      <c r="AO1684" s="4" t="s">
        <v>113</v>
      </c>
    </row>
    <row r="1685" spans="38:41" x14ac:dyDescent="0.1">
      <c r="AM1685" s="23"/>
      <c r="AN1685" s="23">
        <v>49702</v>
      </c>
      <c r="AO1685" s="4" t="s">
        <v>100</v>
      </c>
    </row>
    <row r="1686" spans="38:41" x14ac:dyDescent="0.1">
      <c r="AM1686" s="23"/>
      <c r="AN1686" s="23">
        <v>49732</v>
      </c>
      <c r="AO1686" s="4" t="s">
        <v>104</v>
      </c>
    </row>
    <row r="1687" spans="38:41" x14ac:dyDescent="0.1">
      <c r="AM1687" s="23"/>
      <c r="AN1687" s="23">
        <v>49762</v>
      </c>
      <c r="AO1687" s="4" t="s">
        <v>105</v>
      </c>
    </row>
    <row r="1688" spans="38:41" x14ac:dyDescent="0.1">
      <c r="AM1688" s="23"/>
      <c r="AN1688" s="23">
        <v>49791</v>
      </c>
      <c r="AO1688" s="4" t="s">
        <v>106</v>
      </c>
    </row>
    <row r="1689" spans="38:41" x14ac:dyDescent="0.1">
      <c r="AM1689" s="23"/>
      <c r="AN1689" s="23">
        <v>49821</v>
      </c>
      <c r="AO1689" s="4" t="s">
        <v>107</v>
      </c>
    </row>
    <row r="1690" spans="38:41" x14ac:dyDescent="0.1">
      <c r="AM1690" s="23"/>
      <c r="AN1690" s="23">
        <v>49850</v>
      </c>
      <c r="AO1690" s="4" t="s">
        <v>108</v>
      </c>
    </row>
    <row r="1691" spans="38:41" x14ac:dyDescent="0.1">
      <c r="AM1691" s="23"/>
      <c r="AN1691" s="23">
        <v>49879</v>
      </c>
      <c r="AO1691" s="4" t="s">
        <v>145</v>
      </c>
    </row>
    <row r="1692" spans="38:41" x14ac:dyDescent="0.1">
      <c r="AM1692" s="23"/>
      <c r="AN1692" s="23">
        <v>49909</v>
      </c>
      <c r="AO1692" s="4" t="s">
        <v>109</v>
      </c>
    </row>
    <row r="1693" spans="38:41" x14ac:dyDescent="0.1">
      <c r="AM1693" s="23"/>
      <c r="AN1693" s="23">
        <v>49938</v>
      </c>
      <c r="AO1693" s="4" t="s">
        <v>110</v>
      </c>
    </row>
    <row r="1694" spans="38:41" x14ac:dyDescent="0.1">
      <c r="AM1694" s="23"/>
      <c r="AN1694" s="23">
        <v>49967</v>
      </c>
      <c r="AO1694" s="4" t="s">
        <v>111</v>
      </c>
    </row>
    <row r="1695" spans="38:41" x14ac:dyDescent="0.1">
      <c r="AM1695" s="23"/>
      <c r="AN1695" s="23">
        <v>49997</v>
      </c>
      <c r="AO1695" s="4" t="s">
        <v>112</v>
      </c>
    </row>
    <row r="1696" spans="38:41" x14ac:dyDescent="0.1">
      <c r="AM1696" s="23"/>
      <c r="AN1696" s="23">
        <v>50026</v>
      </c>
      <c r="AO1696" s="4" t="s">
        <v>379</v>
      </c>
    </row>
    <row r="1697" spans="39:41" x14ac:dyDescent="0.1">
      <c r="AM1697" s="23"/>
      <c r="AN1697" s="23">
        <v>50056</v>
      </c>
      <c r="AO1697" s="4" t="s">
        <v>113</v>
      </c>
    </row>
    <row r="1698" spans="39:41" x14ac:dyDescent="0.1">
      <c r="AM1698" s="23"/>
      <c r="AN1698" s="23">
        <v>50086</v>
      </c>
      <c r="AO1698" s="4" t="s">
        <v>100</v>
      </c>
    </row>
    <row r="1699" spans="39:41" x14ac:dyDescent="0.1">
      <c r="AM1699" s="23"/>
      <c r="AN1699" s="23">
        <v>50116</v>
      </c>
      <c r="AO1699" s="4" t="s">
        <v>104</v>
      </c>
    </row>
    <row r="1700" spans="39:41" x14ac:dyDescent="0.1">
      <c r="AM1700" s="23"/>
      <c r="AN1700" s="23">
        <v>50146</v>
      </c>
      <c r="AO1700" s="4" t="s">
        <v>105</v>
      </c>
    </row>
    <row r="1701" spans="39:41" x14ac:dyDescent="0.1">
      <c r="AM1701" s="23"/>
      <c r="AN1701" s="23">
        <v>50175</v>
      </c>
      <c r="AO1701" s="4" t="s">
        <v>106</v>
      </c>
    </row>
    <row r="1702" spans="39:41" x14ac:dyDescent="0.1">
      <c r="AM1702" s="23"/>
      <c r="AN1702" s="23">
        <v>50205</v>
      </c>
      <c r="AO1702" s="4" t="s">
        <v>107</v>
      </c>
    </row>
    <row r="1703" spans="39:41" x14ac:dyDescent="0.1">
      <c r="AM1703" s="23"/>
      <c r="AN1703" s="23">
        <v>50234</v>
      </c>
      <c r="AO1703" s="4" t="s">
        <v>108</v>
      </c>
    </row>
    <row r="1704" spans="39:41" x14ac:dyDescent="0.1">
      <c r="AM1704" s="23"/>
      <c r="AN1704" s="23">
        <v>50263</v>
      </c>
      <c r="AO1704" s="4" t="s">
        <v>109</v>
      </c>
    </row>
    <row r="1705" spans="39:41" x14ac:dyDescent="0.1">
      <c r="AM1705" s="23"/>
      <c r="AN1705" s="23">
        <v>50293</v>
      </c>
      <c r="AO1705" s="4" t="s">
        <v>110</v>
      </c>
    </row>
    <row r="1706" spans="39:41" x14ac:dyDescent="0.1">
      <c r="AM1706" s="23"/>
      <c r="AN1706" s="23">
        <v>50322</v>
      </c>
      <c r="AO1706" s="4" t="s">
        <v>111</v>
      </c>
    </row>
    <row r="1707" spans="39:41" x14ac:dyDescent="0.1">
      <c r="AM1707" s="23"/>
      <c r="AN1707" s="23">
        <v>50351</v>
      </c>
      <c r="AO1707" s="4" t="s">
        <v>112</v>
      </c>
    </row>
    <row r="1708" spans="39:41" x14ac:dyDescent="0.1">
      <c r="AM1708" s="23"/>
      <c r="AN1708" s="23">
        <v>50381</v>
      </c>
      <c r="AO1708" s="4" t="s">
        <v>379</v>
      </c>
    </row>
    <row r="1709" spans="39:41" x14ac:dyDescent="0.1">
      <c r="AM1709" s="23"/>
      <c r="AN1709" s="23">
        <v>50410</v>
      </c>
      <c r="AO1709" s="4" t="s">
        <v>113</v>
      </c>
    </row>
    <row r="1710" spans="39:41" x14ac:dyDescent="0.1">
      <c r="AM1710" s="23"/>
      <c r="AN1710" s="23">
        <v>50440</v>
      </c>
      <c r="AO1710" s="4" t="s">
        <v>100</v>
      </c>
    </row>
    <row r="1711" spans="39:41" x14ac:dyDescent="0.1">
      <c r="AM1711" s="23"/>
      <c r="AN1711" s="23">
        <v>50470</v>
      </c>
      <c r="AO1711" s="4" t="s">
        <v>104</v>
      </c>
    </row>
    <row r="1712" spans="39:41" x14ac:dyDescent="0.1">
      <c r="AM1712" s="23"/>
      <c r="AN1712" s="23">
        <v>50500</v>
      </c>
      <c r="AO1712" s="4" t="s">
        <v>105</v>
      </c>
    </row>
    <row r="1713" spans="39:41" x14ac:dyDescent="0.1">
      <c r="AM1713" s="23"/>
      <c r="AN1713" s="23">
        <v>50529</v>
      </c>
      <c r="AO1713" s="4" t="s">
        <v>106</v>
      </c>
    </row>
    <row r="1714" spans="39:41" x14ac:dyDescent="0.1">
      <c r="AM1714" s="23"/>
      <c r="AN1714" s="23">
        <v>50559</v>
      </c>
      <c r="AO1714" s="4" t="s">
        <v>107</v>
      </c>
    </row>
    <row r="1715" spans="39:41" x14ac:dyDescent="0.1">
      <c r="AM1715" s="23"/>
      <c r="AN1715" s="23">
        <v>50588</v>
      </c>
      <c r="AO1715" s="4" t="s">
        <v>108</v>
      </c>
    </row>
    <row r="1716" spans="39:41" x14ac:dyDescent="0.1">
      <c r="AM1716" s="23"/>
      <c r="AN1716" s="23">
        <v>50618</v>
      </c>
      <c r="AO1716" s="4" t="s">
        <v>109</v>
      </c>
    </row>
    <row r="1717" spans="39:41" x14ac:dyDescent="0.1">
      <c r="AM1717" s="23"/>
      <c r="AN1717" s="23">
        <v>50647</v>
      </c>
      <c r="AO1717" s="4" t="s">
        <v>110</v>
      </c>
    </row>
    <row r="1718" spans="39:41" x14ac:dyDescent="0.1">
      <c r="AM1718" s="23"/>
      <c r="AN1718" s="23">
        <v>50677</v>
      </c>
      <c r="AO1718" s="4" t="s">
        <v>111</v>
      </c>
    </row>
    <row r="1719" spans="39:41" x14ac:dyDescent="0.1">
      <c r="AM1719" s="23"/>
      <c r="AN1719" s="23">
        <v>50706</v>
      </c>
      <c r="AO1719" s="4" t="s">
        <v>112</v>
      </c>
    </row>
    <row r="1720" spans="39:41" x14ac:dyDescent="0.1">
      <c r="AM1720" s="23"/>
      <c r="AN1720" s="23">
        <v>50735</v>
      </c>
      <c r="AO1720" s="4" t="s">
        <v>379</v>
      </c>
    </row>
    <row r="1721" spans="39:41" x14ac:dyDescent="0.1">
      <c r="AM1721" s="23"/>
      <c r="AN1721" s="23">
        <v>50765</v>
      </c>
      <c r="AO1721" s="4" t="s">
        <v>113</v>
      </c>
    </row>
    <row r="1722" spans="39:41" x14ac:dyDescent="0.1">
      <c r="AM1722" s="23"/>
      <c r="AN1722" s="23">
        <v>50794</v>
      </c>
      <c r="AO1722" s="4" t="s">
        <v>100</v>
      </c>
    </row>
    <row r="1723" spans="39:41" x14ac:dyDescent="0.1">
      <c r="AM1723" s="23"/>
      <c r="AN1723" s="23">
        <v>50824</v>
      </c>
      <c r="AO1723" s="4" t="s">
        <v>104</v>
      </c>
    </row>
    <row r="1724" spans="39:41" x14ac:dyDescent="0.1">
      <c r="AM1724" s="23"/>
      <c r="AN1724" s="23">
        <v>50854</v>
      </c>
      <c r="AO1724" s="4" t="s">
        <v>105</v>
      </c>
    </row>
    <row r="1725" spans="39:41" x14ac:dyDescent="0.1">
      <c r="AM1725" s="23"/>
      <c r="AN1725" s="23">
        <v>50883</v>
      </c>
      <c r="AO1725" s="4" t="s">
        <v>106</v>
      </c>
    </row>
    <row r="1726" spans="39:41" x14ac:dyDescent="0.1">
      <c r="AM1726" s="23"/>
      <c r="AN1726" s="23">
        <v>50913</v>
      </c>
      <c r="AO1726" s="4" t="s">
        <v>107</v>
      </c>
    </row>
    <row r="1727" spans="39:41" x14ac:dyDescent="0.1">
      <c r="AM1727" s="23"/>
      <c r="AN1727" s="23">
        <v>50943</v>
      </c>
      <c r="AO1727" s="4" t="s">
        <v>142</v>
      </c>
    </row>
    <row r="1728" spans="39:41" x14ac:dyDescent="0.1">
      <c r="AM1728" s="23"/>
      <c r="AN1728" s="23">
        <v>50972</v>
      </c>
      <c r="AO1728" s="4" t="s">
        <v>108</v>
      </c>
    </row>
    <row r="1729" spans="39:41" x14ac:dyDescent="0.1">
      <c r="AM1729" s="23"/>
      <c r="AN1729" s="23">
        <v>51002</v>
      </c>
      <c r="AO1729" s="4" t="s">
        <v>109</v>
      </c>
    </row>
    <row r="1730" spans="39:41" x14ac:dyDescent="0.1">
      <c r="AM1730" s="23"/>
      <c r="AN1730" s="23">
        <v>51031</v>
      </c>
      <c r="AO1730" s="4" t="s">
        <v>110</v>
      </c>
    </row>
    <row r="1731" spans="39:41" x14ac:dyDescent="0.1">
      <c r="AM1731" s="23"/>
      <c r="AN1731" s="23">
        <v>51061</v>
      </c>
      <c r="AO1731" s="4" t="s">
        <v>111</v>
      </c>
    </row>
    <row r="1732" spans="39:41" x14ac:dyDescent="0.1">
      <c r="AM1732" s="23"/>
      <c r="AN1732" s="23">
        <v>51090</v>
      </c>
      <c r="AO1732" s="4" t="s">
        <v>112</v>
      </c>
    </row>
    <row r="1733" spans="39:41" x14ac:dyDescent="0.1">
      <c r="AM1733" s="23"/>
      <c r="AN1733" s="23">
        <v>51120</v>
      </c>
      <c r="AO1733" s="4" t="s">
        <v>379</v>
      </c>
    </row>
    <row r="1734" spans="39:41" x14ac:dyDescent="0.1">
      <c r="AM1734" s="23"/>
      <c r="AN1734" s="23">
        <v>51149</v>
      </c>
      <c r="AO1734" s="4" t="s">
        <v>113</v>
      </c>
    </row>
    <row r="1735" spans="39:41" x14ac:dyDescent="0.1">
      <c r="AM1735" s="23"/>
      <c r="AN1735" s="23">
        <v>51178</v>
      </c>
      <c r="AO1735" s="4" t="s">
        <v>100</v>
      </c>
    </row>
    <row r="1736" spans="39:41" x14ac:dyDescent="0.1">
      <c r="AM1736" s="23"/>
      <c r="AN1736" s="23">
        <v>51208</v>
      </c>
      <c r="AO1736" s="4" t="s">
        <v>104</v>
      </c>
    </row>
    <row r="1737" spans="39:41" x14ac:dyDescent="0.1">
      <c r="AM1737" s="23"/>
      <c r="AN1737" s="23">
        <v>51237</v>
      </c>
      <c r="AO1737" s="4" t="s">
        <v>105</v>
      </c>
    </row>
    <row r="1738" spans="39:41" x14ac:dyDescent="0.1">
      <c r="AM1738" s="23"/>
      <c r="AN1738" s="23">
        <v>51267</v>
      </c>
      <c r="AO1738" s="4" t="s">
        <v>106</v>
      </c>
    </row>
    <row r="1739" spans="39:41" x14ac:dyDescent="0.1">
      <c r="AM1739" s="23"/>
      <c r="AN1739" s="23">
        <v>51297</v>
      </c>
      <c r="AO1739" s="4" t="s">
        <v>107</v>
      </c>
    </row>
    <row r="1740" spans="39:41" x14ac:dyDescent="0.1">
      <c r="AM1740" s="23"/>
      <c r="AN1740" s="23">
        <v>51326</v>
      </c>
      <c r="AO1740" s="4" t="s">
        <v>108</v>
      </c>
    </row>
    <row r="1741" spans="39:41" x14ac:dyDescent="0.1">
      <c r="AM1741" s="23"/>
      <c r="AN1741" s="23">
        <v>51356</v>
      </c>
      <c r="AO1741" s="4" t="s">
        <v>109</v>
      </c>
    </row>
    <row r="1742" spans="39:41" x14ac:dyDescent="0.1">
      <c r="AM1742" s="23"/>
      <c r="AN1742" s="23">
        <v>51385</v>
      </c>
      <c r="AO1742" s="4" t="s">
        <v>110</v>
      </c>
    </row>
    <row r="1743" spans="39:41" x14ac:dyDescent="0.1">
      <c r="AM1743" s="23"/>
      <c r="AN1743" s="23">
        <v>51415</v>
      </c>
      <c r="AO1743" s="4" t="s">
        <v>111</v>
      </c>
    </row>
    <row r="1744" spans="39:41" x14ac:dyDescent="0.1">
      <c r="AM1744" s="23"/>
      <c r="AN1744" s="23">
        <v>51445</v>
      </c>
      <c r="AO1744" s="4" t="s">
        <v>112</v>
      </c>
    </row>
    <row r="1745" spans="39:41" x14ac:dyDescent="0.1">
      <c r="AM1745" s="23"/>
      <c r="AN1745" s="23">
        <v>51474</v>
      </c>
      <c r="AO1745" s="4" t="s">
        <v>379</v>
      </c>
    </row>
    <row r="1746" spans="39:41" x14ac:dyDescent="0.1">
      <c r="AM1746" s="23"/>
      <c r="AN1746" s="23">
        <v>51504</v>
      </c>
      <c r="AO1746" s="4" t="s">
        <v>113</v>
      </c>
    </row>
    <row r="1747" spans="39:41" x14ac:dyDescent="0.1">
      <c r="AM1747" s="23"/>
      <c r="AN1747" s="23">
        <v>51533</v>
      </c>
      <c r="AO1747" s="4" t="s">
        <v>100</v>
      </c>
    </row>
    <row r="1748" spans="39:41" x14ac:dyDescent="0.1">
      <c r="AM1748" s="23"/>
      <c r="AN1748" s="23">
        <v>51562</v>
      </c>
      <c r="AO1748" s="4" t="s">
        <v>104</v>
      </c>
    </row>
    <row r="1749" spans="39:41" x14ac:dyDescent="0.1">
      <c r="AM1749" s="23"/>
      <c r="AN1749" s="23">
        <v>51592</v>
      </c>
      <c r="AO1749" s="4" t="s">
        <v>105</v>
      </c>
    </row>
    <row r="1750" spans="39:41" x14ac:dyDescent="0.1">
      <c r="AM1750" s="23"/>
      <c r="AN1750" s="23">
        <v>51621</v>
      </c>
      <c r="AO1750" s="4" t="s">
        <v>106</v>
      </c>
    </row>
    <row r="1751" spans="39:41" x14ac:dyDescent="0.1">
      <c r="AM1751" s="23"/>
      <c r="AN1751" s="23">
        <v>51651</v>
      </c>
      <c r="AO1751" s="4" t="s">
        <v>107</v>
      </c>
    </row>
    <row r="1752" spans="39:41" x14ac:dyDescent="0.1">
      <c r="AM1752" s="23"/>
      <c r="AN1752" s="23">
        <v>51680</v>
      </c>
      <c r="AO1752" s="4" t="s">
        <v>108</v>
      </c>
    </row>
    <row r="1753" spans="39:41" x14ac:dyDescent="0.1">
      <c r="AM1753" s="23"/>
      <c r="AN1753" s="23">
        <v>51710</v>
      </c>
      <c r="AO1753" s="4" t="s">
        <v>109</v>
      </c>
    </row>
    <row r="1754" spans="39:41" x14ac:dyDescent="0.1">
      <c r="AM1754" s="23"/>
      <c r="AN1754" s="23">
        <v>51740</v>
      </c>
      <c r="AO1754" s="4" t="s">
        <v>110</v>
      </c>
    </row>
    <row r="1755" spans="39:41" x14ac:dyDescent="0.1">
      <c r="AM1755" s="23"/>
      <c r="AN1755" s="23">
        <v>51769</v>
      </c>
      <c r="AO1755" s="4" t="s">
        <v>111</v>
      </c>
    </row>
    <row r="1756" spans="39:41" x14ac:dyDescent="0.1">
      <c r="AM1756" s="23"/>
      <c r="AN1756" s="23">
        <v>51799</v>
      </c>
      <c r="AO1756" s="4" t="s">
        <v>112</v>
      </c>
    </row>
    <row r="1757" spans="39:41" x14ac:dyDescent="0.1">
      <c r="AM1757" s="23"/>
      <c r="AN1757" s="23">
        <v>51829</v>
      </c>
      <c r="AO1757" s="4" t="s">
        <v>379</v>
      </c>
    </row>
    <row r="1758" spans="39:41" x14ac:dyDescent="0.1">
      <c r="AM1758" s="23"/>
      <c r="AN1758" s="23">
        <v>51858</v>
      </c>
      <c r="AO1758" s="4" t="s">
        <v>113</v>
      </c>
    </row>
    <row r="1759" spans="39:41" x14ac:dyDescent="0.1">
      <c r="AM1759" s="23"/>
      <c r="AN1759" s="23">
        <v>51888</v>
      </c>
      <c r="AO1759" s="4" t="s">
        <v>100</v>
      </c>
    </row>
    <row r="1760" spans="39:41" x14ac:dyDescent="0.1">
      <c r="AM1760" s="23"/>
      <c r="AN1760" s="23">
        <v>51917</v>
      </c>
      <c r="AO1760" s="4" t="s">
        <v>104</v>
      </c>
    </row>
    <row r="1761" spans="39:41" x14ac:dyDescent="0.1">
      <c r="AM1761" s="23"/>
      <c r="AN1761" s="23">
        <v>51947</v>
      </c>
      <c r="AO1761" s="4" t="s">
        <v>144</v>
      </c>
    </row>
    <row r="1762" spans="39:41" x14ac:dyDescent="0.1">
      <c r="AM1762" s="23"/>
      <c r="AN1762" s="23">
        <v>51976</v>
      </c>
      <c r="AO1762" s="4" t="s">
        <v>105</v>
      </c>
    </row>
    <row r="1763" spans="39:41" x14ac:dyDescent="0.1">
      <c r="AM1763" s="23"/>
      <c r="AN1763" s="23">
        <v>52005</v>
      </c>
      <c r="AO1763" s="4" t="s">
        <v>106</v>
      </c>
    </row>
    <row r="1764" spans="39:41" x14ac:dyDescent="0.1">
      <c r="AM1764" s="23"/>
      <c r="AN1764" s="23">
        <v>52035</v>
      </c>
      <c r="AO1764" s="4" t="s">
        <v>107</v>
      </c>
    </row>
    <row r="1765" spans="39:41" x14ac:dyDescent="0.1">
      <c r="AM1765" s="23"/>
      <c r="AN1765" s="23">
        <v>52064</v>
      </c>
      <c r="AO1765" s="4" t="s">
        <v>108</v>
      </c>
    </row>
    <row r="1766" spans="39:41" x14ac:dyDescent="0.1">
      <c r="AM1766" s="23"/>
      <c r="AN1766" s="23">
        <v>52094</v>
      </c>
      <c r="AO1766" s="4" t="s">
        <v>109</v>
      </c>
    </row>
    <row r="1767" spans="39:41" x14ac:dyDescent="0.1">
      <c r="AM1767" s="23"/>
      <c r="AN1767" s="23">
        <v>52123</v>
      </c>
      <c r="AO1767" s="4" t="s">
        <v>110</v>
      </c>
    </row>
    <row r="1768" spans="39:41" x14ac:dyDescent="0.1">
      <c r="AM1768" s="23"/>
      <c r="AN1768" s="23">
        <v>52153</v>
      </c>
      <c r="AO1768" s="4" t="s">
        <v>111</v>
      </c>
    </row>
    <row r="1769" spans="39:41" x14ac:dyDescent="0.1">
      <c r="AM1769" s="23"/>
      <c r="AN1769" s="23">
        <v>52183</v>
      </c>
      <c r="AO1769" s="4" t="s">
        <v>112</v>
      </c>
    </row>
    <row r="1770" spans="39:41" x14ac:dyDescent="0.1">
      <c r="AM1770" s="23"/>
      <c r="AN1770" s="23">
        <v>52212</v>
      </c>
      <c r="AO1770" s="4" t="s">
        <v>379</v>
      </c>
    </row>
    <row r="1771" spans="39:41" x14ac:dyDescent="0.1">
      <c r="AM1771" s="23"/>
      <c r="AN1771" s="23">
        <v>52242</v>
      </c>
      <c r="AO1771" s="4" t="s">
        <v>113</v>
      </c>
    </row>
    <row r="1772" spans="39:41" x14ac:dyDescent="0.1">
      <c r="AM1772" s="23"/>
      <c r="AN1772" s="23">
        <v>52272</v>
      </c>
      <c r="AO1772" s="4" t="s">
        <v>100</v>
      </c>
    </row>
    <row r="1773" spans="39:41" x14ac:dyDescent="0.1">
      <c r="AM1773" s="23"/>
      <c r="AN1773" s="23">
        <v>52301</v>
      </c>
      <c r="AO1773" s="4" t="s">
        <v>104</v>
      </c>
    </row>
    <row r="1774" spans="39:41" x14ac:dyDescent="0.1">
      <c r="AM1774" s="23"/>
      <c r="AN1774" s="23">
        <v>52331</v>
      </c>
      <c r="AO1774" s="4" t="s">
        <v>105</v>
      </c>
    </row>
    <row r="1775" spans="39:41" x14ac:dyDescent="0.1">
      <c r="AM1775" s="23"/>
      <c r="AN1775" s="23">
        <v>52360</v>
      </c>
      <c r="AO1775" s="4" t="s">
        <v>106</v>
      </c>
    </row>
    <row r="1776" spans="39:41" x14ac:dyDescent="0.1">
      <c r="AM1776" s="23"/>
      <c r="AN1776" s="23">
        <v>52389</v>
      </c>
      <c r="AO1776" s="4" t="s">
        <v>107</v>
      </c>
    </row>
    <row r="1777" spans="39:41" x14ac:dyDescent="0.1">
      <c r="AM1777" s="23"/>
      <c r="AN1777" s="23">
        <v>52419</v>
      </c>
      <c r="AO1777" s="4" t="s">
        <v>108</v>
      </c>
    </row>
    <row r="1778" spans="39:41" x14ac:dyDescent="0.1">
      <c r="AM1778" s="23"/>
      <c r="AN1778" s="23">
        <v>52448</v>
      </c>
      <c r="AO1778" s="4" t="s">
        <v>109</v>
      </c>
    </row>
    <row r="1779" spans="39:41" x14ac:dyDescent="0.1">
      <c r="AM1779" s="23"/>
      <c r="AN1779" s="23">
        <v>52477</v>
      </c>
      <c r="AO1779" s="4" t="s">
        <v>110</v>
      </c>
    </row>
    <row r="1780" spans="39:41" x14ac:dyDescent="0.1">
      <c r="AM1780" s="23"/>
      <c r="AN1780" s="23">
        <v>52507</v>
      </c>
      <c r="AO1780" s="4" t="s">
        <v>111</v>
      </c>
    </row>
    <row r="1781" spans="39:41" x14ac:dyDescent="0.1">
      <c r="AM1781" s="23"/>
      <c r="AN1781" s="23">
        <v>52537</v>
      </c>
      <c r="AO1781" s="4" t="s">
        <v>112</v>
      </c>
    </row>
    <row r="1782" spans="39:41" x14ac:dyDescent="0.1">
      <c r="AM1782" s="23"/>
      <c r="AN1782" s="23">
        <v>52566</v>
      </c>
      <c r="AO1782" s="4" t="s">
        <v>379</v>
      </c>
    </row>
    <row r="1783" spans="39:41" x14ac:dyDescent="0.1">
      <c r="AM1783" s="23"/>
      <c r="AN1783" s="23">
        <v>52596</v>
      </c>
      <c r="AO1783" s="4" t="s">
        <v>113</v>
      </c>
    </row>
    <row r="1784" spans="39:41" x14ac:dyDescent="0.1">
      <c r="AM1784" s="23"/>
      <c r="AN1784" s="23">
        <v>52626</v>
      </c>
      <c r="AO1784" s="4" t="s">
        <v>100</v>
      </c>
    </row>
    <row r="1785" spans="39:41" x14ac:dyDescent="0.1">
      <c r="AM1785" s="23"/>
      <c r="AN1785" s="23">
        <v>52656</v>
      </c>
      <c r="AO1785" s="4" t="s">
        <v>104</v>
      </c>
    </row>
    <row r="1786" spans="39:41" x14ac:dyDescent="0.1">
      <c r="AM1786" s="23"/>
      <c r="AN1786" s="23">
        <v>52685</v>
      </c>
      <c r="AO1786" s="4" t="s">
        <v>105</v>
      </c>
    </row>
    <row r="1787" spans="39:41" x14ac:dyDescent="0.1">
      <c r="AM1787" s="23"/>
      <c r="AN1787" s="23">
        <v>52715</v>
      </c>
      <c r="AO1787" s="4" t="s">
        <v>106</v>
      </c>
    </row>
    <row r="1788" spans="39:41" x14ac:dyDescent="0.1">
      <c r="AM1788" s="23"/>
      <c r="AN1788" s="23">
        <v>52744</v>
      </c>
      <c r="AO1788" s="4" t="s">
        <v>107</v>
      </c>
    </row>
    <row r="1789" spans="39:41" x14ac:dyDescent="0.1">
      <c r="AM1789" s="23"/>
      <c r="AN1789" s="23">
        <v>52773</v>
      </c>
      <c r="AO1789" s="4" t="s">
        <v>108</v>
      </c>
    </row>
    <row r="1790" spans="39:41" x14ac:dyDescent="0.1">
      <c r="AM1790" s="23"/>
      <c r="AN1790" s="23">
        <v>52803</v>
      </c>
      <c r="AO1790" s="4" t="s">
        <v>408</v>
      </c>
    </row>
    <row r="1791" spans="39:41" x14ac:dyDescent="0.1">
      <c r="AM1791" s="23"/>
      <c r="AN1791" s="23">
        <v>52832</v>
      </c>
      <c r="AO1791" s="4" t="s">
        <v>146</v>
      </c>
    </row>
    <row r="1792" spans="39:41" x14ac:dyDescent="0.1">
      <c r="AM1792" s="23"/>
      <c r="AN1792" s="23">
        <v>52861</v>
      </c>
      <c r="AO1792" s="4" t="s">
        <v>110</v>
      </c>
    </row>
    <row r="1793" spans="39:41" x14ac:dyDescent="0.1">
      <c r="AM1793" s="23"/>
      <c r="AN1793" s="23">
        <v>52891</v>
      </c>
      <c r="AO1793" s="4" t="s">
        <v>111</v>
      </c>
    </row>
    <row r="1794" spans="39:41" x14ac:dyDescent="0.1">
      <c r="AM1794" s="23"/>
      <c r="AN1794" s="23">
        <v>52920</v>
      </c>
      <c r="AO1794" s="4" t="s">
        <v>112</v>
      </c>
    </row>
    <row r="1795" spans="39:41" x14ac:dyDescent="0.1">
      <c r="AM1795" s="23"/>
      <c r="AN1795" s="23">
        <v>52950</v>
      </c>
      <c r="AO1795" s="4" t="s">
        <v>379</v>
      </c>
    </row>
    <row r="1796" spans="39:41" x14ac:dyDescent="0.1">
      <c r="AM1796" s="23"/>
      <c r="AN1796" s="23">
        <v>52980</v>
      </c>
      <c r="AO1796" s="4" t="s">
        <v>113</v>
      </c>
    </row>
    <row r="1797" spans="39:41" x14ac:dyDescent="0.1">
      <c r="AM1797" s="23"/>
      <c r="AN1797" s="23">
        <v>53010</v>
      </c>
      <c r="AO1797" s="4" t="s">
        <v>100</v>
      </c>
    </row>
    <row r="1798" spans="39:41" x14ac:dyDescent="0.1">
      <c r="AM1798" s="23"/>
      <c r="AN1798" s="23">
        <v>53040</v>
      </c>
      <c r="AO1798" s="4" t="s">
        <v>104</v>
      </c>
    </row>
    <row r="1799" spans="39:41" x14ac:dyDescent="0.1">
      <c r="AM1799" s="23"/>
      <c r="AN1799" s="23">
        <v>53069</v>
      </c>
      <c r="AO1799" s="4" t="s">
        <v>105</v>
      </c>
    </row>
    <row r="1800" spans="39:41" x14ac:dyDescent="0.1">
      <c r="AM1800" s="23"/>
      <c r="AN1800" s="23">
        <v>53099</v>
      </c>
      <c r="AO1800" s="4" t="s">
        <v>106</v>
      </c>
    </row>
    <row r="1801" spans="39:41" x14ac:dyDescent="0.1">
      <c r="AM1801" s="23"/>
      <c r="AN1801" s="23">
        <v>53128</v>
      </c>
      <c r="AO1801" s="4" t="s">
        <v>107</v>
      </c>
    </row>
    <row r="1802" spans="39:41" x14ac:dyDescent="0.1">
      <c r="AM1802" s="23"/>
      <c r="AN1802" s="23">
        <v>53157</v>
      </c>
      <c r="AO1802" s="4" t="s">
        <v>108</v>
      </c>
    </row>
    <row r="1803" spans="39:41" x14ac:dyDescent="0.1">
      <c r="AM1803" s="23"/>
      <c r="AN1803" s="23">
        <v>53187</v>
      </c>
      <c r="AO1803" s="4" t="s">
        <v>109</v>
      </c>
    </row>
    <row r="1804" spans="39:41" x14ac:dyDescent="0.1">
      <c r="AM1804" s="23"/>
      <c r="AN1804" s="23">
        <v>53216</v>
      </c>
      <c r="AO1804" s="4" t="s">
        <v>110</v>
      </c>
    </row>
    <row r="1805" spans="39:41" x14ac:dyDescent="0.1">
      <c r="AM1805" s="23"/>
      <c r="AN1805" s="23">
        <v>53245</v>
      </c>
      <c r="AO1805" s="4" t="s">
        <v>111</v>
      </c>
    </row>
    <row r="1806" spans="39:41" x14ac:dyDescent="0.1">
      <c r="AM1806" s="23"/>
      <c r="AN1806" s="23">
        <v>53275</v>
      </c>
      <c r="AO1806" s="4" t="s">
        <v>112</v>
      </c>
    </row>
    <row r="1807" spans="39:41" x14ac:dyDescent="0.1">
      <c r="AM1807" s="23"/>
      <c r="AN1807" s="23">
        <v>53304</v>
      </c>
      <c r="AO1807" s="4" t="s">
        <v>379</v>
      </c>
    </row>
    <row r="1808" spans="39:41" x14ac:dyDescent="0.1">
      <c r="AM1808" s="23"/>
      <c r="AN1808" s="23">
        <v>53334</v>
      </c>
      <c r="AO1808" s="4" t="s">
        <v>113</v>
      </c>
    </row>
    <row r="1809" spans="39:41" x14ac:dyDescent="0.1">
      <c r="AM1809" s="23"/>
      <c r="AN1809" s="23">
        <v>53364</v>
      </c>
      <c r="AO1809" s="4" t="s">
        <v>100</v>
      </c>
    </row>
    <row r="1810" spans="39:41" x14ac:dyDescent="0.1">
      <c r="AM1810" s="23"/>
      <c r="AN1810" s="23">
        <v>53394</v>
      </c>
      <c r="AO1810" s="4" t="s">
        <v>104</v>
      </c>
    </row>
    <row r="1811" spans="39:41" x14ac:dyDescent="0.1">
      <c r="AM1811" s="23"/>
      <c r="AN1811" s="23">
        <v>53423</v>
      </c>
      <c r="AO1811" s="4" t="s">
        <v>105</v>
      </c>
    </row>
    <row r="1812" spans="39:41" x14ac:dyDescent="0.1">
      <c r="AM1812" s="23"/>
      <c r="AN1812" s="23">
        <v>53453</v>
      </c>
      <c r="AO1812" s="4" t="s">
        <v>106</v>
      </c>
    </row>
    <row r="1813" spans="39:41" x14ac:dyDescent="0.1">
      <c r="AM1813" s="23"/>
      <c r="AN1813" s="23">
        <v>53482</v>
      </c>
      <c r="AO1813" s="4" t="s">
        <v>107</v>
      </c>
    </row>
    <row r="1814" spans="39:41" x14ac:dyDescent="0.1">
      <c r="AM1814" s="23"/>
      <c r="AN1814" s="23">
        <v>53512</v>
      </c>
      <c r="AO1814" s="4" t="s">
        <v>108</v>
      </c>
    </row>
    <row r="1815" spans="39:41" x14ac:dyDescent="0.1">
      <c r="AM1815" s="23"/>
      <c r="AN1815" s="23">
        <v>53541</v>
      </c>
      <c r="AO1815" s="4" t="s">
        <v>109</v>
      </c>
    </row>
    <row r="1816" spans="39:41" x14ac:dyDescent="0.1">
      <c r="AM1816" s="23"/>
      <c r="AN1816" s="23">
        <v>53571</v>
      </c>
      <c r="AO1816" s="4" t="s">
        <v>110</v>
      </c>
    </row>
    <row r="1817" spans="39:41" x14ac:dyDescent="0.1">
      <c r="AM1817" s="23"/>
      <c r="AN1817" s="23">
        <v>53600</v>
      </c>
      <c r="AO1817" s="4" t="s">
        <v>111</v>
      </c>
    </row>
    <row r="1818" spans="39:41" x14ac:dyDescent="0.1">
      <c r="AM1818" s="23"/>
      <c r="AN1818" s="23">
        <v>53629</v>
      </c>
      <c r="AO1818" s="4" t="s">
        <v>112</v>
      </c>
    </row>
    <row r="1819" spans="39:41" x14ac:dyDescent="0.1">
      <c r="AM1819" s="23"/>
      <c r="AN1819" s="23">
        <v>53659</v>
      </c>
      <c r="AO1819" s="4" t="s">
        <v>379</v>
      </c>
    </row>
    <row r="1820" spans="39:41" x14ac:dyDescent="0.1">
      <c r="AM1820" s="23"/>
      <c r="AN1820" s="23">
        <v>53688</v>
      </c>
      <c r="AO1820" s="4" t="s">
        <v>113</v>
      </c>
    </row>
    <row r="1821" spans="39:41" x14ac:dyDescent="0.1">
      <c r="AM1821" s="23"/>
      <c r="AN1821" s="23">
        <v>53718</v>
      </c>
      <c r="AO1821" s="4" t="s">
        <v>100</v>
      </c>
    </row>
    <row r="1822" spans="39:41" x14ac:dyDescent="0.1">
      <c r="AM1822" s="23"/>
      <c r="AN1822" s="23">
        <v>53748</v>
      </c>
      <c r="AO1822" s="4" t="s">
        <v>104</v>
      </c>
    </row>
    <row r="1823" spans="39:41" x14ac:dyDescent="0.1">
      <c r="AM1823" s="23"/>
      <c r="AN1823" s="23">
        <v>53777</v>
      </c>
      <c r="AO1823" s="4" t="s">
        <v>105</v>
      </c>
    </row>
    <row r="1824" spans="39:41" x14ac:dyDescent="0.1">
      <c r="AM1824" s="23"/>
      <c r="AN1824" s="23">
        <v>53807</v>
      </c>
      <c r="AO1824" s="4" t="s">
        <v>106</v>
      </c>
    </row>
    <row r="1825" spans="39:41" x14ac:dyDescent="0.1">
      <c r="AM1825" s="23"/>
      <c r="AN1825" s="23">
        <v>53837</v>
      </c>
      <c r="AO1825" s="4" t="s">
        <v>107</v>
      </c>
    </row>
    <row r="1826" spans="39:41" x14ac:dyDescent="0.1">
      <c r="AM1826" s="23"/>
      <c r="AN1826" s="23">
        <v>53866</v>
      </c>
      <c r="AO1826" s="4" t="s">
        <v>142</v>
      </c>
    </row>
    <row r="1827" spans="39:41" x14ac:dyDescent="0.1">
      <c r="AM1827" s="23"/>
      <c r="AN1827" s="23">
        <v>53896</v>
      </c>
      <c r="AO1827" s="4" t="s">
        <v>108</v>
      </c>
    </row>
    <row r="1828" spans="39:41" x14ac:dyDescent="0.1">
      <c r="AM1828" s="23"/>
      <c r="AN1828" s="23">
        <v>53925</v>
      </c>
      <c r="AO1828" s="4" t="s">
        <v>109</v>
      </c>
    </row>
    <row r="1829" spans="39:41" x14ac:dyDescent="0.1">
      <c r="AM1829" s="23"/>
      <c r="AN1829" s="23">
        <v>53955</v>
      </c>
      <c r="AO1829" s="4" t="s">
        <v>110</v>
      </c>
    </row>
    <row r="1830" spans="39:41" x14ac:dyDescent="0.1">
      <c r="AM1830" s="23"/>
      <c r="AN1830" s="23">
        <v>53984</v>
      </c>
      <c r="AO1830" s="4" t="s">
        <v>111</v>
      </c>
    </row>
    <row r="1831" spans="39:41" x14ac:dyDescent="0.1">
      <c r="AM1831" s="23"/>
      <c r="AN1831" s="23">
        <v>54013</v>
      </c>
      <c r="AO1831" s="4" t="s">
        <v>112</v>
      </c>
    </row>
    <row r="1832" spans="39:41" x14ac:dyDescent="0.1">
      <c r="AM1832" s="23"/>
      <c r="AN1832" s="23">
        <v>54043</v>
      </c>
      <c r="AO1832" s="4" t="s">
        <v>379</v>
      </c>
    </row>
    <row r="1833" spans="39:41" x14ac:dyDescent="0.1">
      <c r="AM1833" s="23"/>
      <c r="AN1833" s="23">
        <v>54072</v>
      </c>
      <c r="AO1833" s="4" t="s">
        <v>113</v>
      </c>
    </row>
    <row r="1834" spans="39:41" x14ac:dyDescent="0.1">
      <c r="AM1834" s="23"/>
      <c r="AN1834" s="23">
        <v>54102</v>
      </c>
      <c r="AO1834" s="4" t="s">
        <v>100</v>
      </c>
    </row>
    <row r="1835" spans="39:41" x14ac:dyDescent="0.1">
      <c r="AM1835" s="23"/>
      <c r="AN1835" s="23">
        <v>54131</v>
      </c>
      <c r="AO1835" s="4" t="s">
        <v>104</v>
      </c>
    </row>
    <row r="1836" spans="39:41" x14ac:dyDescent="0.1">
      <c r="AM1836" s="23"/>
      <c r="AN1836" s="23">
        <v>54161</v>
      </c>
      <c r="AO1836" s="4" t="s">
        <v>105</v>
      </c>
    </row>
    <row r="1837" spans="39:41" x14ac:dyDescent="0.1">
      <c r="AM1837" s="23"/>
      <c r="AN1837" s="23">
        <v>54191</v>
      </c>
      <c r="AO1837" s="4" t="s">
        <v>106</v>
      </c>
    </row>
    <row r="1838" spans="39:41" x14ac:dyDescent="0.1">
      <c r="AM1838" s="23"/>
      <c r="AN1838" s="23">
        <v>54220</v>
      </c>
      <c r="AO1838" s="4" t="s">
        <v>107</v>
      </c>
    </row>
    <row r="1839" spans="39:41" x14ac:dyDescent="0.1">
      <c r="AM1839" s="23"/>
      <c r="AN1839" s="23">
        <v>54250</v>
      </c>
      <c r="AO1839" s="4" t="s">
        <v>108</v>
      </c>
    </row>
    <row r="1840" spans="39:41" x14ac:dyDescent="0.1">
      <c r="AM1840" s="23"/>
      <c r="AN1840" s="23">
        <v>54280</v>
      </c>
      <c r="AO1840" s="4" t="s">
        <v>109</v>
      </c>
    </row>
    <row r="1841" spans="39:41" x14ac:dyDescent="0.1">
      <c r="AM1841" s="23"/>
      <c r="AN1841" s="23">
        <v>54309</v>
      </c>
      <c r="AO1841" s="4" t="s">
        <v>110</v>
      </c>
    </row>
    <row r="1842" spans="39:41" x14ac:dyDescent="0.1">
      <c r="AM1842" s="23"/>
      <c r="AN1842" s="23">
        <v>54339</v>
      </c>
      <c r="AO1842" s="4" t="s">
        <v>111</v>
      </c>
    </row>
    <row r="1843" spans="39:41" x14ac:dyDescent="0.1">
      <c r="AM1843" s="23"/>
      <c r="AN1843" s="23">
        <v>54368</v>
      </c>
      <c r="AO1843" s="4" t="s">
        <v>112</v>
      </c>
    </row>
    <row r="1844" spans="39:41" x14ac:dyDescent="0.1">
      <c r="AM1844" s="23"/>
      <c r="AN1844" s="23">
        <v>54397</v>
      </c>
      <c r="AO1844" s="4" t="s">
        <v>379</v>
      </c>
    </row>
    <row r="1845" spans="39:41" x14ac:dyDescent="0.1">
      <c r="AM1845" s="23"/>
      <c r="AN1845" s="23">
        <v>54427</v>
      </c>
      <c r="AO1845" s="4" t="s">
        <v>113</v>
      </c>
    </row>
    <row r="1846" spans="39:41" x14ac:dyDescent="0.1">
      <c r="AM1846" s="23"/>
      <c r="AN1846" s="23">
        <v>54456</v>
      </c>
      <c r="AO1846" s="4" t="s">
        <v>100</v>
      </c>
    </row>
    <row r="1847" spans="39:41" x14ac:dyDescent="0.1">
      <c r="AM1847" s="23"/>
      <c r="AN1847" s="23">
        <v>54486</v>
      </c>
      <c r="AO1847" s="4" t="s">
        <v>104</v>
      </c>
    </row>
    <row r="1848" spans="39:41" x14ac:dyDescent="0.1">
      <c r="AM1848" s="23"/>
      <c r="AN1848" s="23">
        <v>54515</v>
      </c>
      <c r="AO1848" s="4" t="s">
        <v>105</v>
      </c>
    </row>
    <row r="1849" spans="39:41" x14ac:dyDescent="0.1">
      <c r="AM1849" s="23"/>
      <c r="AN1849" s="23">
        <v>54545</v>
      </c>
      <c r="AO1849" s="4" t="s">
        <v>106</v>
      </c>
    </row>
    <row r="1850" spans="39:41" x14ac:dyDescent="0.1">
      <c r="AM1850" s="23"/>
      <c r="AN1850" s="23">
        <v>54574</v>
      </c>
      <c r="AO1850" s="4" t="s">
        <v>107</v>
      </c>
    </row>
    <row r="1851" spans="39:41" x14ac:dyDescent="0.1">
      <c r="AM1851" s="23"/>
      <c r="AN1851" s="23">
        <v>54604</v>
      </c>
      <c r="AO1851" s="4" t="s">
        <v>108</v>
      </c>
    </row>
    <row r="1852" spans="39:41" x14ac:dyDescent="0.1">
      <c r="AM1852" s="23"/>
      <c r="AN1852" s="23">
        <v>54634</v>
      </c>
      <c r="AO1852" s="4" t="s">
        <v>109</v>
      </c>
    </row>
    <row r="1853" spans="39:41" x14ac:dyDescent="0.1">
      <c r="AM1853" s="23"/>
      <c r="AN1853" s="23">
        <v>54663</v>
      </c>
      <c r="AO1853" s="4" t="s">
        <v>110</v>
      </c>
    </row>
    <row r="1854" spans="39:41" x14ac:dyDescent="0.1">
      <c r="AM1854" s="23"/>
      <c r="AN1854" s="23">
        <v>54693</v>
      </c>
      <c r="AO1854" s="4" t="s">
        <v>111</v>
      </c>
    </row>
    <row r="1855" spans="39:41" x14ac:dyDescent="0.1">
      <c r="AM1855" s="23"/>
      <c r="AN1855" s="23">
        <v>54723</v>
      </c>
      <c r="AO1855" s="4" t="s">
        <v>112</v>
      </c>
    </row>
    <row r="1856" spans="39:41" x14ac:dyDescent="0.1">
      <c r="AM1856" s="23"/>
      <c r="AN1856" s="23">
        <v>54752</v>
      </c>
      <c r="AO1856" s="4" t="s">
        <v>379</v>
      </c>
    </row>
    <row r="1857" spans="39:41" x14ac:dyDescent="0.1">
      <c r="AM1857" s="23"/>
      <c r="AN1857" s="23">
        <v>54782</v>
      </c>
      <c r="AO1857" s="4" t="s">
        <v>113</v>
      </c>
    </row>
    <row r="1858" spans="39:41" x14ac:dyDescent="0.1">
      <c r="AM1858" s="23"/>
      <c r="AN1858" s="23">
        <v>54811</v>
      </c>
      <c r="AO1858" s="4" t="s">
        <v>100</v>
      </c>
    </row>
    <row r="1859" spans="39:41" x14ac:dyDescent="0.1">
      <c r="AM1859" s="23"/>
      <c r="AN1859" s="23">
        <v>54840</v>
      </c>
      <c r="AO1859" s="4" t="s">
        <v>104</v>
      </c>
    </row>
    <row r="1860" spans="39:41" x14ac:dyDescent="0.1">
      <c r="AM1860" s="23"/>
      <c r="AN1860" s="23">
        <v>54870</v>
      </c>
      <c r="AO1860" s="4" t="s">
        <v>105</v>
      </c>
    </row>
    <row r="1861" spans="39:41" x14ac:dyDescent="0.1">
      <c r="AM1861" s="23"/>
      <c r="AN1861" s="23">
        <v>54899</v>
      </c>
      <c r="AO1861" s="4" t="s">
        <v>147</v>
      </c>
    </row>
    <row r="1862" spans="39:41" x14ac:dyDescent="0.1">
      <c r="AM1862" s="23"/>
      <c r="AN1862" s="23">
        <v>54929</v>
      </c>
      <c r="AO1862" s="4" t="s">
        <v>106</v>
      </c>
    </row>
    <row r="1863" spans="39:41" x14ac:dyDescent="0.1">
      <c r="AM1863" s="23"/>
      <c r="AN1863" s="23">
        <v>54958</v>
      </c>
      <c r="AO1863" s="4" t="s">
        <v>107</v>
      </c>
    </row>
    <row r="1864" spans="39:41" x14ac:dyDescent="0.1">
      <c r="AM1864" s="23"/>
      <c r="AN1864" s="23">
        <v>54988</v>
      </c>
      <c r="AO1864" s="4" t="s">
        <v>108</v>
      </c>
    </row>
    <row r="1865" spans="39:41" x14ac:dyDescent="0.1">
      <c r="AM1865" s="23"/>
      <c r="AN1865" s="23">
        <v>55017</v>
      </c>
      <c r="AO1865" s="4" t="s">
        <v>109</v>
      </c>
    </row>
    <row r="1866" spans="39:41" x14ac:dyDescent="0.1">
      <c r="AM1866" s="23"/>
      <c r="AN1866" s="23">
        <v>55047</v>
      </c>
      <c r="AO1866" s="4" t="s">
        <v>110</v>
      </c>
    </row>
    <row r="1867" spans="39:41" x14ac:dyDescent="0.1">
      <c r="AM1867" s="23"/>
      <c r="AN1867" s="23">
        <v>55077</v>
      </c>
      <c r="AO1867" s="4" t="s">
        <v>111</v>
      </c>
    </row>
    <row r="1868" spans="39:41" x14ac:dyDescent="0.1">
      <c r="AM1868" s="23"/>
      <c r="AN1868" s="23">
        <v>55106</v>
      </c>
      <c r="AO1868" s="4" t="s">
        <v>112</v>
      </c>
    </row>
    <row r="1869" spans="39:41" x14ac:dyDescent="0.1">
      <c r="AM1869" s="23"/>
      <c r="AN1869" s="23">
        <v>55136</v>
      </c>
      <c r="AO1869" s="4" t="s">
        <v>379</v>
      </c>
    </row>
    <row r="1870" spans="39:41" x14ac:dyDescent="0.1">
      <c r="AM1870" s="23"/>
      <c r="AN1870" s="23">
        <v>55166</v>
      </c>
      <c r="AO1870" s="4" t="s">
        <v>113</v>
      </c>
    </row>
    <row r="1871" spans="39:41" x14ac:dyDescent="0.1">
      <c r="AM1871" s="23"/>
      <c r="AN1871" s="23">
        <v>55195</v>
      </c>
      <c r="AO1871" s="4" t="s">
        <v>100</v>
      </c>
    </row>
    <row r="1872" spans="39:41" x14ac:dyDescent="0.1">
      <c r="AM1872" s="23"/>
      <c r="AN1872" s="23">
        <v>55225</v>
      </c>
      <c r="AO1872" s="4" t="s">
        <v>104</v>
      </c>
    </row>
    <row r="1873" spans="39:41" x14ac:dyDescent="0.1">
      <c r="AM1873" s="23"/>
      <c r="AN1873" s="23">
        <v>55254</v>
      </c>
      <c r="AO1873" s="4" t="s">
        <v>105</v>
      </c>
    </row>
    <row r="1874" spans="39:41" x14ac:dyDescent="0.1">
      <c r="AM1874" s="23"/>
      <c r="AN1874" s="17"/>
      <c r="AO1874" s="4"/>
    </row>
    <row r="1875" spans="39:41" x14ac:dyDescent="0.1">
      <c r="AM1875" s="23"/>
      <c r="AN1875" s="17"/>
      <c r="AO1875" s="4"/>
    </row>
    <row r="1876" spans="39:41" x14ac:dyDescent="0.1">
      <c r="AM1876" s="23"/>
      <c r="AN1876" s="17"/>
      <c r="AO1876" s="4"/>
    </row>
    <row r="1877" spans="39:41" x14ac:dyDescent="0.1">
      <c r="AM1877" s="23"/>
      <c r="AN1877" s="17"/>
      <c r="AO1877" s="4"/>
    </row>
    <row r="1878" spans="39:41" x14ac:dyDescent="0.1">
      <c r="AM1878" s="23"/>
      <c r="AN1878" s="17"/>
      <c r="AO1878" s="4"/>
    </row>
    <row r="1879" spans="39:41" x14ac:dyDescent="0.1">
      <c r="AM1879" s="23"/>
      <c r="AN1879" s="17"/>
      <c r="AO1879" s="4"/>
    </row>
    <row r="1880" spans="39:41" x14ac:dyDescent="0.1">
      <c r="AM1880" s="23"/>
      <c r="AN1880" s="17"/>
      <c r="AO1880" s="4"/>
    </row>
    <row r="1881" spans="39:41" x14ac:dyDescent="0.1">
      <c r="AM1881" s="23"/>
      <c r="AN1881" s="17"/>
      <c r="AO1881" s="4"/>
    </row>
    <row r="1882" spans="39:41" x14ac:dyDescent="0.1">
      <c r="AM1882" s="23"/>
      <c r="AN1882" s="17"/>
      <c r="AO1882" s="4"/>
    </row>
    <row r="1883" spans="39:41" x14ac:dyDescent="0.1">
      <c r="AM1883" s="23"/>
      <c r="AN1883" s="17"/>
      <c r="AO1883" s="4"/>
    </row>
    <row r="1884" spans="39:41" x14ac:dyDescent="0.1">
      <c r="AM1884" s="23"/>
      <c r="AN1884" s="17"/>
      <c r="AO1884" s="4"/>
    </row>
    <row r="1885" spans="39:41" x14ac:dyDescent="0.1">
      <c r="AM1885" s="23"/>
      <c r="AN1885" s="17"/>
      <c r="AO1885" s="4"/>
    </row>
    <row r="1886" spans="39:41" x14ac:dyDescent="0.1">
      <c r="AM1886" s="23"/>
      <c r="AN1886" s="17"/>
      <c r="AO1886" s="4"/>
    </row>
    <row r="1887" spans="39:41" x14ac:dyDescent="0.1">
      <c r="AM1887" s="23"/>
      <c r="AN1887" s="17"/>
      <c r="AO1887" s="4"/>
    </row>
    <row r="1888" spans="39:41" x14ac:dyDescent="0.1">
      <c r="AM1888" s="23"/>
      <c r="AN1888" s="17"/>
      <c r="AO1888" s="4"/>
    </row>
    <row r="1889" spans="39:41" x14ac:dyDescent="0.1">
      <c r="AM1889" s="23"/>
      <c r="AN1889" s="17"/>
      <c r="AO1889" s="4"/>
    </row>
    <row r="1890" spans="39:41" x14ac:dyDescent="0.1">
      <c r="AM1890" s="23"/>
      <c r="AN1890" s="17"/>
      <c r="AO1890" s="4"/>
    </row>
    <row r="1891" spans="39:41" x14ac:dyDescent="0.1">
      <c r="AM1891" s="23"/>
      <c r="AN1891" s="17"/>
      <c r="AO1891" s="4"/>
    </row>
    <row r="1892" spans="39:41" x14ac:dyDescent="0.1">
      <c r="AM1892" s="23"/>
      <c r="AN1892" s="17"/>
      <c r="AO1892" s="4"/>
    </row>
    <row r="1893" spans="39:41" x14ac:dyDescent="0.1">
      <c r="AM1893" s="23"/>
      <c r="AN1893" s="17"/>
      <c r="AO1893" s="4"/>
    </row>
    <row r="1894" spans="39:41" x14ac:dyDescent="0.1">
      <c r="AM1894" s="23"/>
      <c r="AN1894" s="17"/>
      <c r="AO1894" s="4"/>
    </row>
    <row r="1895" spans="39:41" x14ac:dyDescent="0.1">
      <c r="AM1895" s="23"/>
      <c r="AN1895" s="17"/>
      <c r="AO1895" s="4"/>
    </row>
    <row r="1896" spans="39:41" x14ac:dyDescent="0.1">
      <c r="AM1896" s="23"/>
      <c r="AN1896" s="17"/>
      <c r="AO1896" s="4"/>
    </row>
    <row r="1897" spans="39:41" x14ac:dyDescent="0.1">
      <c r="AM1897" s="23"/>
      <c r="AN1897" s="17"/>
      <c r="AO1897" s="4"/>
    </row>
    <row r="1898" spans="39:41" x14ac:dyDescent="0.1">
      <c r="AM1898" s="23"/>
      <c r="AN1898" s="17"/>
      <c r="AO1898" s="4"/>
    </row>
    <row r="1899" spans="39:41" x14ac:dyDescent="0.1">
      <c r="AM1899" s="23"/>
      <c r="AN1899" s="17"/>
      <c r="AO1899" s="4"/>
    </row>
    <row r="1900" spans="39:41" x14ac:dyDescent="0.1">
      <c r="AM1900" s="23"/>
      <c r="AN1900" s="17"/>
      <c r="AO1900" s="4"/>
    </row>
    <row r="1901" spans="39:41" x14ac:dyDescent="0.1">
      <c r="AM1901" s="23"/>
      <c r="AN1901" s="17"/>
      <c r="AO1901" s="4"/>
    </row>
    <row r="1902" spans="39:41" x14ac:dyDescent="0.1">
      <c r="AN1902" s="17"/>
      <c r="AO1902" s="4"/>
    </row>
    <row r="1903" spans="39:41" x14ac:dyDescent="0.1">
      <c r="AN1903" s="17"/>
      <c r="AO1903" s="4"/>
    </row>
    <row r="1904" spans="39:41" x14ac:dyDescent="0.1">
      <c r="AN1904" s="17"/>
      <c r="AO1904" s="4"/>
    </row>
    <row r="1905" spans="40:41" x14ac:dyDescent="0.1">
      <c r="AN1905" s="17"/>
      <c r="AO1905" s="4"/>
    </row>
    <row r="1906" spans="40:41" x14ac:dyDescent="0.1">
      <c r="AN1906" s="17"/>
      <c r="AO1906" s="4"/>
    </row>
    <row r="1907" spans="40:41" x14ac:dyDescent="0.1">
      <c r="AN1907" s="17"/>
      <c r="AO1907" s="4"/>
    </row>
    <row r="1908" spans="40:41" x14ac:dyDescent="0.1">
      <c r="AN1908" s="17"/>
      <c r="AO1908" s="4"/>
    </row>
    <row r="1909" spans="40:41" x14ac:dyDescent="0.1">
      <c r="AN1909" s="17"/>
      <c r="AO1909" s="4"/>
    </row>
    <row r="1910" spans="40:41" x14ac:dyDescent="0.1">
      <c r="AN1910" s="17"/>
      <c r="AO1910" s="4"/>
    </row>
    <row r="1911" spans="40:41" x14ac:dyDescent="0.1">
      <c r="AN1911" s="17"/>
      <c r="AO1911" s="4"/>
    </row>
    <row r="1912" spans="40:41" x14ac:dyDescent="0.1">
      <c r="AN1912" s="17"/>
      <c r="AO1912" s="4"/>
    </row>
    <row r="1913" spans="40:41" x14ac:dyDescent="0.1">
      <c r="AN1913" s="17"/>
      <c r="AO1913" s="4"/>
    </row>
    <row r="1914" spans="40:41" x14ac:dyDescent="0.1">
      <c r="AN1914" s="17"/>
      <c r="AO1914" s="4"/>
    </row>
    <row r="1915" spans="40:41" x14ac:dyDescent="0.1">
      <c r="AN1915" s="17"/>
      <c r="AO1915" s="4"/>
    </row>
    <row r="1916" spans="40:41" x14ac:dyDescent="0.1">
      <c r="AN1916" s="17"/>
      <c r="AO1916" s="4"/>
    </row>
    <row r="1917" spans="40:41" x14ac:dyDescent="0.1">
      <c r="AN1917" s="17"/>
      <c r="AO1917" s="4"/>
    </row>
    <row r="1918" spans="40:41" x14ac:dyDescent="0.1">
      <c r="AN1918" s="17"/>
      <c r="AO1918" s="4"/>
    </row>
    <row r="1919" spans="40:41" x14ac:dyDescent="0.1">
      <c r="AN1919" s="17"/>
      <c r="AO1919" s="4"/>
    </row>
    <row r="1920" spans="40:41" x14ac:dyDescent="0.1">
      <c r="AN1920" s="17"/>
      <c r="AO1920" s="4"/>
    </row>
    <row r="1921" spans="40:41" x14ac:dyDescent="0.1">
      <c r="AN1921" s="17"/>
      <c r="AO1921" s="4"/>
    </row>
    <row r="1922" spans="40:41" x14ac:dyDescent="0.1">
      <c r="AN1922" s="17"/>
      <c r="AO1922" s="4"/>
    </row>
    <row r="1923" spans="40:41" x14ac:dyDescent="0.1">
      <c r="AN1923" s="17"/>
      <c r="AO1923" s="4"/>
    </row>
    <row r="1924" spans="40:41" x14ac:dyDescent="0.1">
      <c r="AN1924" s="17"/>
      <c r="AO1924" s="4"/>
    </row>
    <row r="1925" spans="40:41" x14ac:dyDescent="0.1">
      <c r="AN1925" s="17"/>
      <c r="AO1925" s="4"/>
    </row>
    <row r="1926" spans="40:41" x14ac:dyDescent="0.1">
      <c r="AN1926" s="17"/>
      <c r="AO1926" s="4"/>
    </row>
    <row r="1927" spans="40:41" x14ac:dyDescent="0.1">
      <c r="AN1927" s="17"/>
      <c r="AO1927" s="4"/>
    </row>
    <row r="1928" spans="40:41" x14ac:dyDescent="0.1">
      <c r="AN1928" s="17"/>
      <c r="AO1928" s="4"/>
    </row>
    <row r="1929" spans="40:41" x14ac:dyDescent="0.1">
      <c r="AN1929" s="17"/>
      <c r="AO1929" s="4"/>
    </row>
    <row r="1930" spans="40:41" x14ac:dyDescent="0.1">
      <c r="AN1930" s="17"/>
      <c r="AO1930" s="4"/>
    </row>
    <row r="1931" spans="40:41" x14ac:dyDescent="0.1">
      <c r="AN1931" s="17"/>
      <c r="AO1931" s="4"/>
    </row>
    <row r="1932" spans="40:41" x14ac:dyDescent="0.1">
      <c r="AN1932" s="17"/>
      <c r="AO1932" s="4"/>
    </row>
    <row r="1933" spans="40:41" x14ac:dyDescent="0.1">
      <c r="AN1933" s="17"/>
      <c r="AO1933" s="4"/>
    </row>
    <row r="1934" spans="40:41" x14ac:dyDescent="0.1">
      <c r="AN1934" s="17"/>
      <c r="AO1934" s="4"/>
    </row>
    <row r="1935" spans="40:41" x14ac:dyDescent="0.1">
      <c r="AN1935" s="17"/>
      <c r="AO1935" s="4"/>
    </row>
    <row r="1936" spans="40:41" x14ac:dyDescent="0.1">
      <c r="AN1936" s="17"/>
      <c r="AO1936" s="4"/>
    </row>
    <row r="1937" spans="40:41" x14ac:dyDescent="0.1">
      <c r="AN1937" s="17"/>
      <c r="AO1937" s="4"/>
    </row>
    <row r="1938" spans="40:41" x14ac:dyDescent="0.1">
      <c r="AN1938" s="17"/>
      <c r="AO1938" s="4"/>
    </row>
    <row r="1939" spans="40:41" x14ac:dyDescent="0.1">
      <c r="AN1939" s="17"/>
      <c r="AO1939" s="4"/>
    </row>
    <row r="1940" spans="40:41" x14ac:dyDescent="0.1">
      <c r="AN1940" s="17"/>
      <c r="AO1940" s="4"/>
    </row>
    <row r="1941" spans="40:41" x14ac:dyDescent="0.1">
      <c r="AN1941" s="17"/>
      <c r="AO1941" s="4"/>
    </row>
    <row r="1942" spans="40:41" x14ac:dyDescent="0.1">
      <c r="AN1942" s="17"/>
      <c r="AO1942" s="4"/>
    </row>
    <row r="1943" spans="40:41" x14ac:dyDescent="0.1">
      <c r="AN1943" s="17"/>
      <c r="AO1943" s="4"/>
    </row>
    <row r="1944" spans="40:41" x14ac:dyDescent="0.1">
      <c r="AN1944" s="17"/>
      <c r="AO1944" s="4"/>
    </row>
    <row r="1945" spans="40:41" x14ac:dyDescent="0.1">
      <c r="AN1945" s="17"/>
      <c r="AO1945" s="4"/>
    </row>
    <row r="1946" spans="40:41" x14ac:dyDescent="0.1">
      <c r="AN1946" s="17"/>
      <c r="AO1946" s="4"/>
    </row>
    <row r="1947" spans="40:41" x14ac:dyDescent="0.1">
      <c r="AN1947" s="17"/>
      <c r="AO1947" s="4"/>
    </row>
    <row r="1948" spans="40:41" x14ac:dyDescent="0.1">
      <c r="AN1948" s="17"/>
      <c r="AO1948" s="4"/>
    </row>
    <row r="1949" spans="40:41" x14ac:dyDescent="0.1">
      <c r="AN1949" s="17"/>
      <c r="AO1949" s="4"/>
    </row>
    <row r="1950" spans="40:41" x14ac:dyDescent="0.1">
      <c r="AN1950" s="17"/>
      <c r="AO1950" s="4"/>
    </row>
    <row r="1951" spans="40:41" x14ac:dyDescent="0.1">
      <c r="AN1951" s="17"/>
      <c r="AO1951" s="4"/>
    </row>
    <row r="1952" spans="40:41" x14ac:dyDescent="0.1">
      <c r="AN1952" s="17"/>
      <c r="AO1952" s="4"/>
    </row>
    <row r="1953" spans="40:41" x14ac:dyDescent="0.1">
      <c r="AN1953" s="17"/>
      <c r="AO1953" s="4"/>
    </row>
    <row r="1954" spans="40:41" x14ac:dyDescent="0.1">
      <c r="AN1954" s="17"/>
      <c r="AO1954" s="4"/>
    </row>
    <row r="1955" spans="40:41" x14ac:dyDescent="0.1">
      <c r="AN1955" s="17"/>
      <c r="AO1955" s="4"/>
    </row>
    <row r="1956" spans="40:41" x14ac:dyDescent="0.1">
      <c r="AN1956" s="17"/>
      <c r="AO1956" s="4"/>
    </row>
    <row r="1957" spans="40:41" x14ac:dyDescent="0.1">
      <c r="AN1957" s="17"/>
      <c r="AO1957" s="4"/>
    </row>
    <row r="1958" spans="40:41" x14ac:dyDescent="0.1">
      <c r="AN1958" s="17"/>
      <c r="AO1958" s="4"/>
    </row>
    <row r="1959" spans="40:41" x14ac:dyDescent="0.1">
      <c r="AN1959" s="17"/>
      <c r="AO1959" s="4"/>
    </row>
    <row r="1960" spans="40:41" x14ac:dyDescent="0.1">
      <c r="AN1960" s="17"/>
      <c r="AO1960" s="4"/>
    </row>
    <row r="1961" spans="40:41" x14ac:dyDescent="0.1">
      <c r="AN1961" s="17"/>
      <c r="AO1961" s="4"/>
    </row>
    <row r="1962" spans="40:41" x14ac:dyDescent="0.1">
      <c r="AN1962" s="17"/>
      <c r="AO1962" s="4"/>
    </row>
    <row r="1963" spans="40:41" x14ac:dyDescent="0.1">
      <c r="AN1963" s="17"/>
      <c r="AO1963" s="4"/>
    </row>
    <row r="1964" spans="40:41" x14ac:dyDescent="0.1">
      <c r="AN1964" s="17"/>
      <c r="AO1964" s="4"/>
    </row>
    <row r="1965" spans="40:41" x14ac:dyDescent="0.1">
      <c r="AN1965" s="17"/>
      <c r="AO1965" s="4"/>
    </row>
    <row r="1966" spans="40:41" x14ac:dyDescent="0.1">
      <c r="AN1966" s="17"/>
      <c r="AO1966" s="4"/>
    </row>
    <row r="1967" spans="40:41" x14ac:dyDescent="0.1">
      <c r="AN1967" s="17"/>
      <c r="AO1967" s="4"/>
    </row>
    <row r="1968" spans="40:41" x14ac:dyDescent="0.1">
      <c r="AN1968" s="17"/>
      <c r="AO1968" s="4"/>
    </row>
    <row r="1969" spans="40:41" x14ac:dyDescent="0.1">
      <c r="AN1969" s="17"/>
      <c r="AO1969" s="4"/>
    </row>
    <row r="1970" spans="40:41" x14ac:dyDescent="0.1">
      <c r="AN1970" s="17"/>
      <c r="AO1970" s="4"/>
    </row>
    <row r="1971" spans="40:41" x14ac:dyDescent="0.1">
      <c r="AN1971" s="17"/>
      <c r="AO1971" s="4"/>
    </row>
    <row r="1972" spans="40:41" x14ac:dyDescent="0.1">
      <c r="AN1972" s="17"/>
      <c r="AO1972" s="4"/>
    </row>
    <row r="1973" spans="40:41" x14ac:dyDescent="0.1">
      <c r="AN1973" s="17"/>
      <c r="AO1973" s="4"/>
    </row>
    <row r="1974" spans="40:41" x14ac:dyDescent="0.1">
      <c r="AN1974" s="17"/>
      <c r="AO1974" s="4"/>
    </row>
    <row r="1975" spans="40:41" x14ac:dyDescent="0.1">
      <c r="AN1975" s="17"/>
      <c r="AO1975" s="4"/>
    </row>
    <row r="1976" spans="40:41" x14ac:dyDescent="0.1">
      <c r="AN1976" s="17"/>
      <c r="AO1976" s="4"/>
    </row>
    <row r="1977" spans="40:41" x14ac:dyDescent="0.1">
      <c r="AN1977" s="17"/>
      <c r="AO1977" s="4"/>
    </row>
    <row r="1978" spans="40:41" x14ac:dyDescent="0.1">
      <c r="AN1978" s="17"/>
      <c r="AO1978" s="4"/>
    </row>
    <row r="1979" spans="40:41" x14ac:dyDescent="0.1">
      <c r="AN1979" s="17"/>
    </row>
    <row r="1980" spans="40:41" x14ac:dyDescent="0.1">
      <c r="AN1980" s="17"/>
    </row>
    <row r="1981" spans="40:41" x14ac:dyDescent="0.1">
      <c r="AN1981" s="17"/>
    </row>
    <row r="1982" spans="40:41" x14ac:dyDescent="0.1">
      <c r="AN1982" s="17"/>
    </row>
    <row r="1983" spans="40:41" x14ac:dyDescent="0.1">
      <c r="AN1983" s="17"/>
    </row>
    <row r="1984" spans="40:41" x14ac:dyDescent="0.1">
      <c r="AN1984" s="17"/>
    </row>
    <row r="1985" spans="40:40" x14ac:dyDescent="0.1">
      <c r="AN1985" s="17"/>
    </row>
    <row r="1986" spans="40:40" x14ac:dyDescent="0.1">
      <c r="AN1986" s="17"/>
    </row>
    <row r="1987" spans="40:40" x14ac:dyDescent="0.1">
      <c r="AN1987" s="17"/>
    </row>
    <row r="1988" spans="40:40" x14ac:dyDescent="0.1">
      <c r="AN1988" s="17"/>
    </row>
    <row r="1989" spans="40:40" x14ac:dyDescent="0.1">
      <c r="AN1989" s="17"/>
    </row>
    <row r="1990" spans="40:40" x14ac:dyDescent="0.1">
      <c r="AN1990" s="17"/>
    </row>
    <row r="1991" spans="40:40" x14ac:dyDescent="0.1">
      <c r="AN1991" s="17"/>
    </row>
    <row r="1992" spans="40:40" x14ac:dyDescent="0.1">
      <c r="AN1992" s="17"/>
    </row>
    <row r="1993" spans="40:40" x14ac:dyDescent="0.1">
      <c r="AN1993" s="17"/>
    </row>
    <row r="1994" spans="40:40" x14ac:dyDescent="0.1">
      <c r="AN1994" s="17"/>
    </row>
    <row r="1995" spans="40:40" x14ac:dyDescent="0.1">
      <c r="AN1995" s="17"/>
    </row>
    <row r="1996" spans="40:40" x14ac:dyDescent="0.1">
      <c r="AN1996" s="17"/>
    </row>
    <row r="1997" spans="40:40" x14ac:dyDescent="0.1">
      <c r="AN1997" s="17"/>
    </row>
    <row r="1998" spans="40:40" x14ac:dyDescent="0.1">
      <c r="AN1998" s="17"/>
    </row>
    <row r="1999" spans="40:40" x14ac:dyDescent="0.1">
      <c r="AN1999" s="17"/>
    </row>
    <row r="2000" spans="40:40" x14ac:dyDescent="0.1">
      <c r="AN2000" s="17"/>
    </row>
    <row r="2001" spans="40:40" x14ac:dyDescent="0.1">
      <c r="AN2001" s="17"/>
    </row>
    <row r="2002" spans="40:40" x14ac:dyDescent="0.1">
      <c r="AN2002" s="17"/>
    </row>
    <row r="2003" spans="40:40" x14ac:dyDescent="0.1">
      <c r="AN2003" s="17"/>
    </row>
    <row r="2004" spans="40:40" x14ac:dyDescent="0.1">
      <c r="AN2004" s="17"/>
    </row>
    <row r="2005" spans="40:40" x14ac:dyDescent="0.1">
      <c r="AN2005" s="17"/>
    </row>
    <row r="2006" spans="40:40" x14ac:dyDescent="0.1">
      <c r="AN2006" s="17"/>
    </row>
    <row r="2007" spans="40:40" x14ac:dyDescent="0.1">
      <c r="AN2007" s="17"/>
    </row>
    <row r="2008" spans="40:40" x14ac:dyDescent="0.1">
      <c r="AN2008" s="17"/>
    </row>
    <row r="2009" spans="40:40" x14ac:dyDescent="0.1">
      <c r="AN2009" s="17"/>
    </row>
    <row r="2010" spans="40:40" x14ac:dyDescent="0.1">
      <c r="AN2010" s="17"/>
    </row>
    <row r="2011" spans="40:40" x14ac:dyDescent="0.1">
      <c r="AN2011" s="17"/>
    </row>
    <row r="2012" spans="40:40" x14ac:dyDescent="0.1">
      <c r="AN2012" s="17"/>
    </row>
    <row r="2013" spans="40:40" x14ac:dyDescent="0.1">
      <c r="AN2013" s="17"/>
    </row>
    <row r="2014" spans="40:40" x14ac:dyDescent="0.1">
      <c r="AN2014" s="17"/>
    </row>
    <row r="2015" spans="40:40" x14ac:dyDescent="0.1">
      <c r="AN2015" s="17"/>
    </row>
    <row r="2016" spans="40:40" x14ac:dyDescent="0.1">
      <c r="AN2016" s="17"/>
    </row>
    <row r="2017" spans="40:40" x14ac:dyDescent="0.1">
      <c r="AN2017" s="17"/>
    </row>
    <row r="2018" spans="40:40" x14ac:dyDescent="0.1">
      <c r="AN2018" s="17"/>
    </row>
    <row r="2019" spans="40:40" x14ac:dyDescent="0.1">
      <c r="AN2019" s="17"/>
    </row>
    <row r="2020" spans="40:40" x14ac:dyDescent="0.1">
      <c r="AN2020" s="17"/>
    </row>
    <row r="2021" spans="40:40" x14ac:dyDescent="0.1">
      <c r="AN2021" s="17"/>
    </row>
    <row r="2022" spans="40:40" x14ac:dyDescent="0.1">
      <c r="AN2022" s="17"/>
    </row>
    <row r="2023" spans="40:40" x14ac:dyDescent="0.1">
      <c r="AN2023" s="17"/>
    </row>
    <row r="2024" spans="40:40" x14ac:dyDescent="0.1">
      <c r="AN2024" s="17"/>
    </row>
    <row r="2025" spans="40:40" x14ac:dyDescent="0.1">
      <c r="AN2025" s="17"/>
    </row>
    <row r="2026" spans="40:40" x14ac:dyDescent="0.1">
      <c r="AN2026" s="17"/>
    </row>
    <row r="2027" spans="40:40" x14ac:dyDescent="0.1">
      <c r="AN2027" s="17"/>
    </row>
    <row r="2028" spans="40:40" x14ac:dyDescent="0.1">
      <c r="AN2028" s="17"/>
    </row>
    <row r="2029" spans="40:40" x14ac:dyDescent="0.1">
      <c r="AN2029" s="17"/>
    </row>
    <row r="2030" spans="40:40" x14ac:dyDescent="0.1">
      <c r="AN2030" s="17"/>
    </row>
    <row r="2031" spans="40:40" x14ac:dyDescent="0.1">
      <c r="AN2031" s="17"/>
    </row>
    <row r="2032" spans="40:40" x14ac:dyDescent="0.1">
      <c r="AN2032" s="17"/>
    </row>
    <row r="2033" spans="40:40" x14ac:dyDescent="0.1">
      <c r="AN2033" s="17"/>
    </row>
    <row r="2034" spans="40:40" x14ac:dyDescent="0.1">
      <c r="AN2034" s="17"/>
    </row>
    <row r="2035" spans="40:40" x14ac:dyDescent="0.1">
      <c r="AN2035" s="17"/>
    </row>
    <row r="2036" spans="40:40" x14ac:dyDescent="0.1">
      <c r="AN2036" s="17"/>
    </row>
    <row r="2037" spans="40:40" x14ac:dyDescent="0.1">
      <c r="AN2037" s="17"/>
    </row>
    <row r="2038" spans="40:40" x14ac:dyDescent="0.1">
      <c r="AN2038" s="17"/>
    </row>
    <row r="2039" spans="40:40" x14ac:dyDescent="0.1">
      <c r="AN2039" s="17"/>
    </row>
    <row r="2040" spans="40:40" x14ac:dyDescent="0.1">
      <c r="AN2040" s="17"/>
    </row>
    <row r="2041" spans="40:40" x14ac:dyDescent="0.1">
      <c r="AN2041" s="17"/>
    </row>
    <row r="2042" spans="40:40" x14ac:dyDescent="0.1">
      <c r="AN2042" s="17"/>
    </row>
    <row r="2043" spans="40:40" x14ac:dyDescent="0.1">
      <c r="AN2043" s="17"/>
    </row>
    <row r="2044" spans="40:40" x14ac:dyDescent="0.1">
      <c r="AN2044" s="17"/>
    </row>
    <row r="2045" spans="40:40" x14ac:dyDescent="0.1">
      <c r="AN2045" s="17"/>
    </row>
    <row r="2046" spans="40:40" x14ac:dyDescent="0.1">
      <c r="AN2046" s="17"/>
    </row>
    <row r="2047" spans="40:40" x14ac:dyDescent="0.1">
      <c r="AN2047" s="17"/>
    </row>
    <row r="2048" spans="40:40" x14ac:dyDescent="0.1">
      <c r="AN2048" s="17"/>
    </row>
    <row r="2049" spans="40:40" x14ac:dyDescent="0.1">
      <c r="AN2049" s="17"/>
    </row>
    <row r="2050" spans="40:40" x14ac:dyDescent="0.1">
      <c r="AN2050" s="17"/>
    </row>
    <row r="2051" spans="40:40" x14ac:dyDescent="0.1">
      <c r="AN2051" s="17"/>
    </row>
    <row r="2052" spans="40:40" x14ac:dyDescent="0.1">
      <c r="AN2052" s="17"/>
    </row>
    <row r="2053" spans="40:40" x14ac:dyDescent="0.1">
      <c r="AN2053" s="17"/>
    </row>
    <row r="2054" spans="40:40" x14ac:dyDescent="0.1">
      <c r="AN2054" s="17"/>
    </row>
    <row r="2055" spans="40:40" x14ac:dyDescent="0.1">
      <c r="AN2055" s="17"/>
    </row>
  </sheetData>
  <sheetProtection password="DE02" sheet="1" objects="1" scenarios="1" selectLockedCells="1" selectUnlockedCells="1"/>
  <mergeCells count="5">
    <mergeCell ref="AC1:AD1"/>
    <mergeCell ref="B1:C1"/>
    <mergeCell ref="D1:E1"/>
    <mergeCell ref="F1:H1"/>
    <mergeCell ref="I1:K1"/>
  </mergeCells>
  <phoneticPr fontId="1" type="noConversion"/>
  <pageMargins left="0.75" right="0.75" top="1" bottom="1" header="0.5" footer="0.5"/>
  <pageSetup paperSize="9" orientation="portrait" verticalDpi="0"/>
  <headerFooter alignWithMargins="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7030A0"/>
  </sheetPr>
  <dimension ref="A1:CN2055"/>
  <sheetViews>
    <sheetView topLeftCell="CD1" zoomScale="200" workbookViewId="0">
      <selection activeCell="CD1" sqref="CD1"/>
    </sheetView>
  </sheetViews>
  <sheetFormatPr defaultColWidth="9" defaultRowHeight="11.25" x14ac:dyDescent="0.1"/>
  <cols>
    <col min="1" max="1" width="12.125" style="6" hidden="1" customWidth="1"/>
    <col min="2" max="2" width="20.5" style="9" hidden="1" customWidth="1"/>
    <col min="3" max="3" width="12.125" style="9" hidden="1" customWidth="1"/>
    <col min="4" max="4" width="4.5" style="14" hidden="1" customWidth="1"/>
    <col min="5" max="5" width="6" style="6" hidden="1" customWidth="1"/>
    <col min="6" max="6" width="4.5" style="2" hidden="1" customWidth="1"/>
    <col min="7" max="7" width="2.125" style="2" hidden="1" customWidth="1"/>
    <col min="8" max="8" width="5" style="3" hidden="1" customWidth="1"/>
    <col min="9" max="9" width="4.5" style="2" hidden="1" customWidth="1"/>
    <col min="10" max="10" width="4.125" style="2" hidden="1" customWidth="1"/>
    <col min="11" max="11" width="4.875" style="2" hidden="1" customWidth="1"/>
    <col min="12" max="13" width="3" style="2" hidden="1" customWidth="1"/>
    <col min="14" max="14" width="6.625" style="2" hidden="1" customWidth="1"/>
    <col min="15" max="15" width="9.625" style="2" hidden="1" customWidth="1"/>
    <col min="16" max="16" width="9" style="2" hidden="1" customWidth="1"/>
    <col min="17" max="17" width="5.625" style="16" hidden="1" customWidth="1"/>
    <col min="18" max="19" width="5.625" style="7" hidden="1" customWidth="1"/>
    <col min="20" max="22" width="5.625" style="17" hidden="1" customWidth="1"/>
    <col min="23" max="23" width="7.625" style="17" hidden="1" customWidth="1"/>
    <col min="24" max="24" width="5.625" style="17" hidden="1" customWidth="1"/>
    <col min="25" max="25" width="5.875" style="18" hidden="1" customWidth="1"/>
    <col min="26" max="26" width="8.125" style="19" hidden="1" customWidth="1"/>
    <col min="27" max="27" width="13.875" style="20" hidden="1" customWidth="1"/>
    <col min="28" max="28" width="5.625" style="17" hidden="1" customWidth="1"/>
    <col min="29" max="29" width="5.625" style="21" hidden="1" customWidth="1"/>
    <col min="30" max="30" width="5.625" style="7" hidden="1" customWidth="1"/>
    <col min="31" max="31" width="5.625" style="22" hidden="1" customWidth="1"/>
    <col min="32" max="32" width="9.875" style="7" hidden="1" customWidth="1"/>
    <col min="33" max="33" width="9.125" style="7" hidden="1" customWidth="1"/>
    <col min="34" max="35" width="5.625" style="5" hidden="1" customWidth="1"/>
    <col min="36" max="36" width="5.625" style="7" hidden="1" customWidth="1"/>
    <col min="37" max="38" width="5.625" style="2" hidden="1" customWidth="1"/>
    <col min="39" max="39" width="10.125" style="2" hidden="1" customWidth="1"/>
    <col min="40" max="40" width="11.625" style="23" hidden="1" customWidth="1"/>
    <col min="41" max="41" width="7.875" style="1" hidden="1" customWidth="1"/>
    <col min="42" max="42" width="5.125" style="2" hidden="1" customWidth="1"/>
    <col min="43" max="43" width="7.125" style="3" hidden="1" customWidth="1"/>
    <col min="44" max="44" width="8.125" style="3" hidden="1" customWidth="1"/>
    <col min="45" max="45" width="18" style="3" hidden="1" customWidth="1"/>
    <col min="46" max="46" width="8.125" style="2" hidden="1" customWidth="1"/>
    <col min="47" max="47" width="5.625" style="2" hidden="1" customWidth="1"/>
    <col min="48" max="48" width="7.375" style="3" hidden="1" customWidth="1"/>
    <col min="49" max="49" width="8.5" style="3" hidden="1" customWidth="1"/>
    <col min="50" max="50" width="9.125" style="24" hidden="1" customWidth="1"/>
    <col min="51" max="51" width="7.625" style="24" hidden="1" customWidth="1"/>
    <col min="52" max="52" width="6.125" style="24" hidden="1" customWidth="1"/>
    <col min="53" max="53" width="4.125" style="24" hidden="1" customWidth="1"/>
    <col min="54" max="75" width="5.625" style="3" hidden="1" customWidth="1"/>
    <col min="76" max="81" width="5.625" style="2" hidden="1" customWidth="1"/>
    <col min="82" max="92" width="5.625" style="2" customWidth="1"/>
    <col min="93" max="16384" width="9" style="169"/>
  </cols>
  <sheetData>
    <row r="1" spans="1:92" s="157" customFormat="1" ht="14.25" customHeight="1" x14ac:dyDescent="0.1">
      <c r="A1" s="12" t="s">
        <v>385</v>
      </c>
      <c r="B1" s="471" t="s">
        <v>548</v>
      </c>
      <c r="C1" s="471"/>
      <c r="D1" s="472" t="s">
        <v>382</v>
      </c>
      <c r="E1" s="473"/>
      <c r="F1" s="474" t="s">
        <v>383</v>
      </c>
      <c r="G1" s="474"/>
      <c r="H1" s="473"/>
      <c r="I1" s="472" t="s">
        <v>384</v>
      </c>
      <c r="J1" s="474"/>
      <c r="K1" s="473"/>
      <c r="L1" s="36"/>
      <c r="M1" s="36"/>
      <c r="N1" s="12" t="s">
        <v>549</v>
      </c>
      <c r="O1" s="49" t="s">
        <v>114</v>
      </c>
      <c r="P1" s="27" t="s">
        <v>387</v>
      </c>
      <c r="Q1" s="27" t="s">
        <v>388</v>
      </c>
      <c r="R1" s="10" t="s">
        <v>389</v>
      </c>
      <c r="S1" s="10" t="s">
        <v>390</v>
      </c>
      <c r="T1" s="28" t="s">
        <v>386</v>
      </c>
      <c r="U1" s="28" t="s">
        <v>0</v>
      </c>
      <c r="V1" s="28" t="s">
        <v>1</v>
      </c>
      <c r="W1" s="28" t="s">
        <v>103</v>
      </c>
      <c r="X1" s="28" t="s">
        <v>391</v>
      </c>
      <c r="Y1" s="29" t="s">
        <v>392</v>
      </c>
      <c r="Z1" s="30" t="s">
        <v>392</v>
      </c>
      <c r="AA1" s="29" t="s">
        <v>393</v>
      </c>
      <c r="AB1" s="28" t="s">
        <v>394</v>
      </c>
      <c r="AC1" s="470" t="s">
        <v>395</v>
      </c>
      <c r="AD1" s="470"/>
      <c r="AE1" s="31" t="s">
        <v>396</v>
      </c>
      <c r="AF1" s="10" t="s">
        <v>397</v>
      </c>
      <c r="AG1" s="10"/>
      <c r="AH1" s="10" t="s">
        <v>398</v>
      </c>
      <c r="AI1" s="10" t="s">
        <v>399</v>
      </c>
      <c r="AJ1" s="11" t="s">
        <v>400</v>
      </c>
      <c r="AK1" s="12"/>
      <c r="AL1" s="12" t="s">
        <v>401</v>
      </c>
      <c r="AM1" s="12" t="s">
        <v>402</v>
      </c>
      <c r="AN1" s="32" t="s">
        <v>550</v>
      </c>
      <c r="AO1" s="33" t="s">
        <v>403</v>
      </c>
      <c r="AP1" s="12" t="s">
        <v>404</v>
      </c>
      <c r="AQ1" s="26" t="s">
        <v>405</v>
      </c>
      <c r="AR1" s="153" t="s">
        <v>406</v>
      </c>
      <c r="AS1" s="153" t="s">
        <v>407</v>
      </c>
      <c r="AT1" s="154" t="s">
        <v>151</v>
      </c>
      <c r="AU1" s="155" t="s">
        <v>212</v>
      </c>
      <c r="AV1" s="155" t="s">
        <v>213</v>
      </c>
      <c r="AW1" s="155" t="s">
        <v>214</v>
      </c>
      <c r="AX1" s="156" t="s">
        <v>215</v>
      </c>
      <c r="AY1" s="156" t="s">
        <v>216</v>
      </c>
      <c r="AZ1" s="156" t="s">
        <v>217</v>
      </c>
      <c r="BA1" s="156" t="s">
        <v>218</v>
      </c>
      <c r="BB1" s="26"/>
      <c r="BC1" s="26"/>
      <c r="BD1" s="26"/>
      <c r="BE1" s="26"/>
      <c r="BF1" s="26"/>
      <c r="BG1" s="26"/>
      <c r="BH1" s="26"/>
      <c r="BI1" s="26"/>
      <c r="BJ1" s="26"/>
      <c r="BK1" s="26"/>
      <c r="BL1" s="26"/>
      <c r="BM1" s="26"/>
      <c r="BN1" s="26"/>
      <c r="BO1" s="26"/>
      <c r="BP1" s="26"/>
      <c r="BQ1" s="26"/>
      <c r="BR1" s="26"/>
      <c r="BS1" s="26"/>
      <c r="BT1" s="26"/>
      <c r="BU1" s="26"/>
      <c r="BV1" s="26"/>
      <c r="BW1" s="26"/>
      <c r="BX1" s="12"/>
      <c r="BY1" s="12"/>
      <c r="BZ1" s="12"/>
      <c r="CA1" s="12"/>
      <c r="CB1" s="12"/>
      <c r="CC1" s="12"/>
      <c r="CD1" s="12"/>
      <c r="CE1" s="12"/>
      <c r="CF1" s="12"/>
      <c r="CG1" s="12"/>
      <c r="CH1" s="12"/>
      <c r="CI1" s="12"/>
      <c r="CJ1" s="12"/>
      <c r="CK1" s="12"/>
      <c r="CL1" s="12"/>
      <c r="CM1" s="12"/>
      <c r="CN1" s="12"/>
    </row>
    <row r="2" spans="1:92" x14ac:dyDescent="0.1">
      <c r="A2" s="6" t="s">
        <v>409</v>
      </c>
      <c r="B2" s="14" t="str">
        <f ca="1">OFFSET(天干列,C2,0)</f>
        <v>甲</v>
      </c>
      <c r="C2" s="9">
        <f ca="1">IF((MOD(阴历年-3,10))=0,10,(MOD(阴历年-3,10)))</f>
        <v>1</v>
      </c>
      <c r="D2" s="37" t="str">
        <f ca="1">OFFSET(天干列,E2,0)</f>
        <v>壬</v>
      </c>
      <c r="E2" s="46">
        <f ca="1">IF(MOD(阴历月+E4-1,10)=0,10,MOD(阴历月+E4-1,10))</f>
        <v>9</v>
      </c>
      <c r="F2" s="3" t="str">
        <f ca="1">OFFSET(天干列,G2,0)</f>
        <v>甲</v>
      </c>
      <c r="G2" s="1">
        <f ca="1">IF((MOD(H2,10))=0,10,(MOD(H2,10)))</f>
        <v>1</v>
      </c>
      <c r="H2" s="42">
        <f ca="1">1+INT(在查日期- DATE(1900,1,1))-I3</f>
        <v>45531</v>
      </c>
      <c r="I2" s="37">
        <f ca="1">(G2-5)*2-1</f>
        <v>-9</v>
      </c>
      <c r="J2" s="6" t="str">
        <f ca="1">OFFSET(天干列,K2,0)</f>
        <v>乙</v>
      </c>
      <c r="K2" s="38">
        <f ca="1">IF((MOD(K3+I2-1,10))=0,10,(MOD(K3+I2-1,10)))</f>
        <v>2</v>
      </c>
      <c r="N2" s="2">
        <v>0</v>
      </c>
      <c r="O2" s="50">
        <v>1</v>
      </c>
      <c r="P2" s="2" t="s">
        <v>410</v>
      </c>
      <c r="Q2" s="16">
        <v>1</v>
      </c>
      <c r="R2" s="7">
        <v>31</v>
      </c>
      <c r="S2" s="7">
        <v>0</v>
      </c>
      <c r="T2" s="17" t="s">
        <v>11</v>
      </c>
      <c r="U2" s="17" t="s">
        <v>12</v>
      </c>
      <c r="V2" s="17" t="s">
        <v>13</v>
      </c>
      <c r="W2" s="18">
        <f t="shared" ref="W2:W25" ca="1" si="0">MONTH(AA2)*100+DAY(AA2)</f>
        <v>106</v>
      </c>
      <c r="X2" s="17" t="s">
        <v>36</v>
      </c>
      <c r="Y2" s="18">
        <v>0</v>
      </c>
      <c r="Z2" s="158">
        <v>0</v>
      </c>
      <c r="AA2" s="159">
        <f ca="1">节气初始时刻+节气跨度</f>
        <v>45297.170299999998</v>
      </c>
      <c r="AC2" s="160">
        <v>101</v>
      </c>
      <c r="AD2" s="161" t="s">
        <v>62</v>
      </c>
      <c r="AE2" s="162">
        <v>0</v>
      </c>
      <c r="AF2" s="7">
        <v>100</v>
      </c>
      <c r="AG2" s="7" t="s">
        <v>411</v>
      </c>
      <c r="AH2" s="163" t="s">
        <v>412</v>
      </c>
      <c r="AI2" s="5" t="s">
        <v>413</v>
      </c>
      <c r="AJ2" s="163">
        <v>1900</v>
      </c>
      <c r="AL2" s="2">
        <f ca="1">时</f>
        <v>15</v>
      </c>
      <c r="AM2" s="2" t="str">
        <f ca="1">AM3&amp;AM4&amp;AM5&amp;AM6&amp;AM7&amp;AM8&amp;AM9&amp;AM10</f>
        <v>下午好! 现在是:</v>
      </c>
      <c r="AN2" s="35">
        <v>1</v>
      </c>
      <c r="AO2" s="4" t="s">
        <v>414</v>
      </c>
      <c r="AP2" s="164" t="s">
        <v>115</v>
      </c>
      <c r="AQ2" s="3">
        <v>1</v>
      </c>
      <c r="AR2" s="163">
        <v>25</v>
      </c>
      <c r="AS2" s="165">
        <v>220</v>
      </c>
      <c r="AT2" s="163" t="s">
        <v>152</v>
      </c>
      <c r="AU2" s="166" t="s">
        <v>310</v>
      </c>
      <c r="AV2" s="163"/>
      <c r="AW2" s="163"/>
      <c r="AY2" s="167" t="s">
        <v>153</v>
      </c>
      <c r="AZ2" s="168" t="s">
        <v>154</v>
      </c>
      <c r="BA2" s="168"/>
      <c r="BM2" s="26"/>
      <c r="BN2" s="26"/>
      <c r="BO2" s="26"/>
      <c r="BP2" s="26"/>
      <c r="BQ2" s="26"/>
      <c r="BR2" s="26"/>
      <c r="BS2" s="26"/>
      <c r="BT2" s="26"/>
      <c r="BU2" s="26"/>
      <c r="BV2" s="26"/>
      <c r="BW2" s="26"/>
      <c r="BX2" s="12"/>
      <c r="BY2" s="12"/>
      <c r="BZ2" s="12"/>
      <c r="CA2" s="12"/>
      <c r="CB2" s="12"/>
      <c r="CC2" s="12"/>
      <c r="CD2" s="12"/>
      <c r="CE2" s="12"/>
      <c r="CF2" s="12"/>
      <c r="CG2" s="12"/>
      <c r="CH2" s="12"/>
      <c r="CI2" s="12"/>
      <c r="CJ2" s="12"/>
      <c r="CK2" s="12"/>
      <c r="CL2" s="12"/>
      <c r="CM2" s="12"/>
      <c r="CN2" s="12"/>
    </row>
    <row r="3" spans="1:92" x14ac:dyDescent="0.1">
      <c r="A3" s="6" t="s">
        <v>415</v>
      </c>
      <c r="B3" s="14" t="str">
        <f ca="1">OFFSET(地支列,C3,0)</f>
        <v>辰</v>
      </c>
      <c r="C3" s="9">
        <f ca="1">IF((MOD(阴历年-3,12))=0,12,(MOD(阴历年-3,12)))</f>
        <v>5</v>
      </c>
      <c r="D3" s="37" t="str">
        <f ca="1">OFFSET(地支列,E3,0)</f>
        <v>申</v>
      </c>
      <c r="E3" s="46">
        <f ca="1">IF(MOD(阴历月+2,12)=0,12,MOD(阴历月+2,12))</f>
        <v>9</v>
      </c>
      <c r="F3" s="45" t="str">
        <f ca="1">OFFSET(地支列,G3,0)</f>
        <v>子</v>
      </c>
      <c r="G3" s="43">
        <f ca="1">IF((MOD(H3,12))=0,12,(MOD(H3,12)))</f>
        <v>1</v>
      </c>
      <c r="H3" s="44">
        <f ca="1">11+INT(在查日期- DATE(1900,1,1))-I3</f>
        <v>45541</v>
      </c>
      <c r="I3" s="39">
        <f ca="1">IF(DATE(年份,月份,在查日)&lt;=DATE(1900,2,28),0,系统误差)</f>
        <v>1</v>
      </c>
      <c r="J3" s="2" t="str">
        <f ca="1">OFFSET(地支列,K3,0)</f>
        <v>亥</v>
      </c>
      <c r="K3" s="38">
        <f ca="1">INT((MOD(在查时,23)+1)/2)+1</f>
        <v>12</v>
      </c>
      <c r="N3" s="2">
        <v>1</v>
      </c>
      <c r="O3" s="50">
        <v>2</v>
      </c>
      <c r="P3" s="2" t="s">
        <v>416</v>
      </c>
      <c r="Q3" s="16">
        <v>2</v>
      </c>
      <c r="R3" s="7">
        <f ca="1">IF(闰年否,29,28)</f>
        <v>29</v>
      </c>
      <c r="S3" s="7">
        <f t="shared" ref="S3:S14" si="1">S2+R2</f>
        <v>31</v>
      </c>
      <c r="T3" s="17" t="s">
        <v>14</v>
      </c>
      <c r="U3" s="17" t="s">
        <v>15</v>
      </c>
      <c r="V3" s="17" t="s">
        <v>16</v>
      </c>
      <c r="W3" s="18">
        <f t="shared" ca="1" si="0"/>
        <v>120</v>
      </c>
      <c r="X3" s="17" t="s">
        <v>37</v>
      </c>
      <c r="Y3" s="18">
        <v>21208</v>
      </c>
      <c r="Z3" s="158">
        <v>14.724999999998545</v>
      </c>
      <c r="AA3" s="159">
        <f t="shared" ref="AA3:AA25" ca="1" si="2">AA2+Z3</f>
        <v>45311.895299999996</v>
      </c>
      <c r="AB3" s="17">
        <v>12</v>
      </c>
      <c r="AC3" s="160">
        <v>105</v>
      </c>
      <c r="AD3" s="161" t="s">
        <v>417</v>
      </c>
      <c r="AE3" s="162">
        <v>1985</v>
      </c>
      <c r="AF3" s="7">
        <v>101</v>
      </c>
      <c r="AG3" s="7" t="s">
        <v>69</v>
      </c>
      <c r="AH3" s="163" t="s">
        <v>71</v>
      </c>
      <c r="AI3" s="5" t="s">
        <v>418</v>
      </c>
      <c r="AJ3" s="163">
        <v>1901</v>
      </c>
      <c r="AL3" s="2">
        <v>0</v>
      </c>
      <c r="AM3" s="2" t="str">
        <f ca="1">IF(AND($AL$2&gt;=AL3,$AL$2&lt;AL4),"夜深了, 该睡了! 现在是:","")</f>
        <v/>
      </c>
      <c r="AN3" s="35">
        <v>31</v>
      </c>
      <c r="AO3" s="4" t="s">
        <v>100</v>
      </c>
      <c r="AP3" s="164" t="s">
        <v>138</v>
      </c>
      <c r="AQ3" s="3">
        <v>2</v>
      </c>
      <c r="AR3" s="163">
        <v>220</v>
      </c>
      <c r="AS3" s="165">
        <v>265</v>
      </c>
      <c r="AT3" s="163" t="s">
        <v>419</v>
      </c>
      <c r="AU3" s="166" t="s">
        <v>310</v>
      </c>
      <c r="AV3" s="163"/>
      <c r="AW3" s="163"/>
      <c r="AY3" s="167" t="s">
        <v>155</v>
      </c>
      <c r="AZ3" s="168" t="s">
        <v>154</v>
      </c>
      <c r="BA3" s="168"/>
    </row>
    <row r="4" spans="1:92" x14ac:dyDescent="0.1">
      <c r="A4" s="6" t="s">
        <v>386</v>
      </c>
      <c r="B4" s="14" t="str">
        <f ca="1">OFFSET(生肖列,C3,0)</f>
        <v>龙</v>
      </c>
      <c r="C4" s="25">
        <f ca="1">IF(ISERROR(Ponstellation＿Pic_Arr*1),10,Ponstellation＿Pic_Arr)</f>
        <v>10</v>
      </c>
      <c r="D4" s="47"/>
      <c r="E4" s="48">
        <f ca="1">IF(((MOD(阴历年,5)-2)*2-1)&lt;0,((MOD(阴历年,5)-2)*2-1)+10,((MOD(阴历年,5)-2)*2-1))</f>
        <v>3</v>
      </c>
      <c r="F4" s="163"/>
      <c r="H4" s="2"/>
      <c r="I4" s="40" t="s">
        <v>423</v>
      </c>
      <c r="J4" s="170" t="str">
        <f ca="1">J2&amp;J3</f>
        <v>乙亥</v>
      </c>
      <c r="K4" s="41"/>
      <c r="N4" s="2">
        <v>2</v>
      </c>
      <c r="O4" s="50">
        <v>3</v>
      </c>
      <c r="P4" s="2" t="s">
        <v>420</v>
      </c>
      <c r="Q4" s="16">
        <v>3</v>
      </c>
      <c r="R4" s="7">
        <v>31</v>
      </c>
      <c r="S4" s="7">
        <f t="shared" ca="1" si="1"/>
        <v>60</v>
      </c>
      <c r="T4" s="17" t="s">
        <v>17</v>
      </c>
      <c r="U4" s="17" t="s">
        <v>18</v>
      </c>
      <c r="V4" s="17" t="s">
        <v>19</v>
      </c>
      <c r="W4" s="18">
        <f t="shared" ca="1" si="0"/>
        <v>204</v>
      </c>
      <c r="X4" s="17" t="s">
        <v>38</v>
      </c>
      <c r="Y4" s="18">
        <v>21259</v>
      </c>
      <c r="Z4" s="158">
        <v>14.761111111110949</v>
      </c>
      <c r="AA4" s="159">
        <f t="shared" ca="1" si="2"/>
        <v>45326.656411111107</v>
      </c>
      <c r="AC4" s="160">
        <v>207</v>
      </c>
      <c r="AD4" s="161" t="s">
        <v>421</v>
      </c>
      <c r="AE4" s="162">
        <v>1923</v>
      </c>
      <c r="AF4" s="7">
        <v>115</v>
      </c>
      <c r="AG4" s="7" t="s">
        <v>63</v>
      </c>
      <c r="AH4" s="163" t="s">
        <v>72</v>
      </c>
      <c r="AI4" s="5" t="s">
        <v>422</v>
      </c>
      <c r="AJ4" s="163">
        <v>1902</v>
      </c>
      <c r="AL4" s="2">
        <v>3</v>
      </c>
      <c r="AM4" s="2" t="str">
        <f ca="1">IF(AND($AL$2&gt;=AL4,$AL$2&lt;AL5),"天快亮了! 已经是:","")</f>
        <v/>
      </c>
      <c r="AN4" s="35">
        <v>61</v>
      </c>
      <c r="AO4" s="4" t="s">
        <v>104</v>
      </c>
      <c r="AP4" s="164" t="s">
        <v>116</v>
      </c>
      <c r="AQ4" s="3">
        <v>3</v>
      </c>
      <c r="AR4" s="163">
        <v>221</v>
      </c>
      <c r="AS4" s="165">
        <v>263</v>
      </c>
      <c r="AT4" s="163" t="s">
        <v>156</v>
      </c>
      <c r="AU4" s="166" t="s">
        <v>310</v>
      </c>
      <c r="AV4" s="163"/>
      <c r="AW4" s="163"/>
      <c r="AY4" s="167" t="s">
        <v>157</v>
      </c>
      <c r="AZ4" s="168" t="s">
        <v>158</v>
      </c>
      <c r="BA4" s="168"/>
    </row>
    <row r="5" spans="1:92" x14ac:dyDescent="0.1">
      <c r="N5" s="2">
        <v>3</v>
      </c>
      <c r="O5" s="50">
        <v>4</v>
      </c>
      <c r="P5" s="2" t="s">
        <v>424</v>
      </c>
      <c r="Q5" s="16">
        <v>4</v>
      </c>
      <c r="R5" s="7">
        <v>30</v>
      </c>
      <c r="S5" s="7">
        <f t="shared" ca="1" si="1"/>
        <v>91</v>
      </c>
      <c r="T5" s="17" t="s">
        <v>20</v>
      </c>
      <c r="U5" s="17" t="s">
        <v>21</v>
      </c>
      <c r="V5" s="17" t="s">
        <v>22</v>
      </c>
      <c r="W5" s="18">
        <f t="shared" ca="1" si="0"/>
        <v>219</v>
      </c>
      <c r="X5" s="17" t="s">
        <v>39</v>
      </c>
      <c r="Y5" s="18">
        <v>21369</v>
      </c>
      <c r="Z5" s="158">
        <v>14.829861111109494</v>
      </c>
      <c r="AA5" s="159">
        <f t="shared" ca="1" si="2"/>
        <v>45341.486272222217</v>
      </c>
      <c r="AB5" s="17">
        <v>1</v>
      </c>
      <c r="AC5" s="160">
        <v>214</v>
      </c>
      <c r="AD5" s="161" t="s">
        <v>59</v>
      </c>
      <c r="AE5" s="162">
        <v>300</v>
      </c>
      <c r="AF5" s="7">
        <v>202</v>
      </c>
      <c r="AG5" s="7" t="s">
        <v>425</v>
      </c>
      <c r="AH5" s="163" t="s">
        <v>73</v>
      </c>
      <c r="AI5" s="5" t="s">
        <v>426</v>
      </c>
      <c r="AJ5" s="163">
        <v>1903</v>
      </c>
      <c r="AL5" s="2">
        <v>5</v>
      </c>
      <c r="AM5" s="2" t="str">
        <f ca="1">IF(AND($AL$2&gt;=AL5,$AL$2&lt;AL6),"早上好! 现在是:","")</f>
        <v/>
      </c>
      <c r="AN5" s="35">
        <v>91</v>
      </c>
      <c r="AO5" s="4" t="s">
        <v>105</v>
      </c>
      <c r="AP5" s="164" t="s">
        <v>117</v>
      </c>
      <c r="AQ5" s="3">
        <v>4</v>
      </c>
      <c r="AR5" s="163">
        <v>229</v>
      </c>
      <c r="AS5" s="165">
        <v>280</v>
      </c>
      <c r="AT5" s="163" t="s">
        <v>159</v>
      </c>
      <c r="AU5" s="166" t="s">
        <v>310</v>
      </c>
      <c r="AV5" s="163"/>
      <c r="AW5" s="163"/>
      <c r="AY5" s="167" t="s">
        <v>160</v>
      </c>
      <c r="AZ5" s="168" t="s">
        <v>161</v>
      </c>
      <c r="BA5" s="168"/>
    </row>
    <row r="6" spans="1:92" x14ac:dyDescent="0.1">
      <c r="A6" s="6" t="s">
        <v>136</v>
      </c>
      <c r="B6" s="9" t="b">
        <f ca="1">IF(MOD(年份,400)=0,TRUE,IF(AND(MOD(年份,4)=0,MOD(年份,100)&lt;&gt;0),TRUE,FALSE))</f>
        <v>1</v>
      </c>
      <c r="N6" s="2">
        <v>4</v>
      </c>
      <c r="O6" s="50">
        <v>5</v>
      </c>
      <c r="P6" s="2" t="s">
        <v>427</v>
      </c>
      <c r="Q6" s="16">
        <v>5</v>
      </c>
      <c r="R6" s="7">
        <v>31</v>
      </c>
      <c r="S6" s="7">
        <f t="shared" ca="1" si="1"/>
        <v>121</v>
      </c>
      <c r="T6" s="17" t="s">
        <v>23</v>
      </c>
      <c r="U6" s="17" t="s">
        <v>24</v>
      </c>
      <c r="V6" s="17" t="s">
        <v>25</v>
      </c>
      <c r="W6" s="18">
        <f t="shared" ca="1" si="0"/>
        <v>305</v>
      </c>
      <c r="X6" s="17" t="s">
        <v>40</v>
      </c>
      <c r="Y6" s="18">
        <v>21501</v>
      </c>
      <c r="Z6" s="158">
        <v>14.922222222223354</v>
      </c>
      <c r="AA6" s="159">
        <f t="shared" ca="1" si="2"/>
        <v>45356.40849444444</v>
      </c>
      <c r="AC6" s="160">
        <v>305</v>
      </c>
      <c r="AD6" s="161" t="s">
        <v>428</v>
      </c>
      <c r="AE6" s="162">
        <v>1967</v>
      </c>
      <c r="AF6" s="7">
        <v>208</v>
      </c>
      <c r="AG6" s="7" t="s">
        <v>429</v>
      </c>
      <c r="AH6" s="163" t="s">
        <v>74</v>
      </c>
      <c r="AI6" s="5" t="s">
        <v>430</v>
      </c>
      <c r="AJ6" s="163">
        <v>1904</v>
      </c>
      <c r="AL6" s="2">
        <v>8.5</v>
      </c>
      <c r="AM6" s="2" t="str">
        <f ca="1">IF(AND($AL$2&gt;=AL6,$AL$2&lt;AL7),"上午好! 现在是:","")</f>
        <v/>
      </c>
      <c r="AN6" s="35">
        <v>120</v>
      </c>
      <c r="AO6" s="4" t="s">
        <v>106</v>
      </c>
      <c r="AP6" s="164" t="s">
        <v>139</v>
      </c>
      <c r="AQ6" s="3">
        <v>5</v>
      </c>
      <c r="AR6" s="163">
        <v>265</v>
      </c>
      <c r="AS6" s="165">
        <v>316</v>
      </c>
      <c r="AT6" s="163" t="s">
        <v>162</v>
      </c>
      <c r="AU6" s="166" t="s">
        <v>310</v>
      </c>
      <c r="AV6" s="163"/>
      <c r="AW6" s="163"/>
      <c r="AY6" s="167" t="s">
        <v>163</v>
      </c>
      <c r="AZ6" s="168" t="s">
        <v>154</v>
      </c>
      <c r="BA6" s="168"/>
    </row>
    <row r="7" spans="1:92" x14ac:dyDescent="0.1">
      <c r="A7" s="6" t="s">
        <v>137</v>
      </c>
      <c r="B7" s="25" t="b">
        <f ca="1">IF(OR(C7=0,C7=3,C7=6,C7=9,C7=11,C7=14,C7=17),TRUE,FALSE)</f>
        <v>0</v>
      </c>
      <c r="C7" s="25">
        <f ca="1">MOD((年份-1900),19)</f>
        <v>10</v>
      </c>
      <c r="N7" s="2">
        <v>5</v>
      </c>
      <c r="O7" s="50">
        <v>6</v>
      </c>
      <c r="P7" s="2" t="s">
        <v>431</v>
      </c>
      <c r="Q7" s="16">
        <v>6</v>
      </c>
      <c r="R7" s="7">
        <v>30</v>
      </c>
      <c r="S7" s="7">
        <f t="shared" ca="1" si="1"/>
        <v>152</v>
      </c>
      <c r="T7" s="17" t="s">
        <v>26</v>
      </c>
      <c r="U7" s="17" t="s">
        <v>27</v>
      </c>
      <c r="V7" s="17" t="s">
        <v>28</v>
      </c>
      <c r="W7" s="18">
        <f t="shared" ca="1" si="0"/>
        <v>320</v>
      </c>
      <c r="X7" s="17" t="s">
        <v>41</v>
      </c>
      <c r="Y7" s="18">
        <v>21677</v>
      </c>
      <c r="Z7" s="158">
        <v>15.038888888884685</v>
      </c>
      <c r="AA7" s="159">
        <f t="shared" ca="1" si="2"/>
        <v>45371.447383333325</v>
      </c>
      <c r="AB7" s="17">
        <v>2</v>
      </c>
      <c r="AC7" s="160">
        <v>308</v>
      </c>
      <c r="AD7" s="161" t="s">
        <v>432</v>
      </c>
      <c r="AE7" s="162">
        <v>1910</v>
      </c>
      <c r="AF7" s="7">
        <v>303</v>
      </c>
      <c r="AG7" s="7" t="s">
        <v>433</v>
      </c>
      <c r="AH7" s="163" t="s">
        <v>75</v>
      </c>
      <c r="AI7" s="5" t="s">
        <v>434</v>
      </c>
      <c r="AJ7" s="163">
        <v>1905</v>
      </c>
      <c r="AL7" s="2">
        <v>11</v>
      </c>
      <c r="AM7" s="2" t="str">
        <f ca="1">IF(AND($AL$2&gt;=AL7,$AL$2&lt;AL8),"中午好! 现在是:","")</f>
        <v/>
      </c>
      <c r="AN7" s="35">
        <v>149</v>
      </c>
      <c r="AO7" s="4" t="s">
        <v>107</v>
      </c>
      <c r="AP7" s="164" t="s">
        <v>140</v>
      </c>
      <c r="AQ7" s="3" t="s">
        <v>435</v>
      </c>
      <c r="AR7" s="163">
        <v>317</v>
      </c>
      <c r="AS7" s="165">
        <v>420</v>
      </c>
      <c r="AT7" s="163" t="s">
        <v>164</v>
      </c>
      <c r="AU7" s="166" t="s">
        <v>310</v>
      </c>
      <c r="AV7" s="163"/>
      <c r="AW7" s="163"/>
      <c r="AY7" s="167" t="s">
        <v>165</v>
      </c>
      <c r="AZ7" s="168" t="s">
        <v>166</v>
      </c>
      <c r="BA7" s="168"/>
    </row>
    <row r="8" spans="1:92" x14ac:dyDescent="0.1">
      <c r="A8" s="6" t="s">
        <v>70</v>
      </c>
      <c r="B8" s="9">
        <f ca="1">OFFSET(每月天数,月份,0)</f>
        <v>31</v>
      </c>
      <c r="N8" s="2">
        <v>6</v>
      </c>
      <c r="O8" s="50">
        <v>7</v>
      </c>
      <c r="P8" s="2" t="s">
        <v>436</v>
      </c>
      <c r="Q8" s="16">
        <v>7</v>
      </c>
      <c r="R8" s="7">
        <v>31</v>
      </c>
      <c r="S8" s="7">
        <f t="shared" ca="1" si="1"/>
        <v>182</v>
      </c>
      <c r="T8" s="17" t="s">
        <v>29</v>
      </c>
      <c r="U8" s="17" t="s">
        <v>30</v>
      </c>
      <c r="V8" s="17" t="s">
        <v>31</v>
      </c>
      <c r="W8" s="18">
        <f t="shared" ca="1" si="0"/>
        <v>404</v>
      </c>
      <c r="X8" s="17" t="s">
        <v>42</v>
      </c>
      <c r="Y8" s="18">
        <v>21853</v>
      </c>
      <c r="Z8" s="158">
        <v>15.167361111110949</v>
      </c>
      <c r="AA8" s="159">
        <f t="shared" ca="1" si="2"/>
        <v>45386.614744444436</v>
      </c>
      <c r="AC8" s="160">
        <v>312</v>
      </c>
      <c r="AD8" s="161" t="s">
        <v>437</v>
      </c>
      <c r="AE8" s="162">
        <v>1979</v>
      </c>
      <c r="AF8" s="7">
        <v>408</v>
      </c>
      <c r="AG8" s="7" t="s">
        <v>438</v>
      </c>
      <c r="AH8" s="163" t="s">
        <v>76</v>
      </c>
      <c r="AI8" s="5" t="s">
        <v>439</v>
      </c>
      <c r="AJ8" s="163">
        <v>1906</v>
      </c>
      <c r="AL8" s="2">
        <v>13</v>
      </c>
      <c r="AM8" s="2" t="str">
        <f ca="1">IF(AND($AL$2&gt;=AL8,$AL$2&lt;AL9),"下午好! 现在是:","")</f>
        <v>下午好! 现在是:</v>
      </c>
      <c r="AN8" s="35">
        <v>179</v>
      </c>
      <c r="AO8" s="4" t="s">
        <v>108</v>
      </c>
      <c r="AP8" s="164" t="s">
        <v>118</v>
      </c>
      <c r="AR8" s="163">
        <v>386</v>
      </c>
      <c r="AS8" s="165">
        <v>534</v>
      </c>
      <c r="AT8" s="163" t="s">
        <v>440</v>
      </c>
      <c r="AU8" s="166" t="s">
        <v>310</v>
      </c>
      <c r="AV8" s="163"/>
      <c r="AW8" s="163"/>
      <c r="AY8" s="167" t="s">
        <v>174</v>
      </c>
      <c r="AZ8" s="168" t="s">
        <v>175</v>
      </c>
      <c r="BA8" s="168"/>
    </row>
    <row r="9" spans="1:92" x14ac:dyDescent="0.1">
      <c r="A9" s="6" t="s">
        <v>441</v>
      </c>
      <c r="B9" s="9">
        <f ca="1">OFFSET(每月天数,IF(月份=1,12,月份-1),0)</f>
        <v>31</v>
      </c>
      <c r="N9" s="2">
        <v>7</v>
      </c>
      <c r="O9" s="50">
        <v>8</v>
      </c>
      <c r="P9" s="2" t="s">
        <v>442</v>
      </c>
      <c r="Q9" s="16">
        <v>8</v>
      </c>
      <c r="R9" s="7">
        <v>31</v>
      </c>
      <c r="S9" s="7">
        <f t="shared" ca="1" si="1"/>
        <v>213</v>
      </c>
      <c r="T9" s="17" t="s">
        <v>32</v>
      </c>
      <c r="U9" s="17" t="s">
        <v>33</v>
      </c>
      <c r="V9" s="17" t="s">
        <v>4</v>
      </c>
      <c r="W9" s="18">
        <f t="shared" ca="1" si="0"/>
        <v>419</v>
      </c>
      <c r="X9" s="17" t="s">
        <v>43</v>
      </c>
      <c r="Y9" s="18">
        <v>22054</v>
      </c>
      <c r="Z9" s="158">
        <v>15.297222222223354</v>
      </c>
      <c r="AA9" s="159">
        <f t="shared" ca="1" si="2"/>
        <v>45401.911966666659</v>
      </c>
      <c r="AB9" s="17">
        <v>3</v>
      </c>
      <c r="AC9" s="160">
        <v>315</v>
      </c>
      <c r="AD9" s="161" t="s">
        <v>443</v>
      </c>
      <c r="AE9" s="162">
        <v>1990</v>
      </c>
      <c r="AF9" s="7">
        <v>505</v>
      </c>
      <c r="AG9" s="7" t="s">
        <v>64</v>
      </c>
      <c r="AH9" s="163" t="s">
        <v>77</v>
      </c>
      <c r="AJ9" s="163">
        <v>1907</v>
      </c>
      <c r="AL9" s="2">
        <v>18</v>
      </c>
      <c r="AM9" s="2" t="str">
        <f ca="1">IF(AND($AL$2&gt;=AL9,$AL$2&lt;AL10),"晚上好! 现在是:","")</f>
        <v/>
      </c>
      <c r="AN9" s="35">
        <v>208</v>
      </c>
      <c r="AO9" s="4" t="s">
        <v>109</v>
      </c>
      <c r="AP9" s="164" t="s">
        <v>119</v>
      </c>
      <c r="AR9" s="163">
        <v>420</v>
      </c>
      <c r="AS9" s="165">
        <v>479</v>
      </c>
      <c r="AT9" s="163" t="s">
        <v>444</v>
      </c>
      <c r="AU9" s="166" t="s">
        <v>310</v>
      </c>
      <c r="AV9" s="163"/>
      <c r="AW9" s="163"/>
      <c r="AY9" s="167" t="s">
        <v>167</v>
      </c>
      <c r="AZ9" s="168" t="s">
        <v>166</v>
      </c>
      <c r="BA9" s="168"/>
    </row>
    <row r="10" spans="1:92" x14ac:dyDescent="0.1">
      <c r="A10" s="6" t="s">
        <v>445</v>
      </c>
      <c r="B10" s="9">
        <f ca="1">IF(AND(年份=1900,月份&lt;=2),WEEKDAY(DATE(年份,月份,1))+1,WEEKDAY(DATE(年份,月份,1)))</f>
        <v>5</v>
      </c>
      <c r="N10" s="2">
        <v>8</v>
      </c>
      <c r="O10" s="50">
        <v>9</v>
      </c>
      <c r="P10" s="2" t="s">
        <v>446</v>
      </c>
      <c r="Q10" s="16">
        <v>9</v>
      </c>
      <c r="R10" s="7">
        <v>30</v>
      </c>
      <c r="S10" s="7">
        <f t="shared" ca="1" si="1"/>
        <v>244</v>
      </c>
      <c r="T10" s="17" t="s">
        <v>34</v>
      </c>
      <c r="U10" s="17" t="s">
        <v>35</v>
      </c>
      <c r="V10" s="17" t="s">
        <v>7</v>
      </c>
      <c r="W10" s="18">
        <f t="shared" ca="1" si="0"/>
        <v>505</v>
      </c>
      <c r="X10" s="17" t="s">
        <v>44</v>
      </c>
      <c r="Y10" s="18">
        <v>22228</v>
      </c>
      <c r="Z10" s="158">
        <v>15.42500000000291</v>
      </c>
      <c r="AA10" s="159">
        <f t="shared" ca="1" si="2"/>
        <v>45417.336966666662</v>
      </c>
      <c r="AC10" s="160">
        <v>323</v>
      </c>
      <c r="AD10" s="161" t="s">
        <v>447</v>
      </c>
      <c r="AE10" s="162">
        <v>1951</v>
      </c>
      <c r="AF10" s="7">
        <v>610</v>
      </c>
      <c r="AG10" s="7" t="s">
        <v>448</v>
      </c>
      <c r="AH10" s="163" t="s">
        <v>78</v>
      </c>
      <c r="AJ10" s="163">
        <v>1908</v>
      </c>
      <c r="AL10" s="2">
        <v>23</v>
      </c>
      <c r="AM10" s="2" t="str">
        <f ca="1">IF($AL$2&gt;=AL10,"晚安! 现在是:","")</f>
        <v/>
      </c>
      <c r="AN10" s="35">
        <v>238</v>
      </c>
      <c r="AO10" s="4" t="s">
        <v>110</v>
      </c>
      <c r="AP10" s="164" t="s">
        <v>449</v>
      </c>
      <c r="AR10" s="163">
        <v>479</v>
      </c>
      <c r="AS10" s="165">
        <v>502</v>
      </c>
      <c r="AT10" s="163" t="s">
        <v>168</v>
      </c>
      <c r="AU10" s="166" t="s">
        <v>310</v>
      </c>
      <c r="AV10" s="163"/>
      <c r="AW10" s="163"/>
      <c r="AY10" s="167" t="s">
        <v>169</v>
      </c>
      <c r="AZ10" s="168" t="s">
        <v>166</v>
      </c>
      <c r="BA10" s="168"/>
    </row>
    <row r="11" spans="1:92" x14ac:dyDescent="0.1">
      <c r="A11" s="6" t="s">
        <v>450</v>
      </c>
      <c r="B11" s="9" t="str">
        <f ca="1">OFFSET(P1,月份,0)</f>
        <v>A U G U S T</v>
      </c>
      <c r="N11" s="2">
        <v>9</v>
      </c>
      <c r="O11" s="50">
        <v>10</v>
      </c>
      <c r="P11" s="2" t="s">
        <v>451</v>
      </c>
      <c r="Q11" s="16">
        <v>10</v>
      </c>
      <c r="R11" s="7">
        <v>31</v>
      </c>
      <c r="S11" s="7">
        <f t="shared" ca="1" si="1"/>
        <v>274</v>
      </c>
      <c r="T11" s="17" t="s">
        <v>2</v>
      </c>
      <c r="U11" s="17" t="s">
        <v>3</v>
      </c>
      <c r="V11" s="17" t="s">
        <v>10</v>
      </c>
      <c r="W11" s="18">
        <f t="shared" ca="1" si="0"/>
        <v>520</v>
      </c>
      <c r="X11" s="17" t="s">
        <v>45</v>
      </c>
      <c r="Y11" s="18">
        <v>22402</v>
      </c>
      <c r="Z11" s="158">
        <v>15.54374999999709</v>
      </c>
      <c r="AA11" s="159">
        <f t="shared" ca="1" si="2"/>
        <v>45432.880716666659</v>
      </c>
      <c r="AB11" s="17">
        <v>4</v>
      </c>
      <c r="AC11" s="160">
        <v>401</v>
      </c>
      <c r="AD11" s="161" t="s">
        <v>452</v>
      </c>
      <c r="AE11" s="162">
        <v>1564</v>
      </c>
      <c r="AF11" s="7">
        <v>623</v>
      </c>
      <c r="AG11" s="7" t="s">
        <v>453</v>
      </c>
      <c r="AH11" s="163" t="s">
        <v>79</v>
      </c>
      <c r="AJ11" s="163">
        <v>1909</v>
      </c>
      <c r="AN11" s="35">
        <v>268</v>
      </c>
      <c r="AO11" s="4" t="s">
        <v>141</v>
      </c>
      <c r="AP11" s="164" t="s">
        <v>454</v>
      </c>
      <c r="AQ11" s="171"/>
      <c r="AR11" s="163">
        <v>502</v>
      </c>
      <c r="AS11" s="165">
        <v>557</v>
      </c>
      <c r="AT11" s="163" t="s">
        <v>170</v>
      </c>
      <c r="AU11" s="166" t="s">
        <v>310</v>
      </c>
      <c r="AV11" s="163"/>
      <c r="AW11" s="163"/>
      <c r="AY11" s="167" t="s">
        <v>171</v>
      </c>
      <c r="AZ11" s="168" t="s">
        <v>166</v>
      </c>
      <c r="BA11" s="168"/>
    </row>
    <row r="12" spans="1:92" x14ac:dyDescent="0.1">
      <c r="A12" s="6" t="s">
        <v>455</v>
      </c>
      <c r="B12" s="9" t="e">
        <f>ROW(#REF!)</f>
        <v>#REF!</v>
      </c>
      <c r="N12" s="2">
        <v>10</v>
      </c>
      <c r="O12" s="50">
        <v>11</v>
      </c>
      <c r="P12" s="2" t="s">
        <v>456</v>
      </c>
      <c r="Q12" s="16">
        <v>11</v>
      </c>
      <c r="R12" s="7">
        <v>30</v>
      </c>
      <c r="S12" s="7">
        <f t="shared" ca="1" si="1"/>
        <v>305</v>
      </c>
      <c r="T12" s="17" t="s">
        <v>5</v>
      </c>
      <c r="U12" s="17" t="s">
        <v>6</v>
      </c>
      <c r="W12" s="18">
        <f t="shared" ca="1" si="0"/>
        <v>605</v>
      </c>
      <c r="X12" s="17" t="s">
        <v>46</v>
      </c>
      <c r="Y12" s="18">
        <v>22521</v>
      </c>
      <c r="Z12" s="158">
        <v>15.660416666665697</v>
      </c>
      <c r="AA12" s="159">
        <f t="shared" ca="1" si="2"/>
        <v>45448.541133333325</v>
      </c>
      <c r="AC12" s="160">
        <v>407</v>
      </c>
      <c r="AD12" s="161" t="s">
        <v>457</v>
      </c>
      <c r="AE12" s="162">
        <v>1948</v>
      </c>
      <c r="AF12" s="7">
        <v>707</v>
      </c>
      <c r="AG12" s="7" t="s">
        <v>458</v>
      </c>
      <c r="AH12" s="163" t="s">
        <v>80</v>
      </c>
      <c r="AJ12" s="163">
        <v>1910</v>
      </c>
      <c r="AN12" s="35">
        <v>297</v>
      </c>
      <c r="AO12" s="4" t="s">
        <v>111</v>
      </c>
      <c r="AP12" s="164" t="s">
        <v>459</v>
      </c>
      <c r="AR12" s="163">
        <v>534</v>
      </c>
      <c r="AS12" s="165">
        <v>550</v>
      </c>
      <c r="AT12" s="163" t="s">
        <v>176</v>
      </c>
      <c r="AU12" s="166" t="s">
        <v>310</v>
      </c>
      <c r="AV12" s="163"/>
      <c r="AW12" s="163"/>
      <c r="AY12" s="167" t="s">
        <v>177</v>
      </c>
      <c r="AZ12" s="168" t="s">
        <v>178</v>
      </c>
      <c r="BA12" s="168"/>
    </row>
    <row r="13" spans="1:92" x14ac:dyDescent="0.1">
      <c r="A13" s="6" t="s">
        <v>460</v>
      </c>
      <c r="B13" s="9" t="e">
        <f>COLUMN(#REF!)</f>
        <v>#REF!</v>
      </c>
      <c r="N13" s="2">
        <v>11</v>
      </c>
      <c r="O13" s="50">
        <v>12</v>
      </c>
      <c r="P13" s="2" t="s">
        <v>461</v>
      </c>
      <c r="Q13" s="16">
        <v>12</v>
      </c>
      <c r="R13" s="7">
        <v>31</v>
      </c>
      <c r="S13" s="7">
        <f t="shared" ca="1" si="1"/>
        <v>335</v>
      </c>
      <c r="T13" s="17" t="s">
        <v>8</v>
      </c>
      <c r="U13" s="17" t="s">
        <v>9</v>
      </c>
      <c r="W13" s="18">
        <f t="shared" ca="1" si="0"/>
        <v>621</v>
      </c>
      <c r="X13" s="17" t="s">
        <v>47</v>
      </c>
      <c r="Y13" s="18">
        <v>22621</v>
      </c>
      <c r="Z13" s="158">
        <v>15.674305555556202</v>
      </c>
      <c r="AA13" s="159">
        <f t="shared" ca="1" si="2"/>
        <v>45464.215438888881</v>
      </c>
      <c r="AB13" s="17">
        <v>5</v>
      </c>
      <c r="AC13" s="160">
        <v>422</v>
      </c>
      <c r="AD13" s="161" t="s">
        <v>462</v>
      </c>
      <c r="AE13" s="162">
        <v>1990</v>
      </c>
      <c r="AF13" s="7">
        <v>715</v>
      </c>
      <c r="AG13" s="7" t="s">
        <v>65</v>
      </c>
      <c r="AH13" s="163" t="s">
        <v>81</v>
      </c>
      <c r="AJ13" s="163">
        <v>1911</v>
      </c>
      <c r="AN13" s="35">
        <v>327</v>
      </c>
      <c r="AO13" s="4" t="s">
        <v>112</v>
      </c>
      <c r="AP13" s="164" t="s">
        <v>463</v>
      </c>
      <c r="AR13" s="163">
        <v>535</v>
      </c>
      <c r="AS13" s="165">
        <v>557</v>
      </c>
      <c r="AT13" s="163" t="s">
        <v>179</v>
      </c>
      <c r="AU13" s="166" t="s">
        <v>310</v>
      </c>
      <c r="AV13" s="163"/>
      <c r="AW13" s="163"/>
      <c r="AY13" s="167" t="s">
        <v>180</v>
      </c>
      <c r="AZ13" s="168" t="s">
        <v>181</v>
      </c>
      <c r="BA13" s="168"/>
    </row>
    <row r="14" spans="1:92" x14ac:dyDescent="0.1">
      <c r="A14" s="6" t="s">
        <v>464</v>
      </c>
      <c r="B14" s="34">
        <v>31</v>
      </c>
      <c r="N14" s="2">
        <v>12</v>
      </c>
      <c r="O14" s="50">
        <v>13</v>
      </c>
      <c r="R14" s="7">
        <f ca="1">SUM(R2:R13)</f>
        <v>366</v>
      </c>
      <c r="S14" s="7">
        <f t="shared" ca="1" si="1"/>
        <v>366</v>
      </c>
      <c r="W14" s="18">
        <f t="shared" ca="1" si="0"/>
        <v>706</v>
      </c>
      <c r="X14" s="17" t="s">
        <v>48</v>
      </c>
      <c r="Y14" s="18">
        <v>22650</v>
      </c>
      <c r="Z14" s="158">
        <v>15.758333333338669</v>
      </c>
      <c r="AA14" s="159">
        <f t="shared" ca="1" si="2"/>
        <v>45479.97377222222</v>
      </c>
      <c r="AC14" s="160">
        <v>501</v>
      </c>
      <c r="AD14" s="161" t="s">
        <v>465</v>
      </c>
      <c r="AE14" s="162">
        <v>1920</v>
      </c>
      <c r="AF14" s="7">
        <v>815</v>
      </c>
      <c r="AG14" s="7" t="s">
        <v>66</v>
      </c>
      <c r="AH14" s="163" t="s">
        <v>82</v>
      </c>
      <c r="AJ14" s="163">
        <v>1912</v>
      </c>
      <c r="AN14" s="35">
        <v>357</v>
      </c>
      <c r="AO14" s="4" t="s">
        <v>379</v>
      </c>
      <c r="AP14" s="164" t="s">
        <v>466</v>
      </c>
      <c r="AR14" s="163">
        <v>550</v>
      </c>
      <c r="AS14" s="165">
        <v>577</v>
      </c>
      <c r="AT14" s="163" t="s">
        <v>182</v>
      </c>
      <c r="AU14" s="166" t="s">
        <v>310</v>
      </c>
      <c r="AV14" s="163"/>
      <c r="AW14" s="163"/>
      <c r="AY14" s="167" t="s">
        <v>183</v>
      </c>
      <c r="AZ14" s="168" t="s">
        <v>178</v>
      </c>
      <c r="BA14" s="168"/>
    </row>
    <row r="15" spans="1:92" x14ac:dyDescent="0.1">
      <c r="A15" s="6" t="s">
        <v>467</v>
      </c>
      <c r="B15" s="5"/>
      <c r="N15" s="2">
        <v>13</v>
      </c>
      <c r="O15" s="50">
        <v>14</v>
      </c>
      <c r="W15" s="18">
        <f t="shared" ca="1" si="0"/>
        <v>722</v>
      </c>
      <c r="X15" s="17" t="s">
        <v>49</v>
      </c>
      <c r="Y15" s="18">
        <v>22646</v>
      </c>
      <c r="Z15" s="158">
        <v>15.696527777778101</v>
      </c>
      <c r="AA15" s="159">
        <f t="shared" ca="1" si="2"/>
        <v>45495.670299999998</v>
      </c>
      <c r="AB15" s="17">
        <v>6</v>
      </c>
      <c r="AC15" s="160">
        <v>504</v>
      </c>
      <c r="AD15" s="161" t="s">
        <v>60</v>
      </c>
      <c r="AE15" s="162">
        <v>1919</v>
      </c>
      <c r="AF15" s="7">
        <v>909</v>
      </c>
      <c r="AG15" s="7" t="s">
        <v>67</v>
      </c>
      <c r="AH15" s="163" t="s">
        <v>83</v>
      </c>
      <c r="AJ15" s="163">
        <v>1913</v>
      </c>
      <c r="AN15" s="35">
        <v>386</v>
      </c>
      <c r="AO15" s="4" t="s">
        <v>113</v>
      </c>
      <c r="AP15" s="164" t="s">
        <v>468</v>
      </c>
      <c r="AR15" s="163">
        <v>557</v>
      </c>
      <c r="AS15" s="165">
        <v>581</v>
      </c>
      <c r="AT15" s="163" t="s">
        <v>184</v>
      </c>
      <c r="AU15" s="166" t="s">
        <v>310</v>
      </c>
      <c r="AV15" s="163"/>
      <c r="AW15" s="163"/>
      <c r="AY15" s="167" t="s">
        <v>185</v>
      </c>
      <c r="AZ15" s="168" t="s">
        <v>181</v>
      </c>
      <c r="BA15" s="168"/>
    </row>
    <row r="16" spans="1:92" x14ac:dyDescent="0.1">
      <c r="A16" s="6" t="s">
        <v>469</v>
      </c>
      <c r="B16" s="9">
        <f>IF(ISERROR(WEEKDAY("1900/2/29")),0,1)</f>
        <v>1</v>
      </c>
      <c r="N16" s="2">
        <v>14</v>
      </c>
      <c r="O16" s="50">
        <v>15</v>
      </c>
      <c r="W16" s="18">
        <f t="shared" ca="1" si="0"/>
        <v>807</v>
      </c>
      <c r="X16" s="17" t="s">
        <v>50</v>
      </c>
      <c r="Y16" s="18">
        <v>22574</v>
      </c>
      <c r="Z16" s="158">
        <v>15.679861111108039</v>
      </c>
      <c r="AA16" s="159">
        <f t="shared" ca="1" si="2"/>
        <v>45511.350161111106</v>
      </c>
      <c r="AC16" s="160">
        <v>512</v>
      </c>
      <c r="AD16" s="161" t="s">
        <v>470</v>
      </c>
      <c r="AE16" s="162">
        <v>1910</v>
      </c>
      <c r="AF16" s="7">
        <v>1208</v>
      </c>
      <c r="AG16" s="7" t="s">
        <v>68</v>
      </c>
      <c r="AH16" s="163" t="s">
        <v>84</v>
      </c>
      <c r="AJ16" s="163">
        <v>1914</v>
      </c>
      <c r="AN16" s="35">
        <v>416</v>
      </c>
      <c r="AO16" s="4" t="s">
        <v>100</v>
      </c>
      <c r="AP16" s="164" t="s">
        <v>471</v>
      </c>
      <c r="AR16" s="163">
        <v>557</v>
      </c>
      <c r="AS16" s="165">
        <v>589</v>
      </c>
      <c r="AT16" s="163" t="s">
        <v>172</v>
      </c>
      <c r="AU16" s="166" t="s">
        <v>310</v>
      </c>
      <c r="AV16" s="163"/>
      <c r="AW16" s="163"/>
      <c r="AY16" s="167" t="s">
        <v>173</v>
      </c>
      <c r="AZ16" s="168" t="s">
        <v>166</v>
      </c>
      <c r="BA16" s="168"/>
    </row>
    <row r="17" spans="1:53" x14ac:dyDescent="0.1">
      <c r="A17" s="6" t="s">
        <v>472</v>
      </c>
      <c r="B17" s="172">
        <v>6.1375000000000002</v>
      </c>
      <c r="F17" s="6"/>
      <c r="G17" s="6"/>
      <c r="H17" s="14"/>
      <c r="I17" s="6"/>
      <c r="J17" s="6"/>
      <c r="K17" s="6"/>
      <c r="L17" s="6"/>
      <c r="M17" s="6"/>
      <c r="N17" s="2">
        <v>15</v>
      </c>
      <c r="O17" s="50">
        <v>16</v>
      </c>
      <c r="W17" s="18">
        <f t="shared" ca="1" si="0"/>
        <v>822</v>
      </c>
      <c r="X17" s="17" t="s">
        <v>51</v>
      </c>
      <c r="Y17" s="18">
        <v>22470</v>
      </c>
      <c r="Z17" s="158">
        <v>15.61250000000291</v>
      </c>
      <c r="AA17" s="159">
        <f t="shared" ca="1" si="2"/>
        <v>45526.962661111109</v>
      </c>
      <c r="AB17" s="17">
        <v>7</v>
      </c>
      <c r="AC17" s="160">
        <v>516</v>
      </c>
      <c r="AD17" s="161" t="s">
        <v>473</v>
      </c>
      <c r="AE17" s="162">
        <v>1990</v>
      </c>
      <c r="AH17" s="163" t="s">
        <v>85</v>
      </c>
      <c r="AJ17" s="163">
        <v>1915</v>
      </c>
      <c r="AN17" s="35">
        <v>445</v>
      </c>
      <c r="AO17" s="4" t="s">
        <v>104</v>
      </c>
      <c r="AP17" s="164" t="s">
        <v>474</v>
      </c>
      <c r="AR17" s="163">
        <v>581</v>
      </c>
      <c r="AS17" s="165">
        <v>618</v>
      </c>
      <c r="AT17" s="163" t="s">
        <v>186</v>
      </c>
      <c r="AU17" s="166" t="s">
        <v>310</v>
      </c>
      <c r="AV17" s="163"/>
      <c r="AW17" s="163"/>
      <c r="AY17" s="167" t="s">
        <v>187</v>
      </c>
      <c r="AZ17" s="168" t="s">
        <v>188</v>
      </c>
      <c r="BA17" s="168"/>
    </row>
    <row r="18" spans="1:53" x14ac:dyDescent="0.1">
      <c r="A18" s="6" t="s">
        <v>475</v>
      </c>
      <c r="B18" s="173">
        <f ca="1">(年份-1900)*365.2422+(DATE(年份,月份,1)&gt;DATE(1900,2,28))*1</f>
        <v>45291.032800000001</v>
      </c>
      <c r="F18" s="6"/>
      <c r="G18" s="6"/>
      <c r="H18" s="14"/>
      <c r="I18" s="6"/>
      <c r="J18" s="6"/>
      <c r="K18" s="6"/>
      <c r="L18" s="6"/>
      <c r="M18" s="6"/>
      <c r="N18" s="2">
        <v>16</v>
      </c>
      <c r="O18" s="50">
        <v>17</v>
      </c>
      <c r="W18" s="18">
        <f t="shared" ca="1" si="0"/>
        <v>907</v>
      </c>
      <c r="X18" s="17" t="s">
        <v>52</v>
      </c>
      <c r="Y18" s="18">
        <v>22317</v>
      </c>
      <c r="Z18" s="158">
        <v>15.506249999998545</v>
      </c>
      <c r="AA18" s="159">
        <f t="shared" ca="1" si="2"/>
        <v>45542.468911111107</v>
      </c>
      <c r="AC18" s="160">
        <v>531</v>
      </c>
      <c r="AD18" s="161" t="s">
        <v>476</v>
      </c>
      <c r="AE18" s="162">
        <v>1988</v>
      </c>
      <c r="AH18" s="163" t="s">
        <v>86</v>
      </c>
      <c r="AJ18" s="163">
        <v>1916</v>
      </c>
      <c r="AN18" s="35">
        <v>475</v>
      </c>
      <c r="AO18" s="4" t="s">
        <v>105</v>
      </c>
      <c r="AP18" s="164" t="s">
        <v>477</v>
      </c>
      <c r="AR18" s="174">
        <v>618</v>
      </c>
      <c r="AS18" s="174">
        <v>626</v>
      </c>
      <c r="AT18" s="163" t="s">
        <v>189</v>
      </c>
      <c r="AU18" s="174" t="s">
        <v>311</v>
      </c>
      <c r="AV18" s="175">
        <v>53</v>
      </c>
      <c r="AW18" s="175">
        <v>9</v>
      </c>
      <c r="AX18" s="175">
        <v>70</v>
      </c>
      <c r="AY18" s="175" t="s">
        <v>313</v>
      </c>
      <c r="AZ18" s="174" t="s">
        <v>312</v>
      </c>
      <c r="BA18" s="174" t="s">
        <v>381</v>
      </c>
    </row>
    <row r="19" spans="1:53" x14ac:dyDescent="0.1">
      <c r="A19" s="6" t="s">
        <v>478</v>
      </c>
      <c r="B19" s="173">
        <v>0.99726851851851839</v>
      </c>
      <c r="F19" s="6"/>
      <c r="G19" s="6"/>
      <c r="H19" s="14"/>
      <c r="I19" s="6"/>
      <c r="J19" s="6"/>
      <c r="K19" s="6"/>
      <c r="L19" s="6"/>
      <c r="M19" s="6"/>
      <c r="N19" s="2">
        <v>17</v>
      </c>
      <c r="O19" s="50">
        <v>18</v>
      </c>
      <c r="W19" s="18">
        <f t="shared" ca="1" si="0"/>
        <v>922</v>
      </c>
      <c r="X19" s="17" t="s">
        <v>53</v>
      </c>
      <c r="Y19" s="18">
        <v>22144</v>
      </c>
      <c r="Z19" s="158">
        <v>15.391666666662786</v>
      </c>
      <c r="AA19" s="159">
        <f t="shared" ca="1" si="2"/>
        <v>45557.86057777777</v>
      </c>
      <c r="AB19" s="17">
        <v>8</v>
      </c>
      <c r="AC19" s="160">
        <v>601</v>
      </c>
      <c r="AD19" s="161" t="s">
        <v>479</v>
      </c>
      <c r="AE19" s="162">
        <v>1949</v>
      </c>
      <c r="AH19" s="163" t="s">
        <v>87</v>
      </c>
      <c r="AJ19" s="163">
        <v>1917</v>
      </c>
      <c r="AN19" s="35">
        <v>504</v>
      </c>
      <c r="AO19" s="4" t="s">
        <v>106</v>
      </c>
      <c r="AP19" s="164" t="s">
        <v>480</v>
      </c>
      <c r="AR19" s="174">
        <v>626</v>
      </c>
      <c r="AS19" s="174">
        <v>649</v>
      </c>
      <c r="AT19" s="163" t="s">
        <v>189</v>
      </c>
      <c r="AU19" s="174" t="s">
        <v>481</v>
      </c>
      <c r="AV19" s="175">
        <v>28</v>
      </c>
      <c r="AW19" s="175">
        <v>24</v>
      </c>
      <c r="AX19" s="175">
        <v>51</v>
      </c>
      <c r="AY19" s="175" t="s">
        <v>316</v>
      </c>
      <c r="AZ19" s="174" t="s">
        <v>314</v>
      </c>
      <c r="BA19" s="174" t="s">
        <v>315</v>
      </c>
    </row>
    <row r="20" spans="1:53" x14ac:dyDescent="0.1">
      <c r="A20" s="6" t="s">
        <v>482</v>
      </c>
      <c r="B20" s="173">
        <v>365.24220000000003</v>
      </c>
      <c r="F20" s="6"/>
      <c r="G20" s="6"/>
      <c r="H20" s="14"/>
      <c r="I20" s="6"/>
      <c r="J20" s="6"/>
      <c r="K20" s="6"/>
      <c r="L20" s="6"/>
      <c r="M20" s="6"/>
      <c r="N20" s="2">
        <v>18</v>
      </c>
      <c r="O20" s="50">
        <v>19</v>
      </c>
      <c r="W20" s="18">
        <f t="shared" ca="1" si="0"/>
        <v>1008</v>
      </c>
      <c r="X20" s="17" t="s">
        <v>54</v>
      </c>
      <c r="Y20" s="18">
        <v>21953</v>
      </c>
      <c r="Z20" s="158">
        <v>15.256249999998545</v>
      </c>
      <c r="AA20" s="159">
        <f t="shared" ca="1" si="2"/>
        <v>45573.116827777769</v>
      </c>
      <c r="AC20" s="160">
        <v>605</v>
      </c>
      <c r="AD20" s="161" t="s">
        <v>483</v>
      </c>
      <c r="AE20" s="162">
        <v>1972</v>
      </c>
      <c r="AH20" s="163" t="s">
        <v>88</v>
      </c>
      <c r="AJ20" s="163">
        <v>1918</v>
      </c>
      <c r="AN20" s="35">
        <v>533</v>
      </c>
      <c r="AO20" s="4" t="s">
        <v>107</v>
      </c>
      <c r="AP20" s="164" t="s">
        <v>484</v>
      </c>
      <c r="AR20" s="174">
        <v>649</v>
      </c>
      <c r="AS20" s="174">
        <v>690</v>
      </c>
      <c r="AT20" s="163" t="s">
        <v>189</v>
      </c>
      <c r="AU20" s="174" t="s">
        <v>485</v>
      </c>
      <c r="AV20" s="175">
        <v>22</v>
      </c>
      <c r="AW20" s="175">
        <v>35</v>
      </c>
      <c r="AX20" s="175">
        <v>56</v>
      </c>
      <c r="AY20" s="175" t="s">
        <v>319</v>
      </c>
      <c r="AZ20" s="174" t="s">
        <v>317</v>
      </c>
      <c r="BA20" s="174" t="s">
        <v>318</v>
      </c>
    </row>
    <row r="21" spans="1:53" ht="12.75" x14ac:dyDescent="0.1">
      <c r="A21" s="6" t="s">
        <v>486</v>
      </c>
      <c r="B21" s="9">
        <v>108000</v>
      </c>
      <c r="F21" s="6"/>
      <c r="G21" s="6"/>
      <c r="H21" s="14"/>
      <c r="I21" s="6"/>
      <c r="J21" s="6"/>
      <c r="K21" s="6"/>
      <c r="L21" s="6"/>
      <c r="M21" s="6"/>
      <c r="N21" s="2">
        <v>19</v>
      </c>
      <c r="O21" s="50">
        <v>20</v>
      </c>
      <c r="W21" s="18">
        <f t="shared" ca="1" si="0"/>
        <v>1023</v>
      </c>
      <c r="X21" s="17" t="s">
        <v>55</v>
      </c>
      <c r="Y21" s="18">
        <v>21763</v>
      </c>
      <c r="Z21" s="158">
        <v>15.128472222226264</v>
      </c>
      <c r="AA21" s="159">
        <f t="shared" ca="1" si="2"/>
        <v>45588.245299999995</v>
      </c>
      <c r="AB21" s="17">
        <v>9</v>
      </c>
      <c r="AC21" s="160">
        <v>606</v>
      </c>
      <c r="AD21" s="161" t="s">
        <v>487</v>
      </c>
      <c r="AE21" s="162">
        <v>1997</v>
      </c>
      <c r="AH21" s="163" t="s">
        <v>89</v>
      </c>
      <c r="AJ21" s="163">
        <v>1919</v>
      </c>
      <c r="AN21" s="35">
        <v>563</v>
      </c>
      <c r="AO21" s="4" t="s">
        <v>108</v>
      </c>
      <c r="AP21" s="164" t="s">
        <v>488</v>
      </c>
      <c r="AR21" s="174">
        <v>690</v>
      </c>
      <c r="AS21" s="174">
        <v>705</v>
      </c>
      <c r="AT21" s="163" t="s">
        <v>189</v>
      </c>
      <c r="AU21" s="174" t="s">
        <v>489</v>
      </c>
      <c r="AV21" s="175">
        <v>67</v>
      </c>
      <c r="AW21" s="175">
        <v>16</v>
      </c>
      <c r="AX21" s="175">
        <v>82</v>
      </c>
      <c r="AY21" s="175" t="s">
        <v>322</v>
      </c>
      <c r="AZ21" s="174" t="s">
        <v>320</v>
      </c>
      <c r="BA21" s="174" t="s">
        <v>321</v>
      </c>
    </row>
    <row r="22" spans="1:53" x14ac:dyDescent="0.1">
      <c r="C22" s="9" t="s">
        <v>490</v>
      </c>
      <c r="F22" s="12"/>
      <c r="G22" s="12"/>
      <c r="H22" s="26"/>
      <c r="I22" s="12"/>
      <c r="J22" s="12"/>
      <c r="K22" s="12"/>
      <c r="L22" s="12"/>
      <c r="M22" s="12"/>
      <c r="N22" s="2">
        <v>20</v>
      </c>
      <c r="O22" s="50">
        <v>21</v>
      </c>
      <c r="W22" s="18">
        <f t="shared" ca="1" si="0"/>
        <v>1107</v>
      </c>
      <c r="X22" s="17" t="s">
        <v>56</v>
      </c>
      <c r="Y22" s="18">
        <v>21585</v>
      </c>
      <c r="Z22" s="158">
        <v>15</v>
      </c>
      <c r="AA22" s="159">
        <f t="shared" ca="1" si="2"/>
        <v>45603.245299999995</v>
      </c>
      <c r="AC22" s="160">
        <v>626</v>
      </c>
      <c r="AD22" s="161" t="s">
        <v>491</v>
      </c>
      <c r="AE22" s="162">
        <v>1990</v>
      </c>
      <c r="AH22" s="163" t="s">
        <v>90</v>
      </c>
      <c r="AJ22" s="163">
        <v>1920</v>
      </c>
      <c r="AN22" s="35">
        <v>592</v>
      </c>
      <c r="AO22" s="4" t="s">
        <v>109</v>
      </c>
      <c r="AP22" s="164" t="s">
        <v>492</v>
      </c>
      <c r="AR22" s="174">
        <v>705</v>
      </c>
      <c r="AS22" s="174">
        <v>710</v>
      </c>
      <c r="AT22" s="163" t="s">
        <v>189</v>
      </c>
      <c r="AU22" s="174" t="s">
        <v>493</v>
      </c>
      <c r="AV22" s="175">
        <v>28</v>
      </c>
      <c r="AW22" s="175" t="s">
        <v>326</v>
      </c>
      <c r="AX22" s="175">
        <v>55</v>
      </c>
      <c r="AY22" s="175" t="s">
        <v>325</v>
      </c>
      <c r="AZ22" s="174" t="s">
        <v>323</v>
      </c>
      <c r="BA22" s="174" t="s">
        <v>324</v>
      </c>
    </row>
    <row r="23" spans="1:53" x14ac:dyDescent="0.1">
      <c r="A23" s="6" t="s">
        <v>494</v>
      </c>
      <c r="B23" s="9">
        <v>29.563300000000002</v>
      </c>
      <c r="E23" s="12"/>
      <c r="N23" s="2">
        <v>21</v>
      </c>
      <c r="O23" s="50">
        <v>22</v>
      </c>
      <c r="W23" s="18">
        <f t="shared" ca="1" si="0"/>
        <v>1122</v>
      </c>
      <c r="X23" s="17" t="s">
        <v>57</v>
      </c>
      <c r="Y23" s="18">
        <v>21429</v>
      </c>
      <c r="Z23" s="158">
        <v>14.895138888889051</v>
      </c>
      <c r="AA23" s="159">
        <f t="shared" ca="1" si="2"/>
        <v>45618.140438888884</v>
      </c>
      <c r="AB23" s="17">
        <v>10</v>
      </c>
      <c r="AC23" s="160">
        <v>701</v>
      </c>
      <c r="AD23" s="161" t="s">
        <v>495</v>
      </c>
      <c r="AE23" s="162">
        <v>1941</v>
      </c>
      <c r="AH23" s="163" t="s">
        <v>91</v>
      </c>
      <c r="AJ23" s="163">
        <v>1921</v>
      </c>
      <c r="AN23" s="35">
        <v>622</v>
      </c>
      <c r="AO23" s="4" t="s">
        <v>110</v>
      </c>
      <c r="AP23" s="164" t="s">
        <v>496</v>
      </c>
      <c r="AR23" s="174">
        <v>710</v>
      </c>
      <c r="AS23" s="174">
        <v>712</v>
      </c>
      <c r="AT23" s="163" t="s">
        <v>189</v>
      </c>
      <c r="AU23" s="174" t="s">
        <v>497</v>
      </c>
      <c r="AV23" s="175">
        <v>23</v>
      </c>
      <c r="AW23" s="175" t="s">
        <v>330</v>
      </c>
      <c r="AX23" s="175">
        <v>55</v>
      </c>
      <c r="AY23" s="175" t="s">
        <v>329</v>
      </c>
      <c r="AZ23" s="174" t="s">
        <v>327</v>
      </c>
      <c r="BA23" s="174" t="s">
        <v>328</v>
      </c>
    </row>
    <row r="24" spans="1:53" x14ac:dyDescent="0.1">
      <c r="A24" s="6" t="s">
        <v>498</v>
      </c>
      <c r="B24" s="9">
        <f ca="1">YEAR(NOW())</f>
        <v>2024</v>
      </c>
      <c r="C24" s="33"/>
      <c r="D24" s="26"/>
      <c r="N24" s="2">
        <v>22</v>
      </c>
      <c r="O24" s="50">
        <v>23</v>
      </c>
      <c r="W24" s="18">
        <f t="shared" ca="1" si="0"/>
        <v>1206</v>
      </c>
      <c r="X24" s="17" t="s">
        <v>58</v>
      </c>
      <c r="Y24" s="18">
        <v>21308</v>
      </c>
      <c r="Z24" s="158">
        <v>14.813194444446708</v>
      </c>
      <c r="AA24" s="159">
        <f t="shared" ca="1" si="2"/>
        <v>45632.953633333331</v>
      </c>
      <c r="AC24" s="160">
        <v>711</v>
      </c>
      <c r="AD24" s="161" t="s">
        <v>499</v>
      </c>
      <c r="AE24" s="162">
        <v>1987</v>
      </c>
      <c r="AH24" s="163" t="s">
        <v>92</v>
      </c>
      <c r="AJ24" s="163">
        <v>1922</v>
      </c>
      <c r="AN24" s="35">
        <v>651</v>
      </c>
      <c r="AO24" s="4" t="s">
        <v>111</v>
      </c>
      <c r="AP24" s="164" t="s">
        <v>500</v>
      </c>
      <c r="AR24" s="174">
        <v>712</v>
      </c>
      <c r="AS24" s="174">
        <v>756</v>
      </c>
      <c r="AT24" s="163" t="s">
        <v>189</v>
      </c>
      <c r="AU24" s="174" t="s">
        <v>501</v>
      </c>
      <c r="AV24" s="175">
        <v>28</v>
      </c>
      <c r="AW24" s="175">
        <v>45</v>
      </c>
      <c r="AX24" s="175">
        <v>78</v>
      </c>
      <c r="AY24" s="175" t="s">
        <v>333</v>
      </c>
      <c r="AZ24" s="174" t="s">
        <v>331</v>
      </c>
      <c r="BA24" s="174" t="s">
        <v>332</v>
      </c>
    </row>
    <row r="25" spans="1:53" x14ac:dyDescent="0.1">
      <c r="A25" s="6" t="s">
        <v>502</v>
      </c>
      <c r="B25" s="9">
        <f ca="1">MONTH(NOW())</f>
        <v>8</v>
      </c>
      <c r="N25" s="2">
        <v>23</v>
      </c>
      <c r="O25" s="50">
        <v>24</v>
      </c>
      <c r="W25" s="18">
        <f t="shared" ca="1" si="0"/>
        <v>1221</v>
      </c>
      <c r="X25" s="17" t="s">
        <v>503</v>
      </c>
      <c r="Y25" s="18">
        <v>21226</v>
      </c>
      <c r="Z25" s="158">
        <v>14.740972222221899</v>
      </c>
      <c r="AA25" s="159">
        <f t="shared" ca="1" si="2"/>
        <v>45647.694605555553</v>
      </c>
      <c r="AB25" s="17">
        <v>11</v>
      </c>
      <c r="AC25" s="160">
        <v>801</v>
      </c>
      <c r="AD25" s="161" t="s">
        <v>504</v>
      </c>
      <c r="AE25" s="162">
        <v>1933</v>
      </c>
      <c r="AH25" s="163" t="s">
        <v>93</v>
      </c>
      <c r="AJ25" s="163">
        <v>1923</v>
      </c>
      <c r="AN25" s="35">
        <v>681</v>
      </c>
      <c r="AO25" s="4" t="s">
        <v>112</v>
      </c>
      <c r="AP25" s="164" t="s">
        <v>505</v>
      </c>
      <c r="AR25" s="174">
        <v>756</v>
      </c>
      <c r="AS25" s="174">
        <v>762</v>
      </c>
      <c r="AT25" s="163" t="s">
        <v>189</v>
      </c>
      <c r="AU25" s="174" t="s">
        <v>506</v>
      </c>
      <c r="AV25" s="175">
        <v>46</v>
      </c>
      <c r="AW25" s="175">
        <v>7</v>
      </c>
      <c r="AX25" s="175">
        <v>52</v>
      </c>
      <c r="AY25" s="175" t="s">
        <v>336</v>
      </c>
      <c r="AZ25" s="174" t="s">
        <v>334</v>
      </c>
      <c r="BA25" s="174" t="s">
        <v>335</v>
      </c>
    </row>
    <row r="26" spans="1:53" x14ac:dyDescent="0.1">
      <c r="A26" s="6" t="s">
        <v>507</v>
      </c>
      <c r="B26" s="9">
        <f ca="1">DAY(NOW())</f>
        <v>27</v>
      </c>
      <c r="O26" s="50">
        <v>25</v>
      </c>
      <c r="Z26" s="158"/>
      <c r="AA26" s="176"/>
      <c r="AC26" s="160">
        <v>908</v>
      </c>
      <c r="AD26" s="161" t="s">
        <v>508</v>
      </c>
      <c r="AE26" s="162">
        <v>1949</v>
      </c>
      <c r="AH26" s="163" t="s">
        <v>94</v>
      </c>
      <c r="AJ26" s="163">
        <v>1924</v>
      </c>
      <c r="AN26" s="35">
        <v>711</v>
      </c>
      <c r="AO26" s="4" t="s">
        <v>379</v>
      </c>
      <c r="AP26" s="164" t="s">
        <v>509</v>
      </c>
      <c r="AR26" s="174">
        <v>762</v>
      </c>
      <c r="AS26" s="174">
        <v>779</v>
      </c>
      <c r="AT26" s="163" t="s">
        <v>189</v>
      </c>
      <c r="AU26" s="174" t="s">
        <v>510</v>
      </c>
      <c r="AV26" s="175">
        <v>37</v>
      </c>
      <c r="AW26" s="175">
        <v>18</v>
      </c>
      <c r="AX26" s="175">
        <v>54</v>
      </c>
      <c r="AY26" s="175" t="s">
        <v>339</v>
      </c>
      <c r="AZ26" s="174" t="s">
        <v>337</v>
      </c>
      <c r="BA26" s="174" t="s">
        <v>338</v>
      </c>
    </row>
    <row r="27" spans="1:53" x14ac:dyDescent="0.1">
      <c r="A27" s="6" t="s">
        <v>150</v>
      </c>
      <c r="B27" s="9">
        <f ca="1">HOUR(NOW())</f>
        <v>15</v>
      </c>
      <c r="O27" s="50">
        <v>26</v>
      </c>
      <c r="Z27" s="158"/>
      <c r="AA27" s="176"/>
      <c r="AC27" s="160">
        <v>910</v>
      </c>
      <c r="AD27" s="161" t="s">
        <v>511</v>
      </c>
      <c r="AE27" s="162">
        <v>1985</v>
      </c>
      <c r="AH27" s="163" t="s">
        <v>95</v>
      </c>
      <c r="AJ27" s="163">
        <v>1925</v>
      </c>
      <c r="AN27" s="35">
        <v>741</v>
      </c>
      <c r="AO27" s="4" t="s">
        <v>113</v>
      </c>
      <c r="AP27" s="164" t="s">
        <v>512</v>
      </c>
      <c r="AR27" s="174">
        <v>779</v>
      </c>
      <c r="AS27" s="174">
        <v>805</v>
      </c>
      <c r="AT27" s="163" t="s">
        <v>189</v>
      </c>
      <c r="AU27" s="174" t="s">
        <v>513</v>
      </c>
      <c r="AV27" s="175">
        <v>38</v>
      </c>
      <c r="AW27" s="175">
        <v>27</v>
      </c>
      <c r="AX27" s="175">
        <v>64</v>
      </c>
      <c r="AY27" s="175" t="s">
        <v>342</v>
      </c>
      <c r="AZ27" s="174" t="s">
        <v>340</v>
      </c>
      <c r="BA27" s="174" t="s">
        <v>341</v>
      </c>
    </row>
    <row r="28" spans="1:53" x14ac:dyDescent="0.1">
      <c r="A28" s="6" t="s">
        <v>514</v>
      </c>
      <c r="B28" s="9">
        <f ca="1">MINUTE(NOW())</f>
        <v>5</v>
      </c>
      <c r="O28" s="50">
        <v>27</v>
      </c>
      <c r="AC28" s="160">
        <v>918</v>
      </c>
      <c r="AD28" s="161" t="s">
        <v>515</v>
      </c>
      <c r="AE28" s="162">
        <v>1945</v>
      </c>
      <c r="AH28" s="163" t="s">
        <v>96</v>
      </c>
      <c r="AJ28" s="163">
        <v>1926</v>
      </c>
      <c r="AN28" s="35">
        <v>770</v>
      </c>
      <c r="AO28" s="4" t="s">
        <v>100</v>
      </c>
      <c r="AP28" s="164" t="s">
        <v>516</v>
      </c>
      <c r="AR28" s="174">
        <v>805</v>
      </c>
      <c r="AS28" s="174">
        <v>805</v>
      </c>
      <c r="AT28" s="163" t="s">
        <v>189</v>
      </c>
      <c r="AU28" s="174" t="s">
        <v>343</v>
      </c>
      <c r="AV28" s="175">
        <v>45</v>
      </c>
      <c r="AW28" s="175"/>
      <c r="AX28" s="175">
        <v>46</v>
      </c>
      <c r="AY28" s="175" t="s">
        <v>346</v>
      </c>
      <c r="AZ28" s="174" t="s">
        <v>344</v>
      </c>
      <c r="BA28" s="174" t="s">
        <v>345</v>
      </c>
    </row>
    <row r="29" spans="1:53" x14ac:dyDescent="0.1">
      <c r="A29" s="6" t="s">
        <v>551</v>
      </c>
      <c r="B29" s="177">
        <f ca="1">OFFSET(阴历月pnt,E31,0)</f>
        <v>45479</v>
      </c>
      <c r="C29" s="8" t="str">
        <f ca="1">OFFSET(阴历月pnt,E31,1)</f>
        <v>六月</v>
      </c>
      <c r="D29" s="5">
        <f ca="1">FIND(LEFT(RIGHT(C29,2),1),"正二三四五六七八九十仲腊")</f>
        <v>6</v>
      </c>
      <c r="E29" s="6" t="s">
        <v>517</v>
      </c>
      <c r="F29" s="2">
        <f ca="1">IF(OR(Display_Year&gt;2050,Display_Year&lt;1900),Display_Year,年份-(月份&lt;阴历月)*1)</f>
        <v>2024</v>
      </c>
      <c r="O29" s="50">
        <v>28</v>
      </c>
      <c r="AC29" s="160">
        <v>920</v>
      </c>
      <c r="AD29" s="161" t="s">
        <v>518</v>
      </c>
      <c r="AE29" s="162">
        <v>1989</v>
      </c>
      <c r="AH29" s="163" t="s">
        <v>97</v>
      </c>
      <c r="AJ29" s="163">
        <v>1927</v>
      </c>
      <c r="AN29" s="35">
        <v>800</v>
      </c>
      <c r="AO29" s="4" t="s">
        <v>104</v>
      </c>
      <c r="AP29" s="164" t="s">
        <v>519</v>
      </c>
      <c r="AR29" s="174">
        <v>805</v>
      </c>
      <c r="AS29" s="174">
        <v>820</v>
      </c>
      <c r="AT29" s="163" t="s">
        <v>189</v>
      </c>
      <c r="AU29" s="174" t="s">
        <v>347</v>
      </c>
      <c r="AV29" s="175">
        <v>28</v>
      </c>
      <c r="AW29" s="175">
        <v>16</v>
      </c>
      <c r="AX29" s="175">
        <v>43</v>
      </c>
      <c r="AY29" s="175" t="s">
        <v>350</v>
      </c>
      <c r="AZ29" s="174" t="s">
        <v>348</v>
      </c>
      <c r="BA29" s="174" t="s">
        <v>349</v>
      </c>
    </row>
    <row r="30" spans="1:53" x14ac:dyDescent="0.1">
      <c r="A30" s="6" t="s">
        <v>552</v>
      </c>
      <c r="B30" s="177">
        <f ca="1">OFFSET(阴历月pnt,E31+1,0)</f>
        <v>45508</v>
      </c>
      <c r="C30" s="8" t="str">
        <f ca="1">OFFSET(阴历月pnt,E31+1,1)</f>
        <v>七月</v>
      </c>
      <c r="D30" s="5">
        <f ca="1">FIND(LEFT(RIGHT(C30,2),1),"正二三四五六七八九十仲腊")</f>
        <v>7</v>
      </c>
      <c r="E30" s="6" t="s">
        <v>520</v>
      </c>
      <c r="F30" s="2">
        <f ca="1">IF(OR(Display_Year&gt;2050,Display_Year&lt;1900),月份,OFFSET(阴历本月,MATCH(在查日期,B29:B31)-1,2))</f>
        <v>7</v>
      </c>
      <c r="O30" s="50">
        <f ca="1">IF(O29&gt;=本月天数,"",O29+1)</f>
        <v>29</v>
      </c>
      <c r="AC30" s="160">
        <v>927</v>
      </c>
      <c r="AD30" s="161" t="s">
        <v>521</v>
      </c>
      <c r="AE30" s="162">
        <v>1975</v>
      </c>
      <c r="AH30" s="163" t="s">
        <v>98</v>
      </c>
      <c r="AJ30" s="163">
        <v>1928</v>
      </c>
      <c r="AN30" s="35">
        <v>829</v>
      </c>
      <c r="AO30" s="4" t="s">
        <v>105</v>
      </c>
      <c r="AP30" s="164" t="s">
        <v>522</v>
      </c>
      <c r="AR30" s="174">
        <v>820</v>
      </c>
      <c r="AS30" s="174">
        <v>824</v>
      </c>
      <c r="AT30" s="163" t="s">
        <v>189</v>
      </c>
      <c r="AU30" s="174" t="s">
        <v>523</v>
      </c>
      <c r="AV30" s="175">
        <v>26</v>
      </c>
      <c r="AW30" s="175">
        <v>5</v>
      </c>
      <c r="AX30" s="175">
        <v>30</v>
      </c>
      <c r="AY30" s="175" t="s">
        <v>353</v>
      </c>
      <c r="AZ30" s="174" t="s">
        <v>351</v>
      </c>
      <c r="BA30" s="174" t="s">
        <v>352</v>
      </c>
    </row>
    <row r="31" spans="1:53" x14ac:dyDescent="0.1">
      <c r="A31" s="6" t="s">
        <v>553</v>
      </c>
      <c r="B31" s="177">
        <f ca="1">OFFSET(阴历月pnt,E31+2,0)</f>
        <v>45538</v>
      </c>
      <c r="C31" s="8" t="str">
        <f ca="1">OFFSET(阴历月pnt,E31+2,1)</f>
        <v>八月</v>
      </c>
      <c r="D31" s="5">
        <f ca="1">FIND(LEFT(RIGHT(C31,2),1),"正二三四五六七八九十仲腊")</f>
        <v>8</v>
      </c>
      <c r="E31" s="9">
        <f ca="1">MATCH(DATE(F31,月份,1),AN2:AN1873)</f>
        <v>1541</v>
      </c>
      <c r="F31" s="2">
        <f ca="1">IF(OR(Display_Year&gt;2050,Display_Year&lt;1900),MOD(Display_Year,76)+1900,年份)</f>
        <v>2024</v>
      </c>
      <c r="O31" s="50">
        <f ca="1">IF(O30&gt;=本月天数,"",O30+1)</f>
        <v>30</v>
      </c>
      <c r="AC31" s="160">
        <v>1001</v>
      </c>
      <c r="AD31" s="161" t="s">
        <v>61</v>
      </c>
      <c r="AE31" s="162">
        <v>1949</v>
      </c>
      <c r="AH31" s="163" t="s">
        <v>99</v>
      </c>
      <c r="AJ31" s="163">
        <v>1929</v>
      </c>
      <c r="AN31" s="35">
        <v>859</v>
      </c>
      <c r="AO31" s="4" t="s">
        <v>106</v>
      </c>
      <c r="AP31" s="164" t="s">
        <v>524</v>
      </c>
      <c r="AR31" s="174">
        <v>824</v>
      </c>
      <c r="AS31" s="174">
        <v>827</v>
      </c>
      <c r="AT31" s="163" t="s">
        <v>189</v>
      </c>
      <c r="AU31" s="174" t="s">
        <v>525</v>
      </c>
      <c r="AV31" s="175">
        <v>16</v>
      </c>
      <c r="AW31" s="175">
        <v>3</v>
      </c>
      <c r="AX31" s="175">
        <v>18</v>
      </c>
      <c r="AY31" s="175" t="s">
        <v>356</v>
      </c>
      <c r="AZ31" s="174" t="s">
        <v>354</v>
      </c>
      <c r="BA31" s="174" t="s">
        <v>355</v>
      </c>
    </row>
    <row r="32" spans="1:53" x14ac:dyDescent="0.1">
      <c r="A32" s="6" t="s">
        <v>526</v>
      </c>
      <c r="B32" s="9" t="b">
        <v>0</v>
      </c>
      <c r="O32" s="50">
        <f ca="1">IF(O31&gt;=本月天数,"",O31+1)</f>
        <v>31</v>
      </c>
      <c r="AC32" s="160">
        <v>1009</v>
      </c>
      <c r="AD32" s="161" t="s">
        <v>527</v>
      </c>
      <c r="AE32" s="162">
        <v>1969</v>
      </c>
      <c r="AJ32" s="163">
        <v>1930</v>
      </c>
      <c r="AN32" s="35">
        <v>888</v>
      </c>
      <c r="AO32" s="4" t="s">
        <v>107</v>
      </c>
      <c r="AP32" s="164" t="s">
        <v>528</v>
      </c>
      <c r="AR32" s="174">
        <v>827</v>
      </c>
      <c r="AS32" s="174">
        <v>840</v>
      </c>
      <c r="AT32" s="163" t="s">
        <v>189</v>
      </c>
      <c r="AU32" s="174" t="s">
        <v>529</v>
      </c>
      <c r="AV32" s="175">
        <v>19</v>
      </c>
      <c r="AW32" s="175">
        <v>14</v>
      </c>
      <c r="AX32" s="175">
        <v>32</v>
      </c>
      <c r="AY32" s="175" t="s">
        <v>359</v>
      </c>
      <c r="AZ32" s="174" t="s">
        <v>357</v>
      </c>
      <c r="BA32" s="174" t="s">
        <v>358</v>
      </c>
    </row>
    <row r="33" spans="1:53" x14ac:dyDescent="0.1">
      <c r="A33" s="6" t="s">
        <v>530</v>
      </c>
      <c r="B33" s="9" t="b">
        <v>1</v>
      </c>
      <c r="O33" s="51" t="str">
        <f ca="1">"Data!O2:O"&amp; (COUNT(O2:O32)+1)</f>
        <v>Data!O2:O32</v>
      </c>
      <c r="AC33" s="160">
        <v>1101</v>
      </c>
      <c r="AD33" s="161" t="s">
        <v>101</v>
      </c>
      <c r="AE33" s="162">
        <v>0</v>
      </c>
      <c r="AJ33" s="163">
        <v>1931</v>
      </c>
      <c r="AN33" s="35">
        <v>917</v>
      </c>
      <c r="AO33" s="4" t="s">
        <v>108</v>
      </c>
      <c r="AP33" s="164" t="s">
        <v>531</v>
      </c>
      <c r="AR33" s="174">
        <v>840</v>
      </c>
      <c r="AS33" s="174">
        <v>846</v>
      </c>
      <c r="AT33" s="163" t="s">
        <v>189</v>
      </c>
      <c r="AU33" s="174" t="s">
        <v>532</v>
      </c>
      <c r="AV33" s="175">
        <v>27</v>
      </c>
      <c r="AW33" s="175">
        <v>7</v>
      </c>
      <c r="AX33" s="175">
        <v>33</v>
      </c>
      <c r="AY33" s="175" t="s">
        <v>362</v>
      </c>
      <c r="AZ33" s="174" t="s">
        <v>360</v>
      </c>
      <c r="BA33" s="174" t="s">
        <v>361</v>
      </c>
    </row>
    <row r="34" spans="1:53" x14ac:dyDescent="0.1">
      <c r="A34" s="6" t="s">
        <v>852</v>
      </c>
      <c r="B34" s="9">
        <f ca="1">IF(查询状态,IF(Mirror!B2&lt;=1899,Mirror!B2+7600,Mirror!B2),年)</f>
        <v>2024</v>
      </c>
      <c r="AC34" s="160">
        <v>1206</v>
      </c>
      <c r="AD34" s="161" t="s">
        <v>533</v>
      </c>
      <c r="AE34" s="162">
        <v>0</v>
      </c>
      <c r="AJ34" s="163">
        <v>1932</v>
      </c>
      <c r="AN34" s="35">
        <v>947</v>
      </c>
      <c r="AO34" s="4" t="s">
        <v>109</v>
      </c>
      <c r="AP34" s="164" t="s">
        <v>120</v>
      </c>
      <c r="AR34" s="174">
        <v>846</v>
      </c>
      <c r="AS34" s="174">
        <v>859</v>
      </c>
      <c r="AT34" s="163" t="s">
        <v>189</v>
      </c>
      <c r="AU34" s="174" t="s">
        <v>534</v>
      </c>
      <c r="AV34" s="175">
        <v>37</v>
      </c>
      <c r="AW34" s="175">
        <v>14</v>
      </c>
      <c r="AX34" s="175">
        <v>50</v>
      </c>
      <c r="AY34" s="175" t="s">
        <v>365</v>
      </c>
      <c r="AZ34" s="174" t="s">
        <v>363</v>
      </c>
      <c r="BA34" s="174" t="s">
        <v>364</v>
      </c>
    </row>
    <row r="35" spans="1:53" x14ac:dyDescent="0.1">
      <c r="A35" s="6" t="s">
        <v>853</v>
      </c>
      <c r="B35" s="9">
        <f ca="1">IF(查询状态,Mirror!E2,月)</f>
        <v>8</v>
      </c>
      <c r="AC35" s="160">
        <v>1225</v>
      </c>
      <c r="AD35" s="161" t="s">
        <v>102</v>
      </c>
      <c r="AE35" s="162">
        <v>0</v>
      </c>
      <c r="AJ35" s="163">
        <v>1933</v>
      </c>
      <c r="AN35" s="35">
        <v>976</v>
      </c>
      <c r="AO35" s="4" t="s">
        <v>110</v>
      </c>
      <c r="AP35" s="164" t="s">
        <v>121</v>
      </c>
      <c r="AR35" s="174">
        <v>859</v>
      </c>
      <c r="AS35" s="174">
        <v>873</v>
      </c>
      <c r="AT35" s="163" t="s">
        <v>189</v>
      </c>
      <c r="AU35" s="174" t="s">
        <v>535</v>
      </c>
      <c r="AV35" s="175">
        <v>27</v>
      </c>
      <c r="AW35" s="175">
        <v>15</v>
      </c>
      <c r="AX35" s="175">
        <v>41</v>
      </c>
      <c r="AY35" s="175" t="s">
        <v>368</v>
      </c>
      <c r="AZ35" s="174" t="s">
        <v>366</v>
      </c>
      <c r="BA35" s="174" t="s">
        <v>367</v>
      </c>
    </row>
    <row r="36" spans="1:53" x14ac:dyDescent="0.1">
      <c r="A36" s="6" t="s">
        <v>854</v>
      </c>
      <c r="B36" s="9">
        <f ca="1">IF(查询状态,Mirror!G2,日)+DAY(1)</f>
        <v>28</v>
      </c>
      <c r="AD36" s="7" t="s">
        <v>536</v>
      </c>
      <c r="AE36" s="22">
        <v>1914</v>
      </c>
      <c r="AJ36" s="163">
        <v>1934</v>
      </c>
      <c r="AN36" s="35">
        <v>1006</v>
      </c>
      <c r="AO36" s="4" t="s">
        <v>111</v>
      </c>
      <c r="AP36" s="164" t="s">
        <v>122</v>
      </c>
      <c r="AR36" s="174">
        <v>873</v>
      </c>
      <c r="AS36" s="174">
        <v>888</v>
      </c>
      <c r="AT36" s="163" t="s">
        <v>189</v>
      </c>
      <c r="AU36" s="174" t="s">
        <v>537</v>
      </c>
      <c r="AV36" s="175">
        <v>12</v>
      </c>
      <c r="AW36" s="175">
        <v>16</v>
      </c>
      <c r="AX36" s="175">
        <v>37</v>
      </c>
      <c r="AY36" s="175" t="s">
        <v>371</v>
      </c>
      <c r="AZ36" s="174" t="s">
        <v>369</v>
      </c>
      <c r="BA36" s="174" t="s">
        <v>370</v>
      </c>
    </row>
    <row r="37" spans="1:53" x14ac:dyDescent="0.1">
      <c r="A37" s="6" t="s">
        <v>855</v>
      </c>
      <c r="B37" s="9">
        <f ca="1">IF(查询状态,阴历下下月,时)</f>
        <v>45538</v>
      </c>
      <c r="AC37" s="21">
        <v>37045</v>
      </c>
      <c r="AD37" s="7" t="s">
        <v>538</v>
      </c>
      <c r="AE37" s="22">
        <v>1912</v>
      </c>
      <c r="AJ37" s="163">
        <v>1935</v>
      </c>
      <c r="AN37" s="35">
        <v>1035</v>
      </c>
      <c r="AO37" s="4" t="s">
        <v>112</v>
      </c>
      <c r="AP37" s="164" t="s">
        <v>123</v>
      </c>
      <c r="AR37" s="174">
        <v>888</v>
      </c>
      <c r="AS37" s="174">
        <v>904</v>
      </c>
      <c r="AT37" s="163" t="s">
        <v>189</v>
      </c>
      <c r="AU37" s="174" t="s">
        <v>539</v>
      </c>
      <c r="AV37" s="175">
        <v>21</v>
      </c>
      <c r="AW37" s="175">
        <v>17</v>
      </c>
      <c r="AX37" s="175">
        <v>38</v>
      </c>
      <c r="AY37" s="175" t="s">
        <v>374</v>
      </c>
      <c r="AZ37" s="174" t="s">
        <v>372</v>
      </c>
      <c r="BA37" s="174" t="s">
        <v>373</v>
      </c>
    </row>
    <row r="38" spans="1:53" x14ac:dyDescent="0.1">
      <c r="A38" s="6" t="s">
        <v>540</v>
      </c>
      <c r="B38" s="34">
        <f ca="1">DATE(年份,月份,在查日)</f>
        <v>45532</v>
      </c>
      <c r="C38" s="34">
        <f ca="1">DATE(F31,月份,在查日)</f>
        <v>45532</v>
      </c>
      <c r="AJ38" s="163">
        <v>1936</v>
      </c>
      <c r="AN38" s="35">
        <v>1065</v>
      </c>
      <c r="AO38" s="4" t="s">
        <v>379</v>
      </c>
      <c r="AP38" s="164" t="s">
        <v>124</v>
      </c>
      <c r="AR38" s="174">
        <v>904</v>
      </c>
      <c r="AS38" s="174">
        <v>907</v>
      </c>
      <c r="AT38" s="163" t="s">
        <v>189</v>
      </c>
      <c r="AU38" s="175" t="s">
        <v>375</v>
      </c>
      <c r="AV38" s="175">
        <v>13</v>
      </c>
      <c r="AW38" s="175">
        <v>4</v>
      </c>
      <c r="AX38" s="175">
        <v>17</v>
      </c>
      <c r="AY38" s="175" t="s">
        <v>378</v>
      </c>
      <c r="AZ38" s="174" t="s">
        <v>376</v>
      </c>
      <c r="BA38" s="174" t="s">
        <v>377</v>
      </c>
    </row>
    <row r="39" spans="1:53" x14ac:dyDescent="0.1">
      <c r="A39" s="6" t="s">
        <v>541</v>
      </c>
      <c r="B39" s="9" t="str">
        <f>IF(ISERROR(#REF!*1),"年","")</f>
        <v>年</v>
      </c>
      <c r="AJ39" s="163">
        <v>1937</v>
      </c>
      <c r="AN39" s="35">
        <v>1095</v>
      </c>
      <c r="AO39" s="4" t="s">
        <v>113</v>
      </c>
      <c r="AP39" s="164" t="s">
        <v>125</v>
      </c>
      <c r="AR39" s="163">
        <v>907</v>
      </c>
      <c r="AS39" s="165">
        <v>960</v>
      </c>
      <c r="AT39" s="163" t="s">
        <v>190</v>
      </c>
      <c r="AU39" s="166" t="s">
        <v>310</v>
      </c>
      <c r="AV39" s="163"/>
      <c r="AW39" s="163"/>
      <c r="AX39" s="167"/>
      <c r="AY39" s="168"/>
      <c r="AZ39" s="168"/>
      <c r="BA39" s="168"/>
    </row>
    <row r="40" spans="1:53" x14ac:dyDescent="0.1">
      <c r="A40" s="6" t="s">
        <v>541</v>
      </c>
      <c r="B40" s="9" t="str">
        <f>IF(ISERROR(#REF!*1),"月","")</f>
        <v>月</v>
      </c>
      <c r="AJ40" s="163">
        <v>1938</v>
      </c>
      <c r="AN40" s="35">
        <v>1125</v>
      </c>
      <c r="AO40" s="4" t="s">
        <v>100</v>
      </c>
      <c r="AP40" s="164" t="s">
        <v>126</v>
      </c>
      <c r="AR40" s="163">
        <v>960</v>
      </c>
      <c r="AS40" s="165">
        <v>1127</v>
      </c>
      <c r="AT40" s="163" t="s">
        <v>191</v>
      </c>
      <c r="AU40" s="166" t="s">
        <v>310</v>
      </c>
      <c r="AV40" s="163"/>
      <c r="AW40" s="163"/>
      <c r="AX40" s="167" t="s">
        <v>192</v>
      </c>
      <c r="AY40" s="168" t="s">
        <v>193</v>
      </c>
      <c r="AZ40" s="168"/>
      <c r="BA40" s="168"/>
    </row>
    <row r="41" spans="1:53" x14ac:dyDescent="0.1">
      <c r="A41" s="6" t="s">
        <v>542</v>
      </c>
      <c r="B41" s="9" t="str">
        <f ca="1">IF(C38&lt;阴历下月,C29,C30)&amp;OFFSET(阴历初Start,C41,0)</f>
        <v>七月廿五</v>
      </c>
      <c r="C41" s="6">
        <f ca="1">IF(C38-阴历下月&gt;=0,C38-阴历下月,C38-阴历本月)</f>
        <v>24</v>
      </c>
      <c r="AJ41" s="163">
        <v>1939</v>
      </c>
      <c r="AN41" s="35">
        <v>1154</v>
      </c>
      <c r="AO41" s="4" t="s">
        <v>104</v>
      </c>
      <c r="AP41" s="164" t="s">
        <v>127</v>
      </c>
      <c r="AR41" s="163">
        <v>1127</v>
      </c>
      <c r="AS41" s="165">
        <v>1279</v>
      </c>
      <c r="AT41" s="163" t="s">
        <v>194</v>
      </c>
      <c r="AU41" s="166" t="s">
        <v>310</v>
      </c>
      <c r="AV41" s="163"/>
      <c r="AW41" s="163"/>
      <c r="AX41" s="167" t="s">
        <v>195</v>
      </c>
      <c r="AY41" s="168" t="s">
        <v>196</v>
      </c>
      <c r="AZ41" s="168"/>
      <c r="BA41" s="168"/>
    </row>
    <row r="42" spans="1:53" x14ac:dyDescent="0.1">
      <c r="A42" s="6" t="s">
        <v>543</v>
      </c>
      <c r="B42" s="14">
        <f ca="1">IF(查询状态,IF(Mirror!B2&lt;=1899,年份-7600,年份),年份)</f>
        <v>2024</v>
      </c>
      <c r="AJ42" s="163">
        <v>1940</v>
      </c>
      <c r="AN42" s="35">
        <v>1184</v>
      </c>
      <c r="AO42" s="4" t="s">
        <v>105</v>
      </c>
      <c r="AP42" s="164" t="s">
        <v>128</v>
      </c>
      <c r="AR42" s="163">
        <v>916</v>
      </c>
      <c r="AS42" s="165">
        <v>1125</v>
      </c>
      <c r="AT42" s="163" t="s">
        <v>197</v>
      </c>
      <c r="AU42" s="166" t="s">
        <v>310</v>
      </c>
      <c r="AV42" s="163"/>
      <c r="AW42" s="163"/>
      <c r="AX42" s="167" t="s">
        <v>198</v>
      </c>
      <c r="AY42" s="168" t="s">
        <v>199</v>
      </c>
      <c r="AZ42" s="168"/>
      <c r="BA42" s="168"/>
    </row>
    <row r="43" spans="1:53" x14ac:dyDescent="0.1">
      <c r="A43" s="52" t="s">
        <v>544</v>
      </c>
      <c r="B43" s="178" t="str">
        <f ca="1">IF(ISERROR(B44),"",B44)</f>
        <v/>
      </c>
      <c r="C43" s="53">
        <f ca="1">MATCH(Display_Year,AR2:AR78,1)</f>
        <v>72</v>
      </c>
      <c r="D43" s="54">
        <f ca="1">OFFSET(朝代起年,C43,0)</f>
        <v>1949</v>
      </c>
      <c r="AJ43" s="163">
        <v>1941</v>
      </c>
      <c r="AN43" s="35">
        <v>1213</v>
      </c>
      <c r="AO43" s="4" t="s">
        <v>106</v>
      </c>
      <c r="AP43" s="164" t="s">
        <v>129</v>
      </c>
      <c r="AR43" s="163">
        <v>1038</v>
      </c>
      <c r="AS43" s="165">
        <v>1227</v>
      </c>
      <c r="AT43" s="163" t="s">
        <v>200</v>
      </c>
      <c r="AU43" s="166" t="s">
        <v>310</v>
      </c>
      <c r="AV43" s="163"/>
      <c r="AW43" s="163"/>
      <c r="AX43" s="167" t="s">
        <v>201</v>
      </c>
      <c r="AY43" s="168" t="s">
        <v>202</v>
      </c>
      <c r="AZ43" s="168"/>
      <c r="BA43" s="168"/>
    </row>
    <row r="44" spans="1:53" x14ac:dyDescent="0.1">
      <c r="A44" s="55" t="s">
        <v>545</v>
      </c>
      <c r="B44" s="5" t="str">
        <f ca="1">IF(Display_Year&gt;=1949,"",OFFSET(朝代起年,C43,2)&amp;" "&amp;OFFSET(朝代起年,C43,3)&amp;" "&amp;IF(Display_Year=D43,"元",Display_Year-D43)&amp;" 年 ")</f>
        <v/>
      </c>
      <c r="D44" s="56"/>
      <c r="AJ44" s="163">
        <v>1942</v>
      </c>
      <c r="AN44" s="35">
        <v>1243</v>
      </c>
      <c r="AO44" s="4" t="s">
        <v>107</v>
      </c>
      <c r="AP44" s="164" t="s">
        <v>130</v>
      </c>
      <c r="AR44" s="163">
        <v>1115</v>
      </c>
      <c r="AS44" s="165">
        <v>1234</v>
      </c>
      <c r="AT44" s="163" t="s">
        <v>203</v>
      </c>
      <c r="AU44" s="166" t="s">
        <v>310</v>
      </c>
      <c r="AV44" s="163"/>
      <c r="AW44" s="163"/>
      <c r="AX44" s="167" t="s">
        <v>204</v>
      </c>
      <c r="AY44" s="168" t="s">
        <v>205</v>
      </c>
      <c r="AZ44" s="168"/>
      <c r="BA44" s="168"/>
    </row>
    <row r="45" spans="1:53" x14ac:dyDescent="0.1">
      <c r="A45" s="55" t="s">
        <v>546</v>
      </c>
      <c r="B45" s="9" t="str">
        <f ca="1">IF(AND(Mirror!B2&gt;=1900,年号&lt;&gt;""),年号,"公元 "&amp;Display_Year&amp;" 年 ")&amp;月份&amp;" 月 "&amp;在查日&amp;" 日 "</f>
        <v xml:space="preserve">公元 2024 年 8 月 28 日 </v>
      </c>
      <c r="C45" s="15"/>
      <c r="D45" s="58"/>
      <c r="AJ45" s="163">
        <v>1943</v>
      </c>
      <c r="AN45" s="35">
        <v>1272</v>
      </c>
      <c r="AO45" s="4" t="s">
        <v>142</v>
      </c>
      <c r="AP45" s="164" t="s">
        <v>131</v>
      </c>
      <c r="AR45" s="163">
        <v>1271</v>
      </c>
      <c r="AS45" s="165">
        <v>1368</v>
      </c>
      <c r="AT45" s="163" t="s">
        <v>206</v>
      </c>
      <c r="AU45" s="166" t="s">
        <v>310</v>
      </c>
      <c r="AV45" s="163"/>
      <c r="AW45" s="163"/>
      <c r="AX45" s="167" t="s">
        <v>207</v>
      </c>
      <c r="AY45" s="168" t="s">
        <v>208</v>
      </c>
      <c r="AZ45" s="168"/>
      <c r="BA45" s="168"/>
    </row>
    <row r="46" spans="1:53" ht="12.75" x14ac:dyDescent="0.1">
      <c r="A46" s="52" t="s">
        <v>554</v>
      </c>
      <c r="B46" s="179" t="str">
        <f ca="1">OFFSET(节气名称,月份*2-1,0)</f>
        <v>立秋</v>
      </c>
      <c r="C46" s="180">
        <f ca="1">DAY(OFFSET(节气名称,月份*2-1,3))</f>
        <v>7</v>
      </c>
      <c r="D46" s="6"/>
      <c r="AJ46" s="163">
        <v>1944</v>
      </c>
      <c r="AN46" s="35">
        <v>1301</v>
      </c>
      <c r="AO46" s="4" t="s">
        <v>108</v>
      </c>
      <c r="AP46" s="164" t="s">
        <v>380</v>
      </c>
      <c r="AR46" s="181">
        <v>1368</v>
      </c>
      <c r="AS46" s="181">
        <v>1398</v>
      </c>
      <c r="AT46" s="163" t="s">
        <v>209</v>
      </c>
      <c r="AU46" s="182" t="s">
        <v>219</v>
      </c>
      <c r="AV46" s="182">
        <v>41</v>
      </c>
      <c r="AW46" s="182">
        <v>31</v>
      </c>
      <c r="AX46" s="175">
        <v>71</v>
      </c>
      <c r="AY46" s="175" t="s">
        <v>220</v>
      </c>
      <c r="AZ46" s="175" t="s">
        <v>221</v>
      </c>
      <c r="BA46" s="175" t="s">
        <v>222</v>
      </c>
    </row>
    <row r="47" spans="1:53" ht="14.25" x14ac:dyDescent="0.1">
      <c r="A47" s="57" t="s">
        <v>555</v>
      </c>
      <c r="B47" s="170" t="str">
        <f ca="1">OFFSET(节气名称,月份*2,0)</f>
        <v>处暑</v>
      </c>
      <c r="C47" s="183">
        <f ca="1">DAY(OFFSET(节气名称,月份*2,3))</f>
        <v>22</v>
      </c>
      <c r="D47" s="6"/>
      <c r="AJ47" s="163">
        <v>1945</v>
      </c>
      <c r="AN47" s="35">
        <v>1331</v>
      </c>
      <c r="AO47" s="4" t="s">
        <v>109</v>
      </c>
      <c r="AP47" s="164" t="s">
        <v>132</v>
      </c>
      <c r="AR47" s="181">
        <v>1398</v>
      </c>
      <c r="AS47" s="181">
        <f>AS46+AX47</f>
        <v>1398</v>
      </c>
      <c r="AT47" s="163" t="s">
        <v>209</v>
      </c>
      <c r="AU47" s="182" t="s">
        <v>223</v>
      </c>
      <c r="AV47" s="182">
        <v>22</v>
      </c>
      <c r="AW47" s="182">
        <v>4</v>
      </c>
      <c r="AX47" s="175"/>
      <c r="AY47" s="175" t="s">
        <v>224</v>
      </c>
      <c r="AZ47" s="175" t="s">
        <v>225</v>
      </c>
      <c r="BA47" s="175"/>
    </row>
    <row r="48" spans="1:53" x14ac:dyDescent="0.1">
      <c r="A48" s="15"/>
      <c r="B48" s="5"/>
      <c r="C48" s="5"/>
      <c r="D48" s="8"/>
      <c r="E48" s="15"/>
      <c r="AJ48" s="163">
        <v>1946</v>
      </c>
      <c r="AN48" s="35">
        <v>1360</v>
      </c>
      <c r="AO48" s="4" t="s">
        <v>110</v>
      </c>
      <c r="AP48" s="164" t="s">
        <v>133</v>
      </c>
      <c r="AR48" s="181">
        <f>AR47+AW47</f>
        <v>1402</v>
      </c>
      <c r="AS48" s="181">
        <v>1424</v>
      </c>
      <c r="AT48" s="163" t="s">
        <v>209</v>
      </c>
      <c r="AU48" s="182" t="s">
        <v>226</v>
      </c>
      <c r="AV48" s="182">
        <v>43</v>
      </c>
      <c r="AW48" s="182">
        <v>22</v>
      </c>
      <c r="AX48" s="175">
        <v>65</v>
      </c>
      <c r="AY48" s="175" t="s">
        <v>227</v>
      </c>
      <c r="AZ48" s="175" t="s">
        <v>228</v>
      </c>
      <c r="BA48" s="175" t="s">
        <v>229</v>
      </c>
    </row>
    <row r="49" spans="36:53" x14ac:dyDescent="0.1">
      <c r="AJ49" s="163">
        <v>1947</v>
      </c>
      <c r="AN49" s="35">
        <v>1389</v>
      </c>
      <c r="AO49" s="4" t="s">
        <v>111</v>
      </c>
      <c r="AP49" s="164" t="s">
        <v>134</v>
      </c>
      <c r="AR49" s="181">
        <v>1424</v>
      </c>
      <c r="AS49" s="181">
        <v>1425</v>
      </c>
      <c r="AT49" s="163" t="s">
        <v>209</v>
      </c>
      <c r="AU49" s="182" t="s">
        <v>230</v>
      </c>
      <c r="AV49" s="182">
        <v>47</v>
      </c>
      <c r="AW49" s="182">
        <v>1</v>
      </c>
      <c r="AX49" s="175">
        <v>48</v>
      </c>
      <c r="AY49" s="175" t="s">
        <v>231</v>
      </c>
      <c r="AZ49" s="175" t="s">
        <v>232</v>
      </c>
      <c r="BA49" s="175" t="s">
        <v>233</v>
      </c>
    </row>
    <row r="50" spans="36:53" x14ac:dyDescent="0.1">
      <c r="AJ50" s="163">
        <v>1948</v>
      </c>
      <c r="AN50" s="35">
        <v>1419</v>
      </c>
      <c r="AO50" s="4" t="s">
        <v>112</v>
      </c>
      <c r="AP50" s="164" t="s">
        <v>135</v>
      </c>
      <c r="AR50" s="181">
        <v>1425</v>
      </c>
      <c r="AS50" s="181">
        <v>1435</v>
      </c>
      <c r="AT50" s="163" t="s">
        <v>209</v>
      </c>
      <c r="AU50" s="182" t="s">
        <v>234</v>
      </c>
      <c r="AV50" s="182">
        <v>28</v>
      </c>
      <c r="AW50" s="182">
        <v>10</v>
      </c>
      <c r="AX50" s="175">
        <v>38</v>
      </c>
      <c r="AY50" s="175" t="s">
        <v>235</v>
      </c>
      <c r="AZ50" s="175" t="s">
        <v>236</v>
      </c>
      <c r="BA50" s="175" t="s">
        <v>237</v>
      </c>
    </row>
    <row r="51" spans="36:53" x14ac:dyDescent="0.1">
      <c r="AJ51" s="163">
        <v>1949</v>
      </c>
      <c r="AN51" s="35">
        <v>1449</v>
      </c>
      <c r="AO51" s="4" t="s">
        <v>379</v>
      </c>
      <c r="AR51" s="181">
        <v>1435</v>
      </c>
      <c r="AS51" s="181">
        <v>1450</v>
      </c>
      <c r="AT51" s="163" t="s">
        <v>209</v>
      </c>
      <c r="AU51" s="182" t="s">
        <v>238</v>
      </c>
      <c r="AV51" s="182">
        <v>9</v>
      </c>
      <c r="AW51" s="182">
        <v>14</v>
      </c>
      <c r="AX51" s="175"/>
      <c r="AY51" s="175" t="s">
        <v>239</v>
      </c>
      <c r="AZ51" s="175" t="s">
        <v>240</v>
      </c>
      <c r="BA51" s="175" t="s">
        <v>241</v>
      </c>
    </row>
    <row r="52" spans="36:53" x14ac:dyDescent="0.1">
      <c r="AJ52" s="163">
        <v>1950</v>
      </c>
      <c r="AN52" s="35">
        <v>1478</v>
      </c>
      <c r="AO52" s="4" t="s">
        <v>113</v>
      </c>
      <c r="AR52" s="181">
        <v>1450</v>
      </c>
      <c r="AS52" s="181">
        <v>1457</v>
      </c>
      <c r="AT52" s="163" t="s">
        <v>209</v>
      </c>
      <c r="AU52" s="182" t="s">
        <v>242</v>
      </c>
      <c r="AV52" s="182">
        <v>22</v>
      </c>
      <c r="AW52" s="182">
        <v>8</v>
      </c>
      <c r="AX52" s="175">
        <v>30</v>
      </c>
      <c r="AY52" s="175" t="s">
        <v>243</v>
      </c>
      <c r="AZ52" s="175" t="s">
        <v>244</v>
      </c>
      <c r="BA52" s="175" t="s">
        <v>245</v>
      </c>
    </row>
    <row r="53" spans="36:53" x14ac:dyDescent="0.1">
      <c r="AJ53" s="163">
        <v>1951</v>
      </c>
      <c r="AN53" s="35">
        <v>1508</v>
      </c>
      <c r="AO53" s="4" t="s">
        <v>100</v>
      </c>
      <c r="AR53" s="181">
        <v>1457</v>
      </c>
      <c r="AS53" s="181">
        <v>1564</v>
      </c>
      <c r="AT53" s="163" t="s">
        <v>209</v>
      </c>
      <c r="AU53" s="182" t="s">
        <v>246</v>
      </c>
      <c r="AV53" s="182">
        <v>31</v>
      </c>
      <c r="AW53" s="182">
        <v>8</v>
      </c>
      <c r="AX53" s="175">
        <v>38</v>
      </c>
      <c r="AY53" s="175" t="s">
        <v>239</v>
      </c>
      <c r="AZ53" s="175"/>
      <c r="BA53" s="175" t="s">
        <v>241</v>
      </c>
    </row>
    <row r="54" spans="36:53" x14ac:dyDescent="0.1">
      <c r="AJ54" s="163">
        <v>1952</v>
      </c>
      <c r="AN54" s="35">
        <v>1538</v>
      </c>
      <c r="AO54" s="4" t="s">
        <v>104</v>
      </c>
      <c r="AR54" s="181">
        <v>1564</v>
      </c>
      <c r="AS54" s="181">
        <v>1487</v>
      </c>
      <c r="AT54" s="163" t="s">
        <v>209</v>
      </c>
      <c r="AU54" s="182" t="s">
        <v>247</v>
      </c>
      <c r="AV54" s="182">
        <v>18</v>
      </c>
      <c r="AW54" s="182">
        <v>23</v>
      </c>
      <c r="AX54" s="175">
        <v>41</v>
      </c>
      <c r="AY54" s="175" t="s">
        <v>248</v>
      </c>
      <c r="AZ54" s="175" t="s">
        <v>249</v>
      </c>
      <c r="BA54" s="175" t="s">
        <v>250</v>
      </c>
    </row>
    <row r="55" spans="36:53" x14ac:dyDescent="0.1">
      <c r="AJ55" s="163">
        <v>1953</v>
      </c>
      <c r="AN55" s="35">
        <v>1568</v>
      </c>
      <c r="AO55" s="4" t="s">
        <v>105</v>
      </c>
      <c r="AR55" s="181">
        <v>1487</v>
      </c>
      <c r="AS55" s="181">
        <v>1505</v>
      </c>
      <c r="AT55" s="163" t="s">
        <v>209</v>
      </c>
      <c r="AU55" s="182" t="s">
        <v>251</v>
      </c>
      <c r="AV55" s="182">
        <v>18</v>
      </c>
      <c r="AW55" s="182">
        <v>18</v>
      </c>
      <c r="AX55" s="175">
        <v>36</v>
      </c>
      <c r="AY55" s="175" t="s">
        <v>252</v>
      </c>
      <c r="AZ55" s="175" t="s">
        <v>253</v>
      </c>
      <c r="BA55" s="175" t="s">
        <v>254</v>
      </c>
    </row>
    <row r="56" spans="36:53" x14ac:dyDescent="0.1">
      <c r="AJ56" s="163">
        <v>1954</v>
      </c>
      <c r="AN56" s="35">
        <v>1597</v>
      </c>
      <c r="AO56" s="4" t="s">
        <v>106</v>
      </c>
      <c r="AR56" s="181">
        <v>1505</v>
      </c>
      <c r="AS56" s="181">
        <v>1521</v>
      </c>
      <c r="AT56" s="163" t="s">
        <v>209</v>
      </c>
      <c r="AU56" s="182" t="s">
        <v>255</v>
      </c>
      <c r="AV56" s="182">
        <v>15</v>
      </c>
      <c r="AW56" s="182">
        <v>16</v>
      </c>
      <c r="AX56" s="175">
        <v>31</v>
      </c>
      <c r="AY56" s="175" t="s">
        <v>256</v>
      </c>
      <c r="AZ56" s="175" t="s">
        <v>257</v>
      </c>
      <c r="BA56" s="175" t="s">
        <v>258</v>
      </c>
    </row>
    <row r="57" spans="36:53" x14ac:dyDescent="0.1">
      <c r="AJ57" s="163">
        <v>1955</v>
      </c>
      <c r="AN57" s="35">
        <v>1627</v>
      </c>
      <c r="AO57" s="4" t="s">
        <v>107</v>
      </c>
      <c r="AR57" s="181">
        <v>1521</v>
      </c>
      <c r="AS57" s="181">
        <v>1567</v>
      </c>
      <c r="AT57" s="163" t="s">
        <v>209</v>
      </c>
      <c r="AU57" s="182" t="s">
        <v>259</v>
      </c>
      <c r="AV57" s="182">
        <v>15</v>
      </c>
      <c r="AW57" s="182">
        <v>45</v>
      </c>
      <c r="AX57" s="175">
        <v>60</v>
      </c>
      <c r="AY57" s="175" t="s">
        <v>260</v>
      </c>
      <c r="AZ57" s="175" t="s">
        <v>261</v>
      </c>
      <c r="BA57" s="175" t="s">
        <v>262</v>
      </c>
    </row>
    <row r="58" spans="36:53" x14ac:dyDescent="0.1">
      <c r="AJ58" s="163">
        <v>1956</v>
      </c>
      <c r="AN58" s="35">
        <v>1656</v>
      </c>
      <c r="AO58" s="4" t="s">
        <v>108</v>
      </c>
      <c r="AR58" s="181">
        <v>1567</v>
      </c>
      <c r="AS58" s="181">
        <v>1572</v>
      </c>
      <c r="AT58" s="163" t="s">
        <v>209</v>
      </c>
      <c r="AU58" s="182" t="s">
        <v>263</v>
      </c>
      <c r="AV58" s="182">
        <v>30</v>
      </c>
      <c r="AW58" s="182">
        <v>6</v>
      </c>
      <c r="AX58" s="175">
        <v>36</v>
      </c>
      <c r="AY58" s="175" t="s">
        <v>264</v>
      </c>
      <c r="AZ58" s="175" t="s">
        <v>265</v>
      </c>
      <c r="BA58" s="175" t="s">
        <v>266</v>
      </c>
    </row>
    <row r="59" spans="36:53" x14ac:dyDescent="0.1">
      <c r="AJ59" s="163">
        <v>1957</v>
      </c>
      <c r="AN59" s="35">
        <v>1685</v>
      </c>
      <c r="AO59" s="4" t="s">
        <v>109</v>
      </c>
      <c r="AR59" s="181">
        <v>1572</v>
      </c>
      <c r="AS59" s="181">
        <v>1620</v>
      </c>
      <c r="AT59" s="163" t="s">
        <v>209</v>
      </c>
      <c r="AU59" s="182" t="s">
        <v>267</v>
      </c>
      <c r="AV59" s="182">
        <v>10</v>
      </c>
      <c r="AW59" s="182">
        <v>48</v>
      </c>
      <c r="AX59" s="175">
        <v>58</v>
      </c>
      <c r="AY59" s="175" t="s">
        <v>268</v>
      </c>
      <c r="AZ59" s="175" t="s">
        <v>269</v>
      </c>
      <c r="BA59" s="175" t="s">
        <v>270</v>
      </c>
    </row>
    <row r="60" spans="36:53" x14ac:dyDescent="0.1">
      <c r="AJ60" s="163">
        <v>1958</v>
      </c>
      <c r="AN60" s="35">
        <v>1715</v>
      </c>
      <c r="AO60" s="4" t="s">
        <v>110</v>
      </c>
      <c r="AR60" s="181">
        <v>1620</v>
      </c>
      <c r="AS60" s="181">
        <v>1627</v>
      </c>
      <c r="AT60" s="163" t="s">
        <v>209</v>
      </c>
      <c r="AU60" s="182" t="s">
        <v>271</v>
      </c>
      <c r="AV60" s="182">
        <v>39</v>
      </c>
      <c r="AW60" s="182" t="s">
        <v>272</v>
      </c>
      <c r="AX60" s="175">
        <v>39</v>
      </c>
      <c r="AY60" s="175" t="s">
        <v>273</v>
      </c>
      <c r="AZ60" s="175" t="s">
        <v>274</v>
      </c>
      <c r="BA60" s="175" t="s">
        <v>275</v>
      </c>
    </row>
    <row r="61" spans="36:53" x14ac:dyDescent="0.1">
      <c r="AJ61" s="163">
        <v>1959</v>
      </c>
      <c r="AN61" s="35">
        <v>1744</v>
      </c>
      <c r="AO61" s="4" t="s">
        <v>111</v>
      </c>
      <c r="AR61" s="181">
        <v>1627</v>
      </c>
      <c r="AS61" s="181">
        <v>1643</v>
      </c>
      <c r="AT61" s="163" t="s">
        <v>209</v>
      </c>
      <c r="AU61" s="182" t="s">
        <v>276</v>
      </c>
      <c r="AV61" s="182">
        <v>18</v>
      </c>
      <c r="AW61" s="182">
        <v>17</v>
      </c>
      <c r="AX61" s="175">
        <v>35</v>
      </c>
      <c r="AY61" s="175" t="s">
        <v>277</v>
      </c>
      <c r="AZ61" s="175" t="s">
        <v>278</v>
      </c>
      <c r="BA61" s="175" t="s">
        <v>279</v>
      </c>
    </row>
    <row r="62" spans="36:53" x14ac:dyDescent="0.1">
      <c r="AJ62" s="163">
        <v>1960</v>
      </c>
      <c r="AN62" s="35">
        <v>1773</v>
      </c>
      <c r="AO62" s="4" t="s">
        <v>112</v>
      </c>
      <c r="AR62" s="181">
        <v>1643</v>
      </c>
      <c r="AS62" s="181">
        <v>1661</v>
      </c>
      <c r="AT62" s="163" t="s">
        <v>210</v>
      </c>
      <c r="AU62" s="182" t="s">
        <v>280</v>
      </c>
      <c r="AV62" s="182">
        <v>6</v>
      </c>
      <c r="AW62" s="182">
        <v>18</v>
      </c>
      <c r="AX62" s="175">
        <v>24</v>
      </c>
      <c r="AY62" s="175" t="s">
        <v>281</v>
      </c>
      <c r="AZ62" s="175" t="s">
        <v>282</v>
      </c>
      <c r="BA62" s="168"/>
    </row>
    <row r="63" spans="36:53" x14ac:dyDescent="0.1">
      <c r="AJ63" s="163">
        <v>1961</v>
      </c>
      <c r="AN63" s="35">
        <v>1803</v>
      </c>
      <c r="AO63" s="4" t="s">
        <v>379</v>
      </c>
      <c r="AR63" s="181">
        <v>1661</v>
      </c>
      <c r="AS63" s="181">
        <v>1722</v>
      </c>
      <c r="AT63" s="163" t="s">
        <v>210</v>
      </c>
      <c r="AU63" s="182" t="s">
        <v>283</v>
      </c>
      <c r="AV63" s="182">
        <v>8</v>
      </c>
      <c r="AW63" s="182">
        <v>61</v>
      </c>
      <c r="AX63" s="175">
        <v>69</v>
      </c>
      <c r="AY63" s="175" t="s">
        <v>284</v>
      </c>
      <c r="AZ63" s="175" t="s">
        <v>285</v>
      </c>
      <c r="BA63" s="168"/>
    </row>
    <row r="64" spans="36:53" x14ac:dyDescent="0.1">
      <c r="AJ64" s="163">
        <v>1962</v>
      </c>
      <c r="AN64" s="35">
        <v>1833</v>
      </c>
      <c r="AO64" s="4" t="s">
        <v>113</v>
      </c>
      <c r="AR64" s="181">
        <v>1722</v>
      </c>
      <c r="AS64" s="181">
        <v>1735</v>
      </c>
      <c r="AT64" s="163" t="s">
        <v>210</v>
      </c>
      <c r="AU64" s="182" t="s">
        <v>286</v>
      </c>
      <c r="AV64" s="182">
        <v>45</v>
      </c>
      <c r="AW64" s="182">
        <v>13</v>
      </c>
      <c r="AX64" s="175">
        <v>58</v>
      </c>
      <c r="AY64" s="175" t="s">
        <v>287</v>
      </c>
      <c r="AZ64" s="175" t="s">
        <v>288</v>
      </c>
      <c r="BA64" s="168"/>
    </row>
    <row r="65" spans="36:53" x14ac:dyDescent="0.1">
      <c r="AJ65" s="163">
        <v>1963</v>
      </c>
      <c r="AN65" s="35">
        <v>1862</v>
      </c>
      <c r="AO65" s="4" t="s">
        <v>100</v>
      </c>
      <c r="AR65" s="181">
        <v>1735</v>
      </c>
      <c r="AS65" s="181">
        <v>1796</v>
      </c>
      <c r="AT65" s="163" t="s">
        <v>210</v>
      </c>
      <c r="AU65" s="182" t="s">
        <v>289</v>
      </c>
      <c r="AV65" s="182">
        <v>25</v>
      </c>
      <c r="AW65" s="182">
        <v>60</v>
      </c>
      <c r="AX65" s="175">
        <v>89</v>
      </c>
      <c r="AY65" s="175" t="s">
        <v>290</v>
      </c>
      <c r="AZ65" s="175" t="s">
        <v>291</v>
      </c>
      <c r="BA65" s="168"/>
    </row>
    <row r="66" spans="36:53" x14ac:dyDescent="0.1">
      <c r="AJ66" s="163">
        <v>1964</v>
      </c>
      <c r="AN66" s="35">
        <v>1892</v>
      </c>
      <c r="AO66" s="4" t="s">
        <v>104</v>
      </c>
      <c r="AR66" s="181">
        <v>1796</v>
      </c>
      <c r="AS66" s="181">
        <v>1820</v>
      </c>
      <c r="AT66" s="163" t="s">
        <v>210</v>
      </c>
      <c r="AU66" s="182" t="s">
        <v>292</v>
      </c>
      <c r="AV66" s="182">
        <v>37</v>
      </c>
      <c r="AW66" s="182">
        <v>25</v>
      </c>
      <c r="AX66" s="175">
        <v>61</v>
      </c>
      <c r="AY66" s="175" t="s">
        <v>293</v>
      </c>
      <c r="AZ66" s="175" t="s">
        <v>294</v>
      </c>
      <c r="BA66" s="168"/>
    </row>
    <row r="67" spans="36:53" x14ac:dyDescent="0.1">
      <c r="AJ67" s="163">
        <v>1965</v>
      </c>
      <c r="AN67" s="35">
        <v>1922</v>
      </c>
      <c r="AO67" s="4" t="s">
        <v>105</v>
      </c>
      <c r="AR67" s="181">
        <v>1820</v>
      </c>
      <c r="AS67" s="181">
        <v>1850</v>
      </c>
      <c r="AT67" s="163" t="s">
        <v>210</v>
      </c>
      <c r="AU67" s="182" t="s">
        <v>295</v>
      </c>
      <c r="AV67" s="182">
        <v>39</v>
      </c>
      <c r="AW67" s="182">
        <v>30</v>
      </c>
      <c r="AX67" s="175">
        <v>69</v>
      </c>
      <c r="AY67" s="175" t="s">
        <v>296</v>
      </c>
      <c r="AZ67" s="175" t="s">
        <v>297</v>
      </c>
      <c r="BA67" s="168"/>
    </row>
    <row r="68" spans="36:53" x14ac:dyDescent="0.1">
      <c r="AJ68" s="163">
        <v>1966</v>
      </c>
      <c r="AN68" s="35">
        <v>1951</v>
      </c>
      <c r="AO68" s="4" t="s">
        <v>106</v>
      </c>
      <c r="AR68" s="181">
        <v>1850</v>
      </c>
      <c r="AS68" s="181">
        <v>1861</v>
      </c>
      <c r="AT68" s="163" t="s">
        <v>210</v>
      </c>
      <c r="AU68" s="182" t="s">
        <v>298</v>
      </c>
      <c r="AV68" s="182">
        <v>20</v>
      </c>
      <c r="AW68" s="182">
        <v>11</v>
      </c>
      <c r="AX68" s="175">
        <v>31</v>
      </c>
      <c r="AY68" s="175" t="s">
        <v>299</v>
      </c>
      <c r="AZ68" s="175" t="s">
        <v>300</v>
      </c>
      <c r="BA68" s="168"/>
    </row>
    <row r="69" spans="36:53" x14ac:dyDescent="0.1">
      <c r="AJ69" s="163">
        <v>1967</v>
      </c>
      <c r="AN69" s="35">
        <v>1981</v>
      </c>
      <c r="AO69" s="4" t="s">
        <v>107</v>
      </c>
      <c r="AR69" s="181">
        <v>1861</v>
      </c>
      <c r="AS69" s="181">
        <v>1875</v>
      </c>
      <c r="AT69" s="163" t="s">
        <v>210</v>
      </c>
      <c r="AU69" s="182" t="s">
        <v>301</v>
      </c>
      <c r="AV69" s="182">
        <v>6</v>
      </c>
      <c r="AW69" s="182">
        <v>13</v>
      </c>
      <c r="AX69" s="175">
        <v>19</v>
      </c>
      <c r="AY69" s="175" t="s">
        <v>302</v>
      </c>
      <c r="AZ69" s="175" t="s">
        <v>303</v>
      </c>
      <c r="BA69" s="168"/>
    </row>
    <row r="70" spans="36:53" x14ac:dyDescent="0.1">
      <c r="AJ70" s="163">
        <v>1968</v>
      </c>
      <c r="AN70" s="35">
        <v>2011</v>
      </c>
      <c r="AO70" s="4" t="s">
        <v>108</v>
      </c>
      <c r="AR70" s="181">
        <v>1875</v>
      </c>
      <c r="AS70" s="181">
        <v>1908</v>
      </c>
      <c r="AT70" s="163" t="s">
        <v>210</v>
      </c>
      <c r="AU70" s="182" t="s">
        <v>304</v>
      </c>
      <c r="AV70" s="182">
        <v>4</v>
      </c>
      <c r="AW70" s="182">
        <v>34</v>
      </c>
      <c r="AX70" s="175">
        <v>38</v>
      </c>
      <c r="AY70" s="175" t="s">
        <v>305</v>
      </c>
      <c r="AZ70" s="175" t="s">
        <v>306</v>
      </c>
      <c r="BA70" s="168"/>
    </row>
    <row r="71" spans="36:53" x14ac:dyDescent="0.1">
      <c r="AJ71" s="163">
        <v>1969</v>
      </c>
      <c r="AN71" s="35">
        <v>2040</v>
      </c>
      <c r="AO71" s="4" t="s">
        <v>109</v>
      </c>
      <c r="AR71" s="181">
        <v>1908</v>
      </c>
      <c r="AS71" s="165">
        <v>1911</v>
      </c>
      <c r="AT71" s="163" t="s">
        <v>210</v>
      </c>
      <c r="AU71" s="182" t="s">
        <v>307</v>
      </c>
      <c r="AV71" s="182">
        <v>3</v>
      </c>
      <c r="AW71" s="182">
        <v>3</v>
      </c>
      <c r="AX71" s="175">
        <v>61</v>
      </c>
      <c r="AY71" s="175" t="s">
        <v>308</v>
      </c>
      <c r="AZ71" s="175" t="s">
        <v>309</v>
      </c>
      <c r="BA71" s="168"/>
    </row>
    <row r="72" spans="36:53" x14ac:dyDescent="0.1">
      <c r="AJ72" s="163">
        <v>1970</v>
      </c>
      <c r="AN72" s="35">
        <v>2069</v>
      </c>
      <c r="AO72" s="4" t="s">
        <v>110</v>
      </c>
      <c r="AR72" s="165">
        <v>1911</v>
      </c>
      <c r="AS72" s="165">
        <v>1949</v>
      </c>
      <c r="AT72" s="163" t="s">
        <v>547</v>
      </c>
      <c r="AU72" s="166" t="s">
        <v>310</v>
      </c>
      <c r="AV72" s="163"/>
      <c r="AW72" s="163"/>
      <c r="AX72" s="168"/>
      <c r="AY72" s="168" t="s">
        <v>211</v>
      </c>
      <c r="AZ72" s="168"/>
      <c r="BA72" s="168"/>
    </row>
    <row r="73" spans="36:53" x14ac:dyDescent="0.1">
      <c r="AJ73" s="163">
        <v>1971</v>
      </c>
      <c r="AN73" s="35">
        <v>2099</v>
      </c>
      <c r="AO73" s="4" t="s">
        <v>111</v>
      </c>
      <c r="AR73" s="3">
        <v>1949</v>
      </c>
      <c r="AT73" s="166" t="s">
        <v>310</v>
      </c>
      <c r="AU73" s="166" t="s">
        <v>310</v>
      </c>
    </row>
    <row r="74" spans="36:53" x14ac:dyDescent="0.1">
      <c r="AJ74" s="163">
        <v>1972</v>
      </c>
      <c r="AN74" s="35">
        <v>2128</v>
      </c>
      <c r="AO74" s="4" t="s">
        <v>112</v>
      </c>
    </row>
    <row r="75" spans="36:53" x14ac:dyDescent="0.1">
      <c r="AJ75" s="163">
        <v>1973</v>
      </c>
      <c r="AN75" s="35">
        <v>2158</v>
      </c>
      <c r="AO75" s="4" t="s">
        <v>379</v>
      </c>
    </row>
    <row r="76" spans="36:53" x14ac:dyDescent="0.1">
      <c r="AJ76" s="163">
        <v>1974</v>
      </c>
      <c r="AN76" s="35">
        <v>2187</v>
      </c>
      <c r="AO76" s="4" t="s">
        <v>113</v>
      </c>
    </row>
    <row r="77" spans="36:53" x14ac:dyDescent="0.1">
      <c r="AJ77" s="163">
        <v>1975</v>
      </c>
      <c r="AN77" s="35">
        <v>2217</v>
      </c>
      <c r="AO77" s="4" t="s">
        <v>100</v>
      </c>
    </row>
    <row r="78" spans="36:53" x14ac:dyDescent="0.1">
      <c r="AJ78" s="163">
        <v>1976</v>
      </c>
      <c r="AN78" s="35">
        <v>2246</v>
      </c>
      <c r="AO78" s="4" t="s">
        <v>104</v>
      </c>
    </row>
    <row r="79" spans="36:53" x14ac:dyDescent="0.1">
      <c r="AJ79" s="163">
        <v>1977</v>
      </c>
      <c r="AN79" s="35">
        <v>2276</v>
      </c>
      <c r="AO79" s="4" t="s">
        <v>105</v>
      </c>
    </row>
    <row r="80" spans="36:53" x14ac:dyDescent="0.1">
      <c r="AJ80" s="163">
        <v>1978</v>
      </c>
      <c r="AN80" s="35">
        <v>2306</v>
      </c>
      <c r="AO80" s="4" t="s">
        <v>106</v>
      </c>
    </row>
    <row r="81" spans="36:41" x14ac:dyDescent="0.1">
      <c r="AJ81" s="163">
        <v>1979</v>
      </c>
      <c r="AN81" s="35">
        <v>2335</v>
      </c>
      <c r="AO81" s="4" t="s">
        <v>143</v>
      </c>
    </row>
    <row r="82" spans="36:41" x14ac:dyDescent="0.1">
      <c r="AJ82" s="163">
        <v>1980</v>
      </c>
      <c r="AN82" s="35">
        <v>2365</v>
      </c>
      <c r="AO82" s="4" t="s">
        <v>107</v>
      </c>
    </row>
    <row r="83" spans="36:41" x14ac:dyDescent="0.1">
      <c r="AJ83" s="163">
        <v>1981</v>
      </c>
      <c r="AN83" s="35">
        <v>2394</v>
      </c>
      <c r="AO83" s="4" t="s">
        <v>108</v>
      </c>
    </row>
    <row r="84" spans="36:41" x14ac:dyDescent="0.1">
      <c r="AJ84" s="163">
        <v>1982</v>
      </c>
      <c r="AN84" s="35">
        <v>2424</v>
      </c>
      <c r="AO84" s="4" t="s">
        <v>109</v>
      </c>
    </row>
    <row r="85" spans="36:41" x14ac:dyDescent="0.1">
      <c r="AJ85" s="163">
        <v>1983</v>
      </c>
      <c r="AN85" s="35">
        <v>2453</v>
      </c>
      <c r="AO85" s="4" t="s">
        <v>110</v>
      </c>
    </row>
    <row r="86" spans="36:41" x14ac:dyDescent="0.1">
      <c r="AJ86" s="163">
        <v>1984</v>
      </c>
      <c r="AN86" s="35">
        <v>2483</v>
      </c>
      <c r="AO86" s="4" t="s">
        <v>111</v>
      </c>
    </row>
    <row r="87" spans="36:41" x14ac:dyDescent="0.1">
      <c r="AJ87" s="163">
        <v>1985</v>
      </c>
      <c r="AN87" s="35">
        <v>2512</v>
      </c>
      <c r="AO87" s="4" t="s">
        <v>112</v>
      </c>
    </row>
    <row r="88" spans="36:41" x14ac:dyDescent="0.1">
      <c r="AJ88" s="163">
        <v>1986</v>
      </c>
      <c r="AN88" s="35">
        <v>2542</v>
      </c>
      <c r="AO88" s="4" t="s">
        <v>379</v>
      </c>
    </row>
    <row r="89" spans="36:41" x14ac:dyDescent="0.1">
      <c r="AJ89" s="163">
        <v>1987</v>
      </c>
      <c r="AN89" s="35">
        <v>2571</v>
      </c>
      <c r="AO89" s="4" t="s">
        <v>113</v>
      </c>
    </row>
    <row r="90" spans="36:41" x14ac:dyDescent="0.1">
      <c r="AJ90" s="163">
        <v>1988</v>
      </c>
      <c r="AN90" s="35">
        <v>2601</v>
      </c>
      <c r="AO90" s="4" t="s">
        <v>100</v>
      </c>
    </row>
    <row r="91" spans="36:41" x14ac:dyDescent="0.1">
      <c r="AJ91" s="163">
        <v>1989</v>
      </c>
      <c r="AN91" s="35">
        <v>2630</v>
      </c>
      <c r="AO91" s="4" t="s">
        <v>104</v>
      </c>
    </row>
    <row r="92" spans="36:41" x14ac:dyDescent="0.1">
      <c r="AJ92" s="163">
        <v>1990</v>
      </c>
      <c r="AN92" s="35">
        <v>2660</v>
      </c>
      <c r="AO92" s="4" t="s">
        <v>105</v>
      </c>
    </row>
    <row r="93" spans="36:41" x14ac:dyDescent="0.1">
      <c r="AJ93" s="163">
        <v>1991</v>
      </c>
      <c r="AN93" s="35">
        <v>2689</v>
      </c>
      <c r="AO93" s="4" t="s">
        <v>106</v>
      </c>
    </row>
    <row r="94" spans="36:41" x14ac:dyDescent="0.1">
      <c r="AJ94" s="163">
        <v>1992</v>
      </c>
      <c r="AN94" s="35">
        <v>2719</v>
      </c>
      <c r="AO94" s="4" t="s">
        <v>107</v>
      </c>
    </row>
    <row r="95" spans="36:41" x14ac:dyDescent="0.1">
      <c r="AJ95" s="163">
        <v>1993</v>
      </c>
      <c r="AN95" s="35">
        <v>2748</v>
      </c>
      <c r="AO95" s="4" t="s">
        <v>108</v>
      </c>
    </row>
    <row r="96" spans="36:41" x14ac:dyDescent="0.1">
      <c r="AJ96" s="163">
        <v>1994</v>
      </c>
      <c r="AN96" s="35">
        <v>2778</v>
      </c>
      <c r="AO96" s="4" t="s">
        <v>109</v>
      </c>
    </row>
    <row r="97" spans="36:41" x14ac:dyDescent="0.1">
      <c r="AJ97" s="163">
        <v>1995</v>
      </c>
      <c r="AN97" s="35">
        <v>2808</v>
      </c>
      <c r="AO97" s="4" t="s">
        <v>110</v>
      </c>
    </row>
    <row r="98" spans="36:41" x14ac:dyDescent="0.1">
      <c r="AJ98" s="163">
        <v>1996</v>
      </c>
      <c r="AN98" s="35">
        <v>2837</v>
      </c>
      <c r="AO98" s="4" t="s">
        <v>111</v>
      </c>
    </row>
    <row r="99" spans="36:41" x14ac:dyDescent="0.1">
      <c r="AJ99" s="163">
        <v>1997</v>
      </c>
      <c r="AN99" s="35">
        <v>2867</v>
      </c>
      <c r="AO99" s="4" t="s">
        <v>112</v>
      </c>
    </row>
    <row r="100" spans="36:41" x14ac:dyDescent="0.1">
      <c r="AJ100" s="163">
        <v>1998</v>
      </c>
      <c r="AN100" s="35">
        <v>2896</v>
      </c>
      <c r="AO100" s="4" t="s">
        <v>379</v>
      </c>
    </row>
    <row r="101" spans="36:41" x14ac:dyDescent="0.1">
      <c r="AJ101" s="163">
        <v>1999</v>
      </c>
      <c r="AN101" s="35">
        <v>2926</v>
      </c>
      <c r="AO101" s="4" t="s">
        <v>113</v>
      </c>
    </row>
    <row r="102" spans="36:41" x14ac:dyDescent="0.1">
      <c r="AJ102" s="163">
        <v>2000</v>
      </c>
      <c r="AN102" s="35">
        <v>2955</v>
      </c>
      <c r="AO102" s="4" t="s">
        <v>100</v>
      </c>
    </row>
    <row r="103" spans="36:41" x14ac:dyDescent="0.1">
      <c r="AJ103" s="163">
        <v>2001</v>
      </c>
      <c r="AN103" s="35">
        <v>2985</v>
      </c>
      <c r="AO103" s="4" t="s">
        <v>104</v>
      </c>
    </row>
    <row r="104" spans="36:41" x14ac:dyDescent="0.1">
      <c r="AJ104" s="163">
        <v>2002</v>
      </c>
      <c r="AN104" s="35">
        <v>3014</v>
      </c>
      <c r="AO104" s="4" t="s">
        <v>105</v>
      </c>
    </row>
    <row r="105" spans="36:41" x14ac:dyDescent="0.1">
      <c r="AJ105" s="163">
        <v>2003</v>
      </c>
      <c r="AN105" s="35">
        <v>3043</v>
      </c>
      <c r="AO105" s="4" t="s">
        <v>106</v>
      </c>
    </row>
    <row r="106" spans="36:41" x14ac:dyDescent="0.1">
      <c r="AJ106" s="163">
        <v>2004</v>
      </c>
      <c r="AN106" s="35">
        <v>3073</v>
      </c>
      <c r="AO106" s="4" t="s">
        <v>107</v>
      </c>
    </row>
    <row r="107" spans="36:41" x14ac:dyDescent="0.1">
      <c r="AJ107" s="163">
        <v>2005</v>
      </c>
      <c r="AN107" s="35">
        <v>3103</v>
      </c>
      <c r="AO107" s="4" t="s">
        <v>108</v>
      </c>
    </row>
    <row r="108" spans="36:41" x14ac:dyDescent="0.1">
      <c r="AJ108" s="163">
        <v>2006</v>
      </c>
      <c r="AN108" s="35">
        <v>3130</v>
      </c>
      <c r="AO108" s="4" t="s">
        <v>109</v>
      </c>
    </row>
    <row r="109" spans="36:41" x14ac:dyDescent="0.1">
      <c r="AJ109" s="163">
        <v>2007</v>
      </c>
      <c r="AN109" s="35">
        <v>3162</v>
      </c>
      <c r="AO109" s="4" t="s">
        <v>110</v>
      </c>
    </row>
    <row r="110" spans="36:41" x14ac:dyDescent="0.1">
      <c r="AJ110" s="163">
        <v>2008</v>
      </c>
      <c r="AN110" s="35">
        <v>3191</v>
      </c>
      <c r="AO110" s="4" t="s">
        <v>111</v>
      </c>
    </row>
    <row r="111" spans="36:41" x14ac:dyDescent="0.1">
      <c r="AJ111" s="163">
        <v>2009</v>
      </c>
      <c r="AN111" s="35">
        <v>3221</v>
      </c>
      <c r="AO111" s="4" t="s">
        <v>112</v>
      </c>
    </row>
    <row r="112" spans="36:41" x14ac:dyDescent="0.1">
      <c r="AJ112" s="163">
        <v>2010</v>
      </c>
      <c r="AN112" s="35">
        <v>3251</v>
      </c>
      <c r="AO112" s="4" t="s">
        <v>379</v>
      </c>
    </row>
    <row r="113" spans="36:41" x14ac:dyDescent="0.1">
      <c r="AJ113" s="163">
        <v>2011</v>
      </c>
      <c r="AN113" s="35">
        <v>3280</v>
      </c>
      <c r="AO113" s="4" t="s">
        <v>113</v>
      </c>
    </row>
    <row r="114" spans="36:41" x14ac:dyDescent="0.1">
      <c r="AJ114" s="163">
        <v>2012</v>
      </c>
      <c r="AN114" s="35">
        <v>3310</v>
      </c>
      <c r="AO114" s="4" t="s">
        <v>100</v>
      </c>
    </row>
    <row r="115" spans="36:41" x14ac:dyDescent="0.1">
      <c r="AJ115" s="163">
        <v>2013</v>
      </c>
      <c r="AN115" s="35">
        <v>3339</v>
      </c>
      <c r="AO115" s="4" t="s">
        <v>104</v>
      </c>
    </row>
    <row r="116" spans="36:41" x14ac:dyDescent="0.1">
      <c r="AJ116" s="163">
        <v>2014</v>
      </c>
      <c r="AN116" s="35">
        <v>3369</v>
      </c>
      <c r="AO116" s="4" t="s">
        <v>144</v>
      </c>
    </row>
    <row r="117" spans="36:41" x14ac:dyDescent="0.1">
      <c r="AJ117" s="163">
        <v>2015</v>
      </c>
      <c r="AN117" s="35">
        <v>3398</v>
      </c>
      <c r="AO117" s="4" t="s">
        <v>105</v>
      </c>
    </row>
    <row r="118" spans="36:41" x14ac:dyDescent="0.1">
      <c r="AJ118" s="163">
        <v>2016</v>
      </c>
      <c r="AN118" s="35">
        <v>3427</v>
      </c>
      <c r="AO118" s="4" t="s">
        <v>106</v>
      </c>
    </row>
    <row r="119" spans="36:41" x14ac:dyDescent="0.1">
      <c r="AJ119" s="163">
        <v>2017</v>
      </c>
      <c r="AN119" s="35">
        <v>3457</v>
      </c>
      <c r="AO119" s="4" t="s">
        <v>107</v>
      </c>
    </row>
    <row r="120" spans="36:41" x14ac:dyDescent="0.1">
      <c r="AJ120" s="163">
        <v>2018</v>
      </c>
      <c r="AN120" s="35">
        <v>3486</v>
      </c>
      <c r="AO120" s="4" t="s">
        <v>108</v>
      </c>
    </row>
    <row r="121" spans="36:41" x14ac:dyDescent="0.1">
      <c r="AJ121" s="163">
        <v>2019</v>
      </c>
      <c r="AN121" s="35">
        <v>3516</v>
      </c>
      <c r="AO121" s="4" t="s">
        <v>109</v>
      </c>
    </row>
    <row r="122" spans="36:41" x14ac:dyDescent="0.1">
      <c r="AJ122" s="163">
        <v>2020</v>
      </c>
      <c r="AN122" s="35">
        <v>3545</v>
      </c>
      <c r="AO122" s="4" t="s">
        <v>110</v>
      </c>
    </row>
    <row r="123" spans="36:41" x14ac:dyDescent="0.1">
      <c r="AJ123" s="163">
        <v>2021</v>
      </c>
      <c r="AN123" s="35">
        <v>3575</v>
      </c>
      <c r="AO123" s="4" t="s">
        <v>111</v>
      </c>
    </row>
    <row r="124" spans="36:41" x14ac:dyDescent="0.1">
      <c r="AJ124" s="163">
        <v>2022</v>
      </c>
      <c r="AN124" s="35">
        <v>3605</v>
      </c>
      <c r="AO124" s="4" t="s">
        <v>112</v>
      </c>
    </row>
    <row r="125" spans="36:41" x14ac:dyDescent="0.1">
      <c r="AJ125" s="163">
        <v>2023</v>
      </c>
      <c r="AN125" s="35">
        <v>3635</v>
      </c>
      <c r="AO125" s="4" t="s">
        <v>379</v>
      </c>
    </row>
    <row r="126" spans="36:41" x14ac:dyDescent="0.1">
      <c r="AJ126" s="163">
        <v>2024</v>
      </c>
      <c r="AN126" s="35">
        <v>3664</v>
      </c>
      <c r="AO126" s="4" t="s">
        <v>113</v>
      </c>
    </row>
    <row r="127" spans="36:41" x14ac:dyDescent="0.1">
      <c r="AJ127" s="163">
        <v>2025</v>
      </c>
      <c r="AN127" s="35">
        <v>3694</v>
      </c>
      <c r="AO127" s="4" t="s">
        <v>100</v>
      </c>
    </row>
    <row r="128" spans="36:41" x14ac:dyDescent="0.1">
      <c r="AJ128" s="163">
        <v>2026</v>
      </c>
      <c r="AN128" s="35">
        <v>3723</v>
      </c>
      <c r="AO128" s="4" t="s">
        <v>104</v>
      </c>
    </row>
    <row r="129" spans="36:41" x14ac:dyDescent="0.1">
      <c r="AJ129" s="163">
        <v>2027</v>
      </c>
      <c r="AN129" s="35">
        <v>3753</v>
      </c>
      <c r="AO129" s="4" t="s">
        <v>105</v>
      </c>
    </row>
    <row r="130" spans="36:41" x14ac:dyDescent="0.1">
      <c r="AJ130" s="163">
        <v>2028</v>
      </c>
      <c r="AN130" s="35">
        <v>3782</v>
      </c>
      <c r="AO130" s="4" t="s">
        <v>106</v>
      </c>
    </row>
    <row r="131" spans="36:41" x14ac:dyDescent="0.1">
      <c r="AJ131" s="163">
        <v>2029</v>
      </c>
      <c r="AN131" s="35">
        <v>3811</v>
      </c>
      <c r="AO131" s="4" t="s">
        <v>107</v>
      </c>
    </row>
    <row r="132" spans="36:41" x14ac:dyDescent="0.1">
      <c r="AJ132" s="163">
        <v>2030</v>
      </c>
      <c r="AN132" s="35">
        <v>3841</v>
      </c>
      <c r="AO132" s="4" t="s">
        <v>108</v>
      </c>
    </row>
    <row r="133" spans="36:41" x14ac:dyDescent="0.1">
      <c r="AJ133" s="163">
        <v>2031</v>
      </c>
      <c r="AN133" s="35">
        <v>3870</v>
      </c>
      <c r="AO133" s="4" t="s">
        <v>109</v>
      </c>
    </row>
    <row r="134" spans="36:41" x14ac:dyDescent="0.1">
      <c r="AJ134" s="163">
        <v>2032</v>
      </c>
      <c r="AN134" s="35">
        <v>3900</v>
      </c>
      <c r="AO134" s="4" t="s">
        <v>110</v>
      </c>
    </row>
    <row r="135" spans="36:41" x14ac:dyDescent="0.1">
      <c r="AJ135" s="163">
        <v>2033</v>
      </c>
      <c r="AN135" s="35">
        <v>3929</v>
      </c>
      <c r="AO135" s="4" t="s">
        <v>111</v>
      </c>
    </row>
    <row r="136" spans="36:41" x14ac:dyDescent="0.1">
      <c r="AJ136" s="163">
        <v>2034</v>
      </c>
      <c r="AN136" s="35">
        <v>3959</v>
      </c>
      <c r="AO136" s="4" t="s">
        <v>112</v>
      </c>
    </row>
    <row r="137" spans="36:41" x14ac:dyDescent="0.1">
      <c r="AJ137" s="163">
        <v>2035</v>
      </c>
      <c r="AN137" s="35">
        <v>3989</v>
      </c>
      <c r="AO137" s="4" t="s">
        <v>379</v>
      </c>
    </row>
    <row r="138" spans="36:41" x14ac:dyDescent="0.1">
      <c r="AJ138" s="163">
        <v>2036</v>
      </c>
      <c r="AN138" s="35">
        <v>4019</v>
      </c>
      <c r="AO138" s="4" t="s">
        <v>113</v>
      </c>
    </row>
    <row r="139" spans="36:41" x14ac:dyDescent="0.1">
      <c r="AJ139" s="163">
        <v>2037</v>
      </c>
      <c r="AN139" s="35">
        <v>4048</v>
      </c>
      <c r="AO139" s="4" t="s">
        <v>100</v>
      </c>
    </row>
    <row r="140" spans="36:41" x14ac:dyDescent="0.1">
      <c r="AJ140" s="163">
        <v>2038</v>
      </c>
      <c r="AN140" s="35">
        <v>4078</v>
      </c>
      <c r="AO140" s="4" t="s">
        <v>104</v>
      </c>
    </row>
    <row r="141" spans="36:41" x14ac:dyDescent="0.1">
      <c r="AJ141" s="163">
        <v>2039</v>
      </c>
      <c r="AN141" s="35">
        <v>4107</v>
      </c>
      <c r="AO141" s="4" t="s">
        <v>105</v>
      </c>
    </row>
    <row r="142" spans="36:41" x14ac:dyDescent="0.1">
      <c r="AJ142" s="163">
        <v>2040</v>
      </c>
      <c r="AN142" s="35">
        <v>4137</v>
      </c>
      <c r="AO142" s="4" t="s">
        <v>106</v>
      </c>
    </row>
    <row r="143" spans="36:41" x14ac:dyDescent="0.1">
      <c r="AJ143" s="163">
        <v>2041</v>
      </c>
      <c r="AN143" s="35">
        <v>4166</v>
      </c>
      <c r="AO143" s="4" t="s">
        <v>107</v>
      </c>
    </row>
    <row r="144" spans="36:41" x14ac:dyDescent="0.1">
      <c r="AJ144" s="163">
        <v>2042</v>
      </c>
      <c r="AN144" s="35">
        <v>4195</v>
      </c>
      <c r="AO144" s="4" t="s">
        <v>108</v>
      </c>
    </row>
    <row r="145" spans="36:41" x14ac:dyDescent="0.1">
      <c r="AJ145" s="163">
        <v>2043</v>
      </c>
      <c r="AN145" s="35">
        <v>4225</v>
      </c>
      <c r="AO145" s="4" t="s">
        <v>145</v>
      </c>
    </row>
    <row r="146" spans="36:41" x14ac:dyDescent="0.1">
      <c r="AJ146" s="163">
        <v>2044</v>
      </c>
      <c r="AN146" s="35">
        <v>4254</v>
      </c>
      <c r="AO146" s="4" t="s">
        <v>109</v>
      </c>
    </row>
    <row r="147" spans="36:41" x14ac:dyDescent="0.1">
      <c r="AJ147" s="163">
        <v>2045</v>
      </c>
      <c r="AN147" s="35">
        <v>4283</v>
      </c>
      <c r="AO147" s="4" t="s">
        <v>110</v>
      </c>
    </row>
    <row r="148" spans="36:41" x14ac:dyDescent="0.1">
      <c r="AJ148" s="163">
        <v>2046</v>
      </c>
      <c r="AN148" s="35">
        <v>4313</v>
      </c>
      <c r="AO148" s="4" t="s">
        <v>111</v>
      </c>
    </row>
    <row r="149" spans="36:41" x14ac:dyDescent="0.1">
      <c r="AJ149" s="163">
        <v>2047</v>
      </c>
      <c r="AN149" s="35">
        <v>4343</v>
      </c>
      <c r="AO149" s="4" t="s">
        <v>112</v>
      </c>
    </row>
    <row r="150" spans="36:41" x14ac:dyDescent="0.1">
      <c r="AJ150" s="163">
        <v>2048</v>
      </c>
      <c r="AN150" s="35">
        <v>4372</v>
      </c>
      <c r="AO150" s="4" t="s">
        <v>379</v>
      </c>
    </row>
    <row r="151" spans="36:41" x14ac:dyDescent="0.1">
      <c r="AJ151" s="163">
        <v>2049</v>
      </c>
      <c r="AN151" s="35">
        <v>4402</v>
      </c>
      <c r="AO151" s="4" t="s">
        <v>113</v>
      </c>
    </row>
    <row r="152" spans="36:41" x14ac:dyDescent="0.1">
      <c r="AJ152" s="163">
        <v>2050</v>
      </c>
      <c r="AN152" s="35">
        <v>4432</v>
      </c>
      <c r="AO152" s="4" t="s">
        <v>100</v>
      </c>
    </row>
    <row r="153" spans="36:41" x14ac:dyDescent="0.1">
      <c r="AN153" s="35">
        <v>4462</v>
      </c>
      <c r="AO153" s="4" t="s">
        <v>104</v>
      </c>
    </row>
    <row r="154" spans="36:41" x14ac:dyDescent="0.1">
      <c r="AN154" s="35">
        <v>4491</v>
      </c>
      <c r="AO154" s="4" t="s">
        <v>105</v>
      </c>
    </row>
    <row r="155" spans="36:41" x14ac:dyDescent="0.1">
      <c r="AN155" s="35">
        <v>4521</v>
      </c>
      <c r="AO155" s="4" t="s">
        <v>106</v>
      </c>
    </row>
    <row r="156" spans="36:41" x14ac:dyDescent="0.1">
      <c r="AN156" s="35">
        <v>4550</v>
      </c>
      <c r="AO156" s="4" t="s">
        <v>107</v>
      </c>
    </row>
    <row r="157" spans="36:41" x14ac:dyDescent="0.1">
      <c r="AN157" s="35">
        <v>4579</v>
      </c>
      <c r="AO157" s="4" t="s">
        <v>108</v>
      </c>
    </row>
    <row r="158" spans="36:41" x14ac:dyDescent="0.1">
      <c r="AN158" s="35">
        <v>4609</v>
      </c>
      <c r="AO158" s="4" t="s">
        <v>109</v>
      </c>
    </row>
    <row r="159" spans="36:41" x14ac:dyDescent="0.1">
      <c r="AN159" s="35">
        <v>4638</v>
      </c>
      <c r="AO159" s="4" t="s">
        <v>110</v>
      </c>
    </row>
    <row r="160" spans="36:41" x14ac:dyDescent="0.1">
      <c r="AN160" s="35">
        <v>4667</v>
      </c>
      <c r="AO160" s="4" t="s">
        <v>111</v>
      </c>
    </row>
    <row r="161" spans="40:41" x14ac:dyDescent="0.1">
      <c r="AN161" s="35">
        <v>4697</v>
      </c>
      <c r="AO161" s="4" t="s">
        <v>112</v>
      </c>
    </row>
    <row r="162" spans="40:41" x14ac:dyDescent="0.1">
      <c r="AN162" s="35">
        <v>4727</v>
      </c>
      <c r="AO162" s="4" t="s">
        <v>379</v>
      </c>
    </row>
    <row r="163" spans="40:41" x14ac:dyDescent="0.1">
      <c r="AN163" s="35">
        <v>4756</v>
      </c>
      <c r="AO163" s="4" t="s">
        <v>113</v>
      </c>
    </row>
    <row r="164" spans="40:41" x14ac:dyDescent="0.1">
      <c r="AN164" s="35">
        <v>4786</v>
      </c>
      <c r="AO164" s="4" t="s">
        <v>100</v>
      </c>
    </row>
    <row r="165" spans="40:41" x14ac:dyDescent="0.1">
      <c r="AN165" s="35">
        <v>4816</v>
      </c>
      <c r="AO165" s="4" t="s">
        <v>104</v>
      </c>
    </row>
    <row r="166" spans="40:41" x14ac:dyDescent="0.1">
      <c r="AN166" s="35">
        <v>4846</v>
      </c>
      <c r="AO166" s="4" t="s">
        <v>105</v>
      </c>
    </row>
    <row r="167" spans="40:41" x14ac:dyDescent="0.1">
      <c r="AN167" s="35">
        <v>4875</v>
      </c>
      <c r="AO167" s="4" t="s">
        <v>106</v>
      </c>
    </row>
    <row r="168" spans="40:41" x14ac:dyDescent="0.1">
      <c r="AN168" s="35">
        <v>4905</v>
      </c>
      <c r="AO168" s="4" t="s">
        <v>107</v>
      </c>
    </row>
    <row r="169" spans="40:41" x14ac:dyDescent="0.1">
      <c r="AN169" s="35">
        <v>4934</v>
      </c>
      <c r="AO169" s="4" t="s">
        <v>108</v>
      </c>
    </row>
    <row r="170" spans="40:41" x14ac:dyDescent="0.1">
      <c r="AN170" s="35">
        <v>4963</v>
      </c>
      <c r="AO170" s="4" t="s">
        <v>109</v>
      </c>
    </row>
    <row r="171" spans="40:41" x14ac:dyDescent="0.1">
      <c r="AN171" s="35">
        <v>4993</v>
      </c>
      <c r="AO171" s="4" t="s">
        <v>110</v>
      </c>
    </row>
    <row r="172" spans="40:41" x14ac:dyDescent="0.1">
      <c r="AN172" s="35">
        <v>5022</v>
      </c>
      <c r="AO172" s="4" t="s">
        <v>111</v>
      </c>
    </row>
    <row r="173" spans="40:41" x14ac:dyDescent="0.1">
      <c r="AN173" s="35">
        <v>5051</v>
      </c>
      <c r="AO173" s="4" t="s">
        <v>112</v>
      </c>
    </row>
    <row r="174" spans="40:41" x14ac:dyDescent="0.1">
      <c r="AN174" s="35">
        <v>5081</v>
      </c>
      <c r="AO174" s="4" t="s">
        <v>379</v>
      </c>
    </row>
    <row r="175" spans="40:41" x14ac:dyDescent="0.1">
      <c r="AN175" s="35">
        <v>5110</v>
      </c>
      <c r="AO175" s="4" t="s">
        <v>113</v>
      </c>
    </row>
    <row r="176" spans="40:41" x14ac:dyDescent="0.1">
      <c r="AN176" s="35">
        <v>5140</v>
      </c>
      <c r="AO176" s="4" t="s">
        <v>100</v>
      </c>
    </row>
    <row r="177" spans="40:41" x14ac:dyDescent="0.1">
      <c r="AN177" s="35">
        <v>5170</v>
      </c>
      <c r="AO177" s="4" t="s">
        <v>104</v>
      </c>
    </row>
    <row r="178" spans="40:41" x14ac:dyDescent="0.1">
      <c r="AN178" s="35">
        <v>5200</v>
      </c>
      <c r="AO178" s="4" t="s">
        <v>105</v>
      </c>
    </row>
    <row r="179" spans="40:41" x14ac:dyDescent="0.1">
      <c r="AN179" s="35">
        <v>5229</v>
      </c>
      <c r="AO179" s="4" t="s">
        <v>106</v>
      </c>
    </row>
    <row r="180" spans="40:41" x14ac:dyDescent="0.1">
      <c r="AN180" s="35">
        <v>5259</v>
      </c>
      <c r="AO180" s="4" t="s">
        <v>107</v>
      </c>
    </row>
    <row r="181" spans="40:41" x14ac:dyDescent="0.1">
      <c r="AN181" s="35">
        <v>5288</v>
      </c>
      <c r="AO181" s="4" t="s">
        <v>142</v>
      </c>
    </row>
    <row r="182" spans="40:41" x14ac:dyDescent="0.1">
      <c r="AN182" s="35">
        <v>5318</v>
      </c>
      <c r="AO182" s="4" t="s">
        <v>108</v>
      </c>
    </row>
    <row r="183" spans="40:41" x14ac:dyDescent="0.1">
      <c r="AN183" s="35">
        <v>5347</v>
      </c>
      <c r="AO183" s="4" t="s">
        <v>109</v>
      </c>
    </row>
    <row r="184" spans="40:41" x14ac:dyDescent="0.1">
      <c r="AN184" s="35">
        <v>5377</v>
      </c>
      <c r="AO184" s="4" t="s">
        <v>110</v>
      </c>
    </row>
    <row r="185" spans="40:41" x14ac:dyDescent="0.1">
      <c r="AN185" s="35">
        <v>5406</v>
      </c>
      <c r="AO185" s="4" t="s">
        <v>111</v>
      </c>
    </row>
    <row r="186" spans="40:41" x14ac:dyDescent="0.1">
      <c r="AN186" s="35">
        <v>5435</v>
      </c>
      <c r="AO186" s="4" t="s">
        <v>112</v>
      </c>
    </row>
    <row r="187" spans="40:41" x14ac:dyDescent="0.1">
      <c r="AN187" s="35">
        <v>5465</v>
      </c>
      <c r="AO187" s="4" t="s">
        <v>379</v>
      </c>
    </row>
    <row r="188" spans="40:41" x14ac:dyDescent="0.1">
      <c r="AN188" s="35">
        <v>5494</v>
      </c>
      <c r="AO188" s="4" t="s">
        <v>113</v>
      </c>
    </row>
    <row r="189" spans="40:41" x14ac:dyDescent="0.1">
      <c r="AN189" s="35">
        <v>5524</v>
      </c>
      <c r="AO189" s="4" t="s">
        <v>100</v>
      </c>
    </row>
    <row r="190" spans="40:41" x14ac:dyDescent="0.1">
      <c r="AN190" s="35">
        <v>5554</v>
      </c>
      <c r="AO190" s="4" t="s">
        <v>104</v>
      </c>
    </row>
    <row r="191" spans="40:41" x14ac:dyDescent="0.1">
      <c r="AN191" s="35">
        <v>5583</v>
      </c>
      <c r="AO191" s="4" t="s">
        <v>105</v>
      </c>
    </row>
    <row r="192" spans="40:41" x14ac:dyDescent="0.1">
      <c r="AN192" s="35">
        <v>5613</v>
      </c>
      <c r="AO192" s="4" t="s">
        <v>106</v>
      </c>
    </row>
    <row r="193" spans="40:41" x14ac:dyDescent="0.1">
      <c r="AN193" s="35">
        <v>5643</v>
      </c>
      <c r="AO193" s="4" t="s">
        <v>107</v>
      </c>
    </row>
    <row r="194" spans="40:41" x14ac:dyDescent="0.1">
      <c r="AN194" s="35">
        <v>5672</v>
      </c>
      <c r="AO194" s="4" t="s">
        <v>108</v>
      </c>
    </row>
    <row r="195" spans="40:41" x14ac:dyDescent="0.1">
      <c r="AN195" s="35">
        <v>5702</v>
      </c>
      <c r="AO195" s="4" t="s">
        <v>109</v>
      </c>
    </row>
    <row r="196" spans="40:41" x14ac:dyDescent="0.1">
      <c r="AN196" s="35">
        <v>5731</v>
      </c>
      <c r="AO196" s="4" t="s">
        <v>110</v>
      </c>
    </row>
    <row r="197" spans="40:41" x14ac:dyDescent="0.1">
      <c r="AN197" s="35">
        <v>5761</v>
      </c>
      <c r="AO197" s="4" t="s">
        <v>111</v>
      </c>
    </row>
    <row r="198" spans="40:41" x14ac:dyDescent="0.1">
      <c r="AN198" s="35">
        <v>5790</v>
      </c>
      <c r="AO198" s="4" t="s">
        <v>112</v>
      </c>
    </row>
    <row r="199" spans="40:41" x14ac:dyDescent="0.1">
      <c r="AN199" s="35">
        <v>5820</v>
      </c>
      <c r="AO199" s="4" t="s">
        <v>379</v>
      </c>
    </row>
    <row r="200" spans="40:41" x14ac:dyDescent="0.1">
      <c r="AN200" s="35">
        <v>5849</v>
      </c>
      <c r="AO200" s="4" t="s">
        <v>113</v>
      </c>
    </row>
    <row r="201" spans="40:41" x14ac:dyDescent="0.1">
      <c r="AN201" s="35">
        <v>5878</v>
      </c>
      <c r="AO201" s="4" t="s">
        <v>100</v>
      </c>
    </row>
    <row r="202" spans="40:41" x14ac:dyDescent="0.1">
      <c r="AN202" s="35">
        <v>5908</v>
      </c>
      <c r="AO202" s="4" t="s">
        <v>104</v>
      </c>
    </row>
    <row r="203" spans="40:41" x14ac:dyDescent="0.1">
      <c r="AN203" s="35">
        <v>5938</v>
      </c>
      <c r="AO203" s="4" t="s">
        <v>105</v>
      </c>
    </row>
    <row r="204" spans="40:41" x14ac:dyDescent="0.1">
      <c r="AN204" s="35">
        <v>5967</v>
      </c>
      <c r="AO204" s="4" t="s">
        <v>106</v>
      </c>
    </row>
    <row r="205" spans="40:41" x14ac:dyDescent="0.1">
      <c r="AN205" s="35">
        <v>5997</v>
      </c>
      <c r="AO205" s="4" t="s">
        <v>107</v>
      </c>
    </row>
    <row r="206" spans="40:41" x14ac:dyDescent="0.1">
      <c r="AN206" s="35">
        <v>6026</v>
      </c>
      <c r="AO206" s="4" t="s">
        <v>108</v>
      </c>
    </row>
    <row r="207" spans="40:41" x14ac:dyDescent="0.1">
      <c r="AN207" s="35">
        <v>6056</v>
      </c>
      <c r="AO207" s="4" t="s">
        <v>109</v>
      </c>
    </row>
    <row r="208" spans="40:41" x14ac:dyDescent="0.1">
      <c r="AN208" s="35">
        <v>6086</v>
      </c>
      <c r="AO208" s="4" t="s">
        <v>110</v>
      </c>
    </row>
    <row r="209" spans="40:41" x14ac:dyDescent="0.1">
      <c r="AN209" s="35">
        <v>6115</v>
      </c>
      <c r="AO209" s="4" t="s">
        <v>111</v>
      </c>
    </row>
    <row r="210" spans="40:41" x14ac:dyDescent="0.1">
      <c r="AN210" s="35">
        <v>6145</v>
      </c>
      <c r="AO210" s="4" t="s">
        <v>112</v>
      </c>
    </row>
    <row r="211" spans="40:41" x14ac:dyDescent="0.1">
      <c r="AN211" s="35">
        <v>6174</v>
      </c>
      <c r="AO211" s="4" t="s">
        <v>379</v>
      </c>
    </row>
    <row r="212" spans="40:41" x14ac:dyDescent="0.1">
      <c r="AN212" s="35">
        <v>6204</v>
      </c>
      <c r="AO212" s="4" t="s">
        <v>113</v>
      </c>
    </row>
    <row r="213" spans="40:41" x14ac:dyDescent="0.1">
      <c r="AN213" s="35">
        <v>6233</v>
      </c>
      <c r="AO213" s="4" t="s">
        <v>100</v>
      </c>
    </row>
    <row r="214" spans="40:41" x14ac:dyDescent="0.1">
      <c r="AN214" s="35">
        <v>6263</v>
      </c>
      <c r="AO214" s="4" t="s">
        <v>104</v>
      </c>
    </row>
    <row r="215" spans="40:41" x14ac:dyDescent="0.1">
      <c r="AN215" s="35">
        <v>6292</v>
      </c>
      <c r="AO215" s="4" t="s">
        <v>144</v>
      </c>
    </row>
    <row r="216" spans="40:41" x14ac:dyDescent="0.1">
      <c r="AN216" s="35">
        <v>6321</v>
      </c>
      <c r="AO216" s="4" t="s">
        <v>105</v>
      </c>
    </row>
    <row r="217" spans="40:41" x14ac:dyDescent="0.1">
      <c r="AN217" s="35">
        <v>6351</v>
      </c>
      <c r="AO217" s="4" t="s">
        <v>106</v>
      </c>
    </row>
    <row r="218" spans="40:41" x14ac:dyDescent="0.1">
      <c r="AN218" s="35">
        <v>6380</v>
      </c>
      <c r="AO218" s="4" t="s">
        <v>107</v>
      </c>
    </row>
    <row r="219" spans="40:41" x14ac:dyDescent="0.1">
      <c r="AN219" s="35">
        <v>6410</v>
      </c>
      <c r="AO219" s="4" t="s">
        <v>108</v>
      </c>
    </row>
    <row r="220" spans="40:41" x14ac:dyDescent="0.1">
      <c r="AN220" s="35">
        <v>6440</v>
      </c>
      <c r="AO220" s="4" t="s">
        <v>109</v>
      </c>
    </row>
    <row r="221" spans="40:41" x14ac:dyDescent="0.1">
      <c r="AN221" s="35">
        <v>6469</v>
      </c>
      <c r="AO221" s="4" t="s">
        <v>110</v>
      </c>
    </row>
    <row r="222" spans="40:41" x14ac:dyDescent="0.1">
      <c r="AN222" s="35">
        <v>6499</v>
      </c>
      <c r="AO222" s="4" t="s">
        <v>111</v>
      </c>
    </row>
    <row r="223" spans="40:41" x14ac:dyDescent="0.1">
      <c r="AN223" s="35">
        <v>6529</v>
      </c>
      <c r="AO223" s="4" t="s">
        <v>112</v>
      </c>
    </row>
    <row r="224" spans="40:41" x14ac:dyDescent="0.1">
      <c r="AN224" s="35">
        <v>6558</v>
      </c>
      <c r="AO224" s="4" t="s">
        <v>379</v>
      </c>
    </row>
    <row r="225" spans="40:41" x14ac:dyDescent="0.1">
      <c r="AN225" s="35">
        <v>6588</v>
      </c>
      <c r="AO225" s="4" t="s">
        <v>113</v>
      </c>
    </row>
    <row r="226" spans="40:41" x14ac:dyDescent="0.1">
      <c r="AN226" s="35">
        <v>6617</v>
      </c>
      <c r="AO226" s="4" t="s">
        <v>100</v>
      </c>
    </row>
    <row r="227" spans="40:41" x14ac:dyDescent="0.1">
      <c r="AN227" s="35">
        <v>6647</v>
      </c>
      <c r="AO227" s="4" t="s">
        <v>104</v>
      </c>
    </row>
    <row r="228" spans="40:41" x14ac:dyDescent="0.1">
      <c r="AN228" s="35">
        <v>6676</v>
      </c>
      <c r="AO228" s="4" t="s">
        <v>105</v>
      </c>
    </row>
    <row r="229" spans="40:41" x14ac:dyDescent="0.1">
      <c r="AN229" s="35">
        <v>6705</v>
      </c>
      <c r="AO229" s="4" t="s">
        <v>106</v>
      </c>
    </row>
    <row r="230" spans="40:41" x14ac:dyDescent="0.1">
      <c r="AN230" s="35">
        <v>6735</v>
      </c>
      <c r="AO230" s="4" t="s">
        <v>107</v>
      </c>
    </row>
    <row r="231" spans="40:41" x14ac:dyDescent="0.1">
      <c r="AN231" s="35">
        <v>6764</v>
      </c>
      <c r="AO231" s="4" t="s">
        <v>108</v>
      </c>
    </row>
    <row r="232" spans="40:41" x14ac:dyDescent="0.1">
      <c r="AN232" s="35">
        <v>6794</v>
      </c>
      <c r="AO232" s="4" t="s">
        <v>109</v>
      </c>
    </row>
    <row r="233" spans="40:41" x14ac:dyDescent="0.1">
      <c r="AN233" s="35">
        <v>6823</v>
      </c>
      <c r="AO233" s="4" t="s">
        <v>110</v>
      </c>
    </row>
    <row r="234" spans="40:41" x14ac:dyDescent="0.1">
      <c r="AN234" s="35">
        <v>6853</v>
      </c>
      <c r="AO234" s="4" t="s">
        <v>111</v>
      </c>
    </row>
    <row r="235" spans="40:41" x14ac:dyDescent="0.1">
      <c r="AN235" s="35">
        <v>6883</v>
      </c>
      <c r="AO235" s="4" t="s">
        <v>112</v>
      </c>
    </row>
    <row r="236" spans="40:41" x14ac:dyDescent="0.1">
      <c r="AN236" s="35">
        <v>6912</v>
      </c>
      <c r="AO236" s="4" t="s">
        <v>379</v>
      </c>
    </row>
    <row r="237" spans="40:41" x14ac:dyDescent="0.1">
      <c r="AN237" s="35">
        <v>6942</v>
      </c>
      <c r="AO237" s="4" t="s">
        <v>113</v>
      </c>
    </row>
    <row r="238" spans="40:41" x14ac:dyDescent="0.1">
      <c r="AN238" s="35">
        <v>6972</v>
      </c>
      <c r="AO238" s="4" t="s">
        <v>100</v>
      </c>
    </row>
    <row r="239" spans="40:41" x14ac:dyDescent="0.1">
      <c r="AN239" s="35">
        <v>7001</v>
      </c>
      <c r="AO239" s="4" t="s">
        <v>104</v>
      </c>
    </row>
    <row r="240" spans="40:41" x14ac:dyDescent="0.1">
      <c r="AN240" s="35">
        <v>7031</v>
      </c>
      <c r="AO240" s="4" t="s">
        <v>105</v>
      </c>
    </row>
    <row r="241" spans="40:41" x14ac:dyDescent="0.1">
      <c r="AN241" s="35">
        <v>7060</v>
      </c>
      <c r="AO241" s="4" t="s">
        <v>106</v>
      </c>
    </row>
    <row r="242" spans="40:41" x14ac:dyDescent="0.1">
      <c r="AN242" s="35">
        <v>7089</v>
      </c>
      <c r="AO242" s="4" t="s">
        <v>107</v>
      </c>
    </row>
    <row r="243" spans="40:41" x14ac:dyDescent="0.1">
      <c r="AN243" s="35">
        <v>7119</v>
      </c>
      <c r="AO243" s="4" t="s">
        <v>108</v>
      </c>
    </row>
    <row r="244" spans="40:41" x14ac:dyDescent="0.1">
      <c r="AN244" s="35">
        <v>7148</v>
      </c>
      <c r="AO244" s="4" t="s">
        <v>109</v>
      </c>
    </row>
    <row r="245" spans="40:41" x14ac:dyDescent="0.1">
      <c r="AN245" s="35">
        <v>7177</v>
      </c>
      <c r="AO245" s="4" t="s">
        <v>146</v>
      </c>
    </row>
    <row r="246" spans="40:41" x14ac:dyDescent="0.1">
      <c r="AN246" s="35">
        <v>7207</v>
      </c>
      <c r="AO246" s="4" t="s">
        <v>110</v>
      </c>
    </row>
    <row r="247" spans="40:41" x14ac:dyDescent="0.1">
      <c r="AN247" s="35">
        <v>7237</v>
      </c>
      <c r="AO247" s="4" t="s">
        <v>111</v>
      </c>
    </row>
    <row r="248" spans="40:41" x14ac:dyDescent="0.1">
      <c r="AN248" s="35">
        <v>7266</v>
      </c>
      <c r="AO248" s="4" t="s">
        <v>112</v>
      </c>
    </row>
    <row r="249" spans="40:41" x14ac:dyDescent="0.1">
      <c r="AN249" s="35">
        <v>7296</v>
      </c>
      <c r="AO249" s="4" t="s">
        <v>379</v>
      </c>
    </row>
    <row r="250" spans="40:41" x14ac:dyDescent="0.1">
      <c r="AN250" s="35">
        <v>7326</v>
      </c>
      <c r="AO250" s="4" t="s">
        <v>113</v>
      </c>
    </row>
    <row r="251" spans="40:41" x14ac:dyDescent="0.1">
      <c r="AN251" s="35">
        <v>7356</v>
      </c>
      <c r="AO251" s="4" t="s">
        <v>100</v>
      </c>
    </row>
    <row r="252" spans="40:41" x14ac:dyDescent="0.1">
      <c r="AN252" s="35">
        <v>7385</v>
      </c>
      <c r="AO252" s="4" t="s">
        <v>104</v>
      </c>
    </row>
    <row r="253" spans="40:41" x14ac:dyDescent="0.1">
      <c r="AN253" s="35">
        <v>7415</v>
      </c>
      <c r="AO253" s="4" t="s">
        <v>105</v>
      </c>
    </row>
    <row r="254" spans="40:41" x14ac:dyDescent="0.1">
      <c r="AN254" s="35">
        <v>7444</v>
      </c>
      <c r="AO254" s="4" t="s">
        <v>106</v>
      </c>
    </row>
    <row r="255" spans="40:41" x14ac:dyDescent="0.1">
      <c r="AN255" s="35">
        <v>7473</v>
      </c>
      <c r="AO255" s="4" t="s">
        <v>107</v>
      </c>
    </row>
    <row r="256" spans="40:41" x14ac:dyDescent="0.1">
      <c r="AN256" s="35">
        <v>7503</v>
      </c>
      <c r="AO256" s="4" t="s">
        <v>108</v>
      </c>
    </row>
    <row r="257" spans="40:41" x14ac:dyDescent="0.1">
      <c r="AN257" s="35">
        <v>7532</v>
      </c>
      <c r="AO257" s="4" t="s">
        <v>109</v>
      </c>
    </row>
    <row r="258" spans="40:41" x14ac:dyDescent="0.1">
      <c r="AN258" s="35">
        <v>7561</v>
      </c>
      <c r="AO258" s="4" t="s">
        <v>110</v>
      </c>
    </row>
    <row r="259" spans="40:41" x14ac:dyDescent="0.1">
      <c r="AN259" s="35">
        <v>7591</v>
      </c>
      <c r="AO259" s="4" t="s">
        <v>111</v>
      </c>
    </row>
    <row r="260" spans="40:41" x14ac:dyDescent="0.1">
      <c r="AN260" s="35">
        <v>7620</v>
      </c>
      <c r="AO260" s="4" t="s">
        <v>112</v>
      </c>
    </row>
    <row r="261" spans="40:41" x14ac:dyDescent="0.1">
      <c r="AN261" s="35">
        <v>7650</v>
      </c>
      <c r="AO261" s="4" t="s">
        <v>379</v>
      </c>
    </row>
    <row r="262" spans="40:41" x14ac:dyDescent="0.1">
      <c r="AN262" s="35">
        <v>7680</v>
      </c>
      <c r="AO262" s="4" t="s">
        <v>113</v>
      </c>
    </row>
    <row r="263" spans="40:41" x14ac:dyDescent="0.1">
      <c r="AN263" s="35">
        <v>7710</v>
      </c>
      <c r="AO263" s="4" t="s">
        <v>100</v>
      </c>
    </row>
    <row r="264" spans="40:41" x14ac:dyDescent="0.1">
      <c r="AN264" s="35">
        <v>7740</v>
      </c>
      <c r="AO264" s="4" t="s">
        <v>104</v>
      </c>
    </row>
    <row r="265" spans="40:41" x14ac:dyDescent="0.1">
      <c r="AN265" s="35">
        <v>7769</v>
      </c>
      <c r="AO265" s="4" t="s">
        <v>105</v>
      </c>
    </row>
    <row r="266" spans="40:41" x14ac:dyDescent="0.1">
      <c r="AN266" s="35">
        <v>7799</v>
      </c>
      <c r="AO266" s="4" t="s">
        <v>106</v>
      </c>
    </row>
    <row r="267" spans="40:41" x14ac:dyDescent="0.1">
      <c r="AN267" s="35">
        <v>7828</v>
      </c>
      <c r="AO267" s="4" t="s">
        <v>107</v>
      </c>
    </row>
    <row r="268" spans="40:41" x14ac:dyDescent="0.1">
      <c r="AN268" s="35">
        <v>7857</v>
      </c>
      <c r="AO268" s="4" t="s">
        <v>108</v>
      </c>
    </row>
    <row r="269" spans="40:41" x14ac:dyDescent="0.1">
      <c r="AN269" s="35">
        <v>7887</v>
      </c>
      <c r="AO269" s="4" t="s">
        <v>109</v>
      </c>
    </row>
    <row r="270" spans="40:41" x14ac:dyDescent="0.1">
      <c r="AN270" s="35">
        <v>7916</v>
      </c>
      <c r="AO270" s="4" t="s">
        <v>110</v>
      </c>
    </row>
    <row r="271" spans="40:41" x14ac:dyDescent="0.1">
      <c r="AN271" s="35">
        <v>7945</v>
      </c>
      <c r="AO271" s="4" t="s">
        <v>111</v>
      </c>
    </row>
    <row r="272" spans="40:41" x14ac:dyDescent="0.1">
      <c r="AN272" s="35">
        <v>7975</v>
      </c>
      <c r="AO272" s="4" t="s">
        <v>112</v>
      </c>
    </row>
    <row r="273" spans="40:41" x14ac:dyDescent="0.1">
      <c r="AN273" s="35">
        <v>8004</v>
      </c>
      <c r="AO273" s="4" t="s">
        <v>379</v>
      </c>
    </row>
    <row r="274" spans="40:41" x14ac:dyDescent="0.1">
      <c r="AN274" s="35">
        <v>8034</v>
      </c>
      <c r="AO274" s="4" t="s">
        <v>113</v>
      </c>
    </row>
    <row r="275" spans="40:41" x14ac:dyDescent="0.1">
      <c r="AN275" s="35">
        <v>8064</v>
      </c>
      <c r="AO275" s="4" t="s">
        <v>100</v>
      </c>
    </row>
    <row r="276" spans="40:41" x14ac:dyDescent="0.1">
      <c r="AN276" s="35">
        <v>8094</v>
      </c>
      <c r="AO276" s="4" t="s">
        <v>104</v>
      </c>
    </row>
    <row r="277" spans="40:41" x14ac:dyDescent="0.1">
      <c r="AN277" s="35">
        <v>8123</v>
      </c>
      <c r="AO277" s="4" t="s">
        <v>105</v>
      </c>
    </row>
    <row r="278" spans="40:41" x14ac:dyDescent="0.1">
      <c r="AN278" s="35">
        <v>8153</v>
      </c>
      <c r="AO278" s="4" t="s">
        <v>106</v>
      </c>
    </row>
    <row r="279" spans="40:41" x14ac:dyDescent="0.1">
      <c r="AN279" s="35">
        <v>8183</v>
      </c>
      <c r="AO279" s="4" t="s">
        <v>107</v>
      </c>
    </row>
    <row r="280" spans="40:41" x14ac:dyDescent="0.1">
      <c r="AN280" s="35">
        <v>8212</v>
      </c>
      <c r="AO280" s="4" t="s">
        <v>142</v>
      </c>
    </row>
    <row r="281" spans="40:41" x14ac:dyDescent="0.1">
      <c r="AN281" s="35">
        <v>8241</v>
      </c>
      <c r="AO281" s="4" t="s">
        <v>108</v>
      </c>
    </row>
    <row r="282" spans="40:41" x14ac:dyDescent="0.1">
      <c r="AN282" s="35">
        <v>8271</v>
      </c>
      <c r="AO282" s="4" t="s">
        <v>109</v>
      </c>
    </row>
    <row r="283" spans="40:41" x14ac:dyDescent="0.1">
      <c r="AN283" s="35">
        <v>8300</v>
      </c>
      <c r="AO283" s="4" t="s">
        <v>110</v>
      </c>
    </row>
    <row r="284" spans="40:41" x14ac:dyDescent="0.1">
      <c r="AN284" s="35">
        <v>8329</v>
      </c>
      <c r="AO284" s="4" t="s">
        <v>111</v>
      </c>
    </row>
    <row r="285" spans="40:41" x14ac:dyDescent="0.1">
      <c r="AN285" s="35">
        <v>8359</v>
      </c>
      <c r="AO285" s="4" t="s">
        <v>112</v>
      </c>
    </row>
    <row r="286" spans="40:41" x14ac:dyDescent="0.1">
      <c r="AN286" s="35">
        <v>8388</v>
      </c>
      <c r="AO286" s="4" t="s">
        <v>379</v>
      </c>
    </row>
    <row r="287" spans="40:41" x14ac:dyDescent="0.1">
      <c r="AN287" s="35">
        <v>8418</v>
      </c>
      <c r="AO287" s="4" t="s">
        <v>113</v>
      </c>
    </row>
    <row r="288" spans="40:41" x14ac:dyDescent="0.1">
      <c r="AN288" s="35">
        <v>8448</v>
      </c>
      <c r="AO288" s="4" t="s">
        <v>100</v>
      </c>
    </row>
    <row r="289" spans="40:41" x14ac:dyDescent="0.1">
      <c r="AN289" s="35">
        <v>8477</v>
      </c>
      <c r="AO289" s="4" t="s">
        <v>104</v>
      </c>
    </row>
    <row r="290" spans="40:41" x14ac:dyDescent="0.1">
      <c r="AN290" s="35">
        <v>8507</v>
      </c>
      <c r="AO290" s="4" t="s">
        <v>105</v>
      </c>
    </row>
    <row r="291" spans="40:41" x14ac:dyDescent="0.1">
      <c r="AN291" s="35">
        <v>8537</v>
      </c>
      <c r="AO291" s="4" t="s">
        <v>106</v>
      </c>
    </row>
    <row r="292" spans="40:41" x14ac:dyDescent="0.1">
      <c r="AN292" s="35">
        <v>8566</v>
      </c>
      <c r="AO292" s="4" t="s">
        <v>107</v>
      </c>
    </row>
    <row r="293" spans="40:41" x14ac:dyDescent="0.1">
      <c r="AN293" s="35">
        <v>8596</v>
      </c>
      <c r="AO293" s="4" t="s">
        <v>108</v>
      </c>
    </row>
    <row r="294" spans="40:41" x14ac:dyDescent="0.1">
      <c r="AN294" s="35">
        <v>8625</v>
      </c>
      <c r="AO294" s="4" t="s">
        <v>109</v>
      </c>
    </row>
    <row r="295" spans="40:41" x14ac:dyDescent="0.1">
      <c r="AN295" s="35">
        <v>8655</v>
      </c>
      <c r="AO295" s="4" t="s">
        <v>110</v>
      </c>
    </row>
    <row r="296" spans="40:41" x14ac:dyDescent="0.1">
      <c r="AN296" s="35">
        <v>8684</v>
      </c>
      <c r="AO296" s="4" t="s">
        <v>111</v>
      </c>
    </row>
    <row r="297" spans="40:41" x14ac:dyDescent="0.1">
      <c r="AN297" s="35">
        <v>8713</v>
      </c>
      <c r="AO297" s="4" t="s">
        <v>112</v>
      </c>
    </row>
    <row r="298" spans="40:41" x14ac:dyDescent="0.1">
      <c r="AN298" s="35">
        <v>8742</v>
      </c>
      <c r="AO298" s="4" t="s">
        <v>379</v>
      </c>
    </row>
    <row r="299" spans="40:41" x14ac:dyDescent="0.1">
      <c r="AN299" s="35">
        <v>8772</v>
      </c>
      <c r="AO299" s="4" t="s">
        <v>113</v>
      </c>
    </row>
    <row r="300" spans="40:41" x14ac:dyDescent="0.1">
      <c r="AN300" s="35">
        <v>8802</v>
      </c>
      <c r="AO300" s="4" t="s">
        <v>100</v>
      </c>
    </row>
    <row r="301" spans="40:41" x14ac:dyDescent="0.1">
      <c r="AN301" s="35">
        <v>8831</v>
      </c>
      <c r="AO301" s="4" t="s">
        <v>104</v>
      </c>
    </row>
    <row r="302" spans="40:41" x14ac:dyDescent="0.1">
      <c r="AN302" s="35">
        <v>8861</v>
      </c>
      <c r="AO302" s="4" t="s">
        <v>105</v>
      </c>
    </row>
    <row r="303" spans="40:41" x14ac:dyDescent="0.1">
      <c r="AN303" s="35">
        <v>8891</v>
      </c>
      <c r="AO303" s="4" t="s">
        <v>106</v>
      </c>
    </row>
    <row r="304" spans="40:41" x14ac:dyDescent="0.1">
      <c r="AN304" s="35">
        <v>8920</v>
      </c>
      <c r="AO304" s="4" t="s">
        <v>107</v>
      </c>
    </row>
    <row r="305" spans="40:41" x14ac:dyDescent="0.1">
      <c r="AN305" s="35">
        <v>8950</v>
      </c>
      <c r="AO305" s="4" t="s">
        <v>108</v>
      </c>
    </row>
    <row r="306" spans="40:41" x14ac:dyDescent="0.1">
      <c r="AN306" s="35">
        <v>8980</v>
      </c>
      <c r="AO306" s="4" t="s">
        <v>109</v>
      </c>
    </row>
    <row r="307" spans="40:41" x14ac:dyDescent="0.1">
      <c r="AN307" s="35">
        <v>9009</v>
      </c>
      <c r="AO307" s="4" t="s">
        <v>110</v>
      </c>
    </row>
    <row r="308" spans="40:41" x14ac:dyDescent="0.1">
      <c r="AN308" s="35">
        <v>9039</v>
      </c>
      <c r="AO308" s="4" t="s">
        <v>111</v>
      </c>
    </row>
    <row r="309" spans="40:41" x14ac:dyDescent="0.1">
      <c r="AN309" s="35">
        <v>9068</v>
      </c>
      <c r="AO309" s="4" t="s">
        <v>112</v>
      </c>
    </row>
    <row r="310" spans="40:41" x14ac:dyDescent="0.1">
      <c r="AN310" s="35">
        <v>9098</v>
      </c>
      <c r="AO310" s="4" t="s">
        <v>379</v>
      </c>
    </row>
    <row r="311" spans="40:41" x14ac:dyDescent="0.1">
      <c r="AN311" s="35">
        <v>9127</v>
      </c>
      <c r="AO311" s="4" t="s">
        <v>113</v>
      </c>
    </row>
    <row r="312" spans="40:41" x14ac:dyDescent="0.1">
      <c r="AN312" s="35">
        <v>9156</v>
      </c>
      <c r="AO312" s="4" t="s">
        <v>100</v>
      </c>
    </row>
    <row r="313" spans="40:41" x14ac:dyDescent="0.1">
      <c r="AN313" s="35">
        <v>9186</v>
      </c>
      <c r="AO313" s="4" t="s">
        <v>104</v>
      </c>
    </row>
    <row r="314" spans="40:41" x14ac:dyDescent="0.1">
      <c r="AN314" s="35">
        <v>9215</v>
      </c>
      <c r="AO314" s="4" t="s">
        <v>105</v>
      </c>
    </row>
    <row r="315" spans="40:41" x14ac:dyDescent="0.1">
      <c r="AN315" s="35">
        <v>9245</v>
      </c>
      <c r="AO315" s="4" t="s">
        <v>106</v>
      </c>
    </row>
    <row r="316" spans="40:41" x14ac:dyDescent="0.1">
      <c r="AN316" s="35">
        <v>9274</v>
      </c>
      <c r="AO316" s="4" t="s">
        <v>143</v>
      </c>
    </row>
    <row r="317" spans="40:41" x14ac:dyDescent="0.1">
      <c r="AN317" s="35">
        <v>9304</v>
      </c>
      <c r="AO317" s="4" t="s">
        <v>107</v>
      </c>
    </row>
    <row r="318" spans="40:41" x14ac:dyDescent="0.1">
      <c r="AN318" s="35">
        <v>9334</v>
      </c>
      <c r="AO318" s="4" t="s">
        <v>108</v>
      </c>
    </row>
    <row r="319" spans="40:41" x14ac:dyDescent="0.1">
      <c r="AN319" s="35">
        <v>9363</v>
      </c>
      <c r="AO319" s="4" t="s">
        <v>109</v>
      </c>
    </row>
    <row r="320" spans="40:41" x14ac:dyDescent="0.1">
      <c r="AN320" s="35">
        <v>9393</v>
      </c>
      <c r="AO320" s="4" t="s">
        <v>110</v>
      </c>
    </row>
    <row r="321" spans="40:41" x14ac:dyDescent="0.1">
      <c r="AN321" s="35">
        <v>9423</v>
      </c>
      <c r="AO321" s="4" t="s">
        <v>111</v>
      </c>
    </row>
    <row r="322" spans="40:41" x14ac:dyDescent="0.1">
      <c r="AN322" s="35">
        <v>9452</v>
      </c>
      <c r="AO322" s="4" t="s">
        <v>112</v>
      </c>
    </row>
    <row r="323" spans="40:41" x14ac:dyDescent="0.1">
      <c r="AN323" s="35">
        <v>9482</v>
      </c>
      <c r="AO323" s="4" t="s">
        <v>379</v>
      </c>
    </row>
    <row r="324" spans="40:41" x14ac:dyDescent="0.1">
      <c r="AN324" s="35">
        <v>9511</v>
      </c>
      <c r="AO324" s="4" t="s">
        <v>113</v>
      </c>
    </row>
    <row r="325" spans="40:41" x14ac:dyDescent="0.1">
      <c r="AN325" s="35">
        <v>9541</v>
      </c>
      <c r="AO325" s="4" t="s">
        <v>100</v>
      </c>
    </row>
    <row r="326" spans="40:41" x14ac:dyDescent="0.1">
      <c r="AN326" s="35">
        <v>9570</v>
      </c>
      <c r="AO326" s="4" t="s">
        <v>104</v>
      </c>
    </row>
    <row r="327" spans="40:41" x14ac:dyDescent="0.1">
      <c r="AN327" s="35">
        <v>9599</v>
      </c>
      <c r="AO327" s="4" t="s">
        <v>105</v>
      </c>
    </row>
    <row r="328" spans="40:41" x14ac:dyDescent="0.1">
      <c r="AN328" s="35">
        <v>9629</v>
      </c>
      <c r="AO328" s="4" t="s">
        <v>106</v>
      </c>
    </row>
    <row r="329" spans="40:41" x14ac:dyDescent="0.1">
      <c r="AN329" s="35">
        <v>9658</v>
      </c>
      <c r="AO329" s="4" t="s">
        <v>107</v>
      </c>
    </row>
    <row r="330" spans="40:41" x14ac:dyDescent="0.1">
      <c r="AN330" s="35">
        <v>9688</v>
      </c>
      <c r="AO330" s="4" t="s">
        <v>108</v>
      </c>
    </row>
    <row r="331" spans="40:41" x14ac:dyDescent="0.1">
      <c r="AN331" s="35">
        <v>9717</v>
      </c>
      <c r="AO331" s="4" t="s">
        <v>109</v>
      </c>
    </row>
    <row r="332" spans="40:41" x14ac:dyDescent="0.1">
      <c r="AN332" s="35">
        <v>9747</v>
      </c>
      <c r="AO332" s="4" t="s">
        <v>110</v>
      </c>
    </row>
    <row r="333" spans="40:41" x14ac:dyDescent="0.1">
      <c r="AN333" s="35">
        <v>9777</v>
      </c>
      <c r="AO333" s="4" t="s">
        <v>111</v>
      </c>
    </row>
    <row r="334" spans="40:41" x14ac:dyDescent="0.1">
      <c r="AN334" s="35">
        <v>9806</v>
      </c>
      <c r="AO334" s="4" t="s">
        <v>112</v>
      </c>
    </row>
    <row r="335" spans="40:41" x14ac:dyDescent="0.1">
      <c r="AN335" s="35">
        <v>9836</v>
      </c>
      <c r="AO335" s="4" t="s">
        <v>379</v>
      </c>
    </row>
    <row r="336" spans="40:41" x14ac:dyDescent="0.1">
      <c r="AN336" s="35">
        <v>9866</v>
      </c>
      <c r="AO336" s="4" t="s">
        <v>113</v>
      </c>
    </row>
    <row r="337" spans="40:41" x14ac:dyDescent="0.1">
      <c r="AN337" s="35">
        <v>9895</v>
      </c>
      <c r="AO337" s="4" t="s">
        <v>100</v>
      </c>
    </row>
    <row r="338" spans="40:41" x14ac:dyDescent="0.1">
      <c r="AN338" s="35">
        <v>9925</v>
      </c>
      <c r="AO338" s="4" t="s">
        <v>104</v>
      </c>
    </row>
    <row r="339" spans="40:41" x14ac:dyDescent="0.1">
      <c r="AN339" s="35">
        <v>9954</v>
      </c>
      <c r="AO339" s="4" t="s">
        <v>105</v>
      </c>
    </row>
    <row r="340" spans="40:41" x14ac:dyDescent="0.1">
      <c r="AN340" s="35">
        <v>9983</v>
      </c>
      <c r="AO340" s="4" t="s">
        <v>106</v>
      </c>
    </row>
    <row r="341" spans="40:41" x14ac:dyDescent="0.1">
      <c r="AN341" s="35">
        <v>10013</v>
      </c>
      <c r="AO341" s="4" t="s">
        <v>107</v>
      </c>
    </row>
    <row r="342" spans="40:41" x14ac:dyDescent="0.1">
      <c r="AN342" s="35">
        <v>10042</v>
      </c>
      <c r="AO342" s="4" t="s">
        <v>108</v>
      </c>
    </row>
    <row r="343" spans="40:41" x14ac:dyDescent="0.1">
      <c r="AN343" s="35">
        <v>10072</v>
      </c>
      <c r="AO343" s="4" t="s">
        <v>109</v>
      </c>
    </row>
    <row r="344" spans="40:41" x14ac:dyDescent="0.1">
      <c r="AN344" s="35">
        <v>10101</v>
      </c>
      <c r="AO344" s="4" t="s">
        <v>110</v>
      </c>
    </row>
    <row r="345" spans="40:41" x14ac:dyDescent="0.1">
      <c r="AN345" s="35">
        <v>10131</v>
      </c>
      <c r="AO345" s="4" t="s">
        <v>111</v>
      </c>
    </row>
    <row r="346" spans="40:41" x14ac:dyDescent="0.1">
      <c r="AN346" s="35">
        <v>10160</v>
      </c>
      <c r="AO346" s="4" t="s">
        <v>112</v>
      </c>
    </row>
    <row r="347" spans="40:41" x14ac:dyDescent="0.1">
      <c r="AN347" s="35">
        <v>10190</v>
      </c>
      <c r="AO347" s="4" t="s">
        <v>379</v>
      </c>
    </row>
    <row r="348" spans="40:41" x14ac:dyDescent="0.1">
      <c r="AN348" s="35">
        <v>10220</v>
      </c>
      <c r="AO348" s="4" t="s">
        <v>113</v>
      </c>
    </row>
    <row r="349" spans="40:41" x14ac:dyDescent="0.1">
      <c r="AN349" s="35">
        <v>10250</v>
      </c>
      <c r="AO349" s="4" t="s">
        <v>100</v>
      </c>
    </row>
    <row r="350" spans="40:41" x14ac:dyDescent="0.1">
      <c r="AN350" s="35">
        <v>10279</v>
      </c>
      <c r="AO350" s="4" t="s">
        <v>104</v>
      </c>
    </row>
    <row r="351" spans="40:41" x14ac:dyDescent="0.1">
      <c r="AN351" s="35">
        <v>10309</v>
      </c>
      <c r="AO351" s="4" t="s">
        <v>144</v>
      </c>
    </row>
    <row r="352" spans="40:41" x14ac:dyDescent="0.1">
      <c r="AN352" s="35">
        <v>10338</v>
      </c>
      <c r="AO352" s="4" t="s">
        <v>105</v>
      </c>
    </row>
    <row r="353" spans="40:41" x14ac:dyDescent="0.1">
      <c r="AN353" s="35">
        <v>10367</v>
      </c>
      <c r="AO353" s="4" t="s">
        <v>106</v>
      </c>
    </row>
    <row r="354" spans="40:41" x14ac:dyDescent="0.1">
      <c r="AN354" s="35">
        <v>10397</v>
      </c>
      <c r="AO354" s="4" t="s">
        <v>107</v>
      </c>
    </row>
    <row r="355" spans="40:41" x14ac:dyDescent="0.1">
      <c r="AN355" s="35">
        <v>10426</v>
      </c>
      <c r="AO355" s="4" t="s">
        <v>108</v>
      </c>
    </row>
    <row r="356" spans="40:41" x14ac:dyDescent="0.1">
      <c r="AN356" s="35">
        <v>10455</v>
      </c>
      <c r="AO356" s="4" t="s">
        <v>109</v>
      </c>
    </row>
    <row r="357" spans="40:41" x14ac:dyDescent="0.1">
      <c r="AN357" s="35">
        <v>10485</v>
      </c>
      <c r="AO357" s="4" t="s">
        <v>110</v>
      </c>
    </row>
    <row r="358" spans="40:41" x14ac:dyDescent="0.1">
      <c r="AN358" s="35">
        <v>10514</v>
      </c>
      <c r="AO358" s="4" t="s">
        <v>111</v>
      </c>
    </row>
    <row r="359" spans="40:41" x14ac:dyDescent="0.1">
      <c r="AN359" s="35">
        <v>10544</v>
      </c>
      <c r="AO359" s="4" t="s">
        <v>112</v>
      </c>
    </row>
    <row r="360" spans="40:41" x14ac:dyDescent="0.1">
      <c r="AN360" s="35">
        <v>10574</v>
      </c>
      <c r="AO360" s="4" t="s">
        <v>379</v>
      </c>
    </row>
    <row r="361" spans="40:41" x14ac:dyDescent="0.1">
      <c r="AN361" s="35">
        <v>10604</v>
      </c>
      <c r="AO361" s="4" t="s">
        <v>113</v>
      </c>
    </row>
    <row r="362" spans="40:41" x14ac:dyDescent="0.1">
      <c r="AN362" s="35">
        <v>10634</v>
      </c>
      <c r="AO362" s="4" t="s">
        <v>100</v>
      </c>
    </row>
    <row r="363" spans="40:41" x14ac:dyDescent="0.1">
      <c r="AN363" s="35">
        <v>10663</v>
      </c>
      <c r="AO363" s="4" t="s">
        <v>104</v>
      </c>
    </row>
    <row r="364" spans="40:41" x14ac:dyDescent="0.1">
      <c r="AN364" s="35">
        <v>10693</v>
      </c>
      <c r="AO364" s="4" t="s">
        <v>105</v>
      </c>
    </row>
    <row r="365" spans="40:41" x14ac:dyDescent="0.1">
      <c r="AN365" s="35">
        <v>10722</v>
      </c>
      <c r="AO365" s="4" t="s">
        <v>106</v>
      </c>
    </row>
    <row r="366" spans="40:41" x14ac:dyDescent="0.1">
      <c r="AN366" s="35">
        <v>10751</v>
      </c>
      <c r="AO366" s="4" t="s">
        <v>107</v>
      </c>
    </row>
    <row r="367" spans="40:41" x14ac:dyDescent="0.1">
      <c r="AN367" s="35">
        <v>10781</v>
      </c>
      <c r="AO367" s="4" t="s">
        <v>108</v>
      </c>
    </row>
    <row r="368" spans="40:41" x14ac:dyDescent="0.1">
      <c r="AN368" s="35">
        <v>10810</v>
      </c>
      <c r="AO368" s="4" t="s">
        <v>109</v>
      </c>
    </row>
    <row r="369" spans="40:41" x14ac:dyDescent="0.1">
      <c r="AN369" s="35">
        <v>10839</v>
      </c>
      <c r="AO369" s="4" t="s">
        <v>110</v>
      </c>
    </row>
    <row r="370" spans="40:41" x14ac:dyDescent="0.1">
      <c r="AN370" s="35">
        <v>10869</v>
      </c>
      <c r="AO370" s="4" t="s">
        <v>111</v>
      </c>
    </row>
    <row r="371" spans="40:41" x14ac:dyDescent="0.1">
      <c r="AN371" s="35">
        <v>10898</v>
      </c>
      <c r="AO371" s="4" t="s">
        <v>112</v>
      </c>
    </row>
    <row r="372" spans="40:41" x14ac:dyDescent="0.1">
      <c r="AN372" s="35">
        <v>10928</v>
      </c>
      <c r="AO372" s="4" t="s">
        <v>379</v>
      </c>
    </row>
    <row r="373" spans="40:41" x14ac:dyDescent="0.1">
      <c r="AN373" s="35">
        <v>10958</v>
      </c>
      <c r="AO373" s="4" t="s">
        <v>113</v>
      </c>
    </row>
    <row r="374" spans="40:41" x14ac:dyDescent="0.1">
      <c r="AN374" s="35">
        <v>10988</v>
      </c>
      <c r="AO374" s="4" t="s">
        <v>100</v>
      </c>
    </row>
    <row r="375" spans="40:41" x14ac:dyDescent="0.1">
      <c r="AN375" s="35">
        <v>11017</v>
      </c>
      <c r="AO375" s="4" t="s">
        <v>104</v>
      </c>
    </row>
    <row r="376" spans="40:41" x14ac:dyDescent="0.1">
      <c r="AN376" s="35">
        <v>11047</v>
      </c>
      <c r="AO376" s="4" t="s">
        <v>105</v>
      </c>
    </row>
    <row r="377" spans="40:41" x14ac:dyDescent="0.1">
      <c r="AN377" s="35">
        <v>11077</v>
      </c>
      <c r="AO377" s="4" t="s">
        <v>106</v>
      </c>
    </row>
    <row r="378" spans="40:41" x14ac:dyDescent="0.1">
      <c r="AN378" s="35">
        <v>11106</v>
      </c>
      <c r="AO378" s="4" t="s">
        <v>107</v>
      </c>
    </row>
    <row r="379" spans="40:41" x14ac:dyDescent="0.1">
      <c r="AN379" s="35">
        <v>11135</v>
      </c>
      <c r="AO379" s="4" t="s">
        <v>108</v>
      </c>
    </row>
    <row r="380" spans="40:41" x14ac:dyDescent="0.1">
      <c r="AN380" s="35">
        <v>11165</v>
      </c>
      <c r="AO380" s="4" t="s">
        <v>145</v>
      </c>
    </row>
    <row r="381" spans="40:41" x14ac:dyDescent="0.1">
      <c r="AN381" s="35">
        <v>11194</v>
      </c>
      <c r="AO381" s="4" t="s">
        <v>109</v>
      </c>
    </row>
    <row r="382" spans="40:41" x14ac:dyDescent="0.1">
      <c r="AN382" s="35">
        <v>11223</v>
      </c>
      <c r="AO382" s="4" t="s">
        <v>110</v>
      </c>
    </row>
    <row r="383" spans="40:41" x14ac:dyDescent="0.1">
      <c r="AN383" s="35">
        <v>11253</v>
      </c>
      <c r="AO383" s="4" t="s">
        <v>111</v>
      </c>
    </row>
    <row r="384" spans="40:41" x14ac:dyDescent="0.1">
      <c r="AN384" s="35">
        <v>11282</v>
      </c>
      <c r="AO384" s="4" t="s">
        <v>112</v>
      </c>
    </row>
    <row r="385" spans="40:41" x14ac:dyDescent="0.1">
      <c r="AN385" s="35">
        <v>11312</v>
      </c>
      <c r="AO385" s="4" t="s">
        <v>379</v>
      </c>
    </row>
    <row r="386" spans="40:41" x14ac:dyDescent="0.1">
      <c r="AN386" s="35">
        <v>11342</v>
      </c>
      <c r="AO386" s="4" t="s">
        <v>113</v>
      </c>
    </row>
    <row r="387" spans="40:41" x14ac:dyDescent="0.1">
      <c r="AN387" s="35">
        <v>11371</v>
      </c>
      <c r="AO387" s="4" t="s">
        <v>100</v>
      </c>
    </row>
    <row r="388" spans="40:41" x14ac:dyDescent="0.1">
      <c r="AN388" s="35">
        <v>11401</v>
      </c>
      <c r="AO388" s="4" t="s">
        <v>104</v>
      </c>
    </row>
    <row r="389" spans="40:41" x14ac:dyDescent="0.1">
      <c r="AN389" s="35">
        <v>11431</v>
      </c>
      <c r="AO389" s="4" t="s">
        <v>105</v>
      </c>
    </row>
    <row r="390" spans="40:41" x14ac:dyDescent="0.1">
      <c r="AN390" s="35">
        <v>11460</v>
      </c>
      <c r="AO390" s="4" t="s">
        <v>106</v>
      </c>
    </row>
    <row r="391" spans="40:41" x14ac:dyDescent="0.1">
      <c r="AN391" s="35">
        <v>11490</v>
      </c>
      <c r="AO391" s="4" t="s">
        <v>107</v>
      </c>
    </row>
    <row r="392" spans="40:41" x14ac:dyDescent="0.1">
      <c r="AN392" s="35">
        <v>11519</v>
      </c>
      <c r="AO392" s="4" t="s">
        <v>108</v>
      </c>
    </row>
    <row r="393" spans="40:41" x14ac:dyDescent="0.1">
      <c r="AN393" s="35">
        <v>11549</v>
      </c>
      <c r="AO393" s="4" t="s">
        <v>109</v>
      </c>
    </row>
    <row r="394" spans="40:41" x14ac:dyDescent="0.1">
      <c r="AN394" s="35">
        <v>11578</v>
      </c>
      <c r="AO394" s="4" t="s">
        <v>110</v>
      </c>
    </row>
    <row r="395" spans="40:41" x14ac:dyDescent="0.1">
      <c r="AN395" s="35">
        <v>11607</v>
      </c>
      <c r="AO395" s="4" t="s">
        <v>111</v>
      </c>
    </row>
    <row r="396" spans="40:41" x14ac:dyDescent="0.1">
      <c r="AN396" s="35">
        <v>11637</v>
      </c>
      <c r="AO396" s="4" t="s">
        <v>112</v>
      </c>
    </row>
    <row r="397" spans="40:41" x14ac:dyDescent="0.1">
      <c r="AN397" s="35">
        <v>11666</v>
      </c>
      <c r="AO397" s="4" t="s">
        <v>379</v>
      </c>
    </row>
    <row r="398" spans="40:41" x14ac:dyDescent="0.1">
      <c r="AN398" s="35">
        <v>11696</v>
      </c>
      <c r="AO398" s="4" t="s">
        <v>113</v>
      </c>
    </row>
    <row r="399" spans="40:41" x14ac:dyDescent="0.1">
      <c r="AN399" s="35">
        <v>11725</v>
      </c>
      <c r="AO399" s="4" t="s">
        <v>100</v>
      </c>
    </row>
    <row r="400" spans="40:41" x14ac:dyDescent="0.1">
      <c r="AN400" s="35">
        <v>11755</v>
      </c>
      <c r="AO400" s="4" t="s">
        <v>104</v>
      </c>
    </row>
    <row r="401" spans="40:41" x14ac:dyDescent="0.1">
      <c r="AN401" s="35">
        <v>11785</v>
      </c>
      <c r="AO401" s="4" t="s">
        <v>105</v>
      </c>
    </row>
    <row r="402" spans="40:41" x14ac:dyDescent="0.1">
      <c r="AN402" s="35">
        <v>11815</v>
      </c>
      <c r="AO402" s="4" t="s">
        <v>106</v>
      </c>
    </row>
    <row r="403" spans="40:41" x14ac:dyDescent="0.1">
      <c r="AN403" s="35">
        <v>11844</v>
      </c>
      <c r="AO403" s="4" t="s">
        <v>107</v>
      </c>
    </row>
    <row r="404" spans="40:41" x14ac:dyDescent="0.1">
      <c r="AN404" s="35">
        <v>11874</v>
      </c>
      <c r="AO404" s="4" t="s">
        <v>108</v>
      </c>
    </row>
    <row r="405" spans="40:41" x14ac:dyDescent="0.1">
      <c r="AN405" s="35">
        <v>11903</v>
      </c>
      <c r="AO405" s="4" t="s">
        <v>109</v>
      </c>
    </row>
    <row r="406" spans="40:41" x14ac:dyDescent="0.1">
      <c r="AN406" s="35">
        <v>11933</v>
      </c>
      <c r="AO406" s="4" t="s">
        <v>110</v>
      </c>
    </row>
    <row r="407" spans="40:41" x14ac:dyDescent="0.1">
      <c r="AN407" s="35">
        <v>11962</v>
      </c>
      <c r="AO407" s="4" t="s">
        <v>111</v>
      </c>
    </row>
    <row r="408" spans="40:41" x14ac:dyDescent="0.1">
      <c r="AN408" s="35">
        <v>11991</v>
      </c>
      <c r="AO408" s="4" t="s">
        <v>112</v>
      </c>
    </row>
    <row r="409" spans="40:41" x14ac:dyDescent="0.1">
      <c r="AN409" s="35">
        <v>12021</v>
      </c>
      <c r="AO409" s="4" t="s">
        <v>379</v>
      </c>
    </row>
    <row r="410" spans="40:41" x14ac:dyDescent="0.1">
      <c r="AN410" s="35">
        <v>12050</v>
      </c>
      <c r="AO410" s="4" t="s">
        <v>113</v>
      </c>
    </row>
    <row r="411" spans="40:41" x14ac:dyDescent="0.1">
      <c r="AN411" s="35">
        <v>12080</v>
      </c>
      <c r="AO411" s="4" t="s">
        <v>100</v>
      </c>
    </row>
    <row r="412" spans="40:41" x14ac:dyDescent="0.1">
      <c r="AN412" s="35">
        <v>12109</v>
      </c>
      <c r="AO412" s="4" t="s">
        <v>104</v>
      </c>
    </row>
    <row r="413" spans="40:41" x14ac:dyDescent="0.1">
      <c r="AN413" s="35">
        <v>12139</v>
      </c>
      <c r="AO413" s="4" t="s">
        <v>105</v>
      </c>
    </row>
    <row r="414" spans="40:41" x14ac:dyDescent="0.1">
      <c r="AN414" s="35">
        <v>12169</v>
      </c>
      <c r="AO414" s="4" t="s">
        <v>106</v>
      </c>
    </row>
    <row r="415" spans="40:41" x14ac:dyDescent="0.1">
      <c r="AN415" s="35">
        <v>12198</v>
      </c>
      <c r="AO415" s="4" t="s">
        <v>107</v>
      </c>
    </row>
    <row r="416" spans="40:41" x14ac:dyDescent="0.1">
      <c r="AN416" s="35">
        <v>12228</v>
      </c>
      <c r="AO416" s="4" t="s">
        <v>142</v>
      </c>
    </row>
    <row r="417" spans="40:41" x14ac:dyDescent="0.1">
      <c r="AN417" s="35">
        <v>12258</v>
      </c>
      <c r="AO417" s="4" t="s">
        <v>108</v>
      </c>
    </row>
    <row r="418" spans="40:41" x14ac:dyDescent="0.1">
      <c r="AN418" s="35">
        <v>12287</v>
      </c>
      <c r="AO418" s="4" t="s">
        <v>109</v>
      </c>
    </row>
    <row r="419" spans="40:41" x14ac:dyDescent="0.1">
      <c r="AN419" s="35">
        <v>12317</v>
      </c>
      <c r="AO419" s="4" t="s">
        <v>110</v>
      </c>
    </row>
    <row r="420" spans="40:41" x14ac:dyDescent="0.1">
      <c r="AN420" s="35">
        <v>12346</v>
      </c>
      <c r="AO420" s="4" t="s">
        <v>111</v>
      </c>
    </row>
    <row r="421" spans="40:41" x14ac:dyDescent="0.1">
      <c r="AN421" s="35">
        <v>12376</v>
      </c>
      <c r="AO421" s="4" t="s">
        <v>112</v>
      </c>
    </row>
    <row r="422" spans="40:41" x14ac:dyDescent="0.1">
      <c r="AN422" s="35">
        <v>12405</v>
      </c>
      <c r="AO422" s="4" t="s">
        <v>379</v>
      </c>
    </row>
    <row r="423" spans="40:41" x14ac:dyDescent="0.1">
      <c r="AN423" s="35">
        <v>12434</v>
      </c>
      <c r="AO423" s="4" t="s">
        <v>113</v>
      </c>
    </row>
    <row r="424" spans="40:41" x14ac:dyDescent="0.1">
      <c r="AN424" s="35">
        <v>12464</v>
      </c>
      <c r="AO424" s="4" t="s">
        <v>100</v>
      </c>
    </row>
    <row r="425" spans="40:41" x14ac:dyDescent="0.1">
      <c r="AN425" s="35">
        <v>12493</v>
      </c>
      <c r="AO425" s="4" t="s">
        <v>104</v>
      </c>
    </row>
    <row r="426" spans="40:41" x14ac:dyDescent="0.1">
      <c r="AN426" s="35">
        <v>12523</v>
      </c>
      <c r="AO426" s="4" t="s">
        <v>105</v>
      </c>
    </row>
    <row r="427" spans="40:41" x14ac:dyDescent="0.1">
      <c r="AN427" s="35">
        <v>12552</v>
      </c>
      <c r="AO427" s="4" t="s">
        <v>106</v>
      </c>
    </row>
    <row r="428" spans="40:41" x14ac:dyDescent="0.1">
      <c r="AN428" s="35">
        <v>12582</v>
      </c>
      <c r="AO428" s="4" t="s">
        <v>107</v>
      </c>
    </row>
    <row r="429" spans="40:41" x14ac:dyDescent="0.1">
      <c r="AN429" s="35">
        <v>12612</v>
      </c>
      <c r="AO429" s="4" t="s">
        <v>108</v>
      </c>
    </row>
    <row r="430" spans="40:41" x14ac:dyDescent="0.1">
      <c r="AN430" s="35">
        <v>12641</v>
      </c>
      <c r="AO430" s="4" t="s">
        <v>109</v>
      </c>
    </row>
    <row r="431" spans="40:41" x14ac:dyDescent="0.1">
      <c r="AN431" s="35">
        <v>12671</v>
      </c>
      <c r="AO431" s="4" t="s">
        <v>110</v>
      </c>
    </row>
    <row r="432" spans="40:41" x14ac:dyDescent="0.1">
      <c r="AN432" s="35">
        <v>12700</v>
      </c>
      <c r="AO432" s="4" t="s">
        <v>111</v>
      </c>
    </row>
    <row r="433" spans="40:41" x14ac:dyDescent="0.1">
      <c r="AN433" s="35">
        <v>12730</v>
      </c>
      <c r="AO433" s="4" t="s">
        <v>112</v>
      </c>
    </row>
    <row r="434" spans="40:41" x14ac:dyDescent="0.1">
      <c r="AN434" s="35">
        <v>12760</v>
      </c>
      <c r="AO434" s="4" t="s">
        <v>379</v>
      </c>
    </row>
    <row r="435" spans="40:41" x14ac:dyDescent="0.1">
      <c r="AN435" s="35">
        <v>12789</v>
      </c>
      <c r="AO435" s="4" t="s">
        <v>113</v>
      </c>
    </row>
    <row r="436" spans="40:41" x14ac:dyDescent="0.1">
      <c r="AN436" s="35">
        <v>12819</v>
      </c>
      <c r="AO436" s="4" t="s">
        <v>100</v>
      </c>
    </row>
    <row r="437" spans="40:41" x14ac:dyDescent="0.1">
      <c r="AN437" s="35">
        <v>12848</v>
      </c>
      <c r="AO437" s="4" t="s">
        <v>104</v>
      </c>
    </row>
    <row r="438" spans="40:41" x14ac:dyDescent="0.1">
      <c r="AN438" s="35">
        <v>12877</v>
      </c>
      <c r="AO438" s="4" t="s">
        <v>105</v>
      </c>
    </row>
    <row r="439" spans="40:41" x14ac:dyDescent="0.1">
      <c r="AN439" s="35">
        <v>12907</v>
      </c>
      <c r="AO439" s="4" t="s">
        <v>106</v>
      </c>
    </row>
    <row r="440" spans="40:41" x14ac:dyDescent="0.1">
      <c r="AN440" s="35">
        <v>12936</v>
      </c>
      <c r="AO440" s="4" t="s">
        <v>107</v>
      </c>
    </row>
    <row r="441" spans="40:41" x14ac:dyDescent="0.1">
      <c r="AN441" s="35">
        <v>12966</v>
      </c>
      <c r="AO441" s="4" t="s">
        <v>108</v>
      </c>
    </row>
    <row r="442" spans="40:41" x14ac:dyDescent="0.1">
      <c r="AN442" s="35">
        <v>12995</v>
      </c>
      <c r="AO442" s="4" t="s">
        <v>109</v>
      </c>
    </row>
    <row r="443" spans="40:41" x14ac:dyDescent="0.1">
      <c r="AN443" s="35">
        <v>13025</v>
      </c>
      <c r="AO443" s="4" t="s">
        <v>110</v>
      </c>
    </row>
    <row r="444" spans="40:41" x14ac:dyDescent="0.1">
      <c r="AN444" s="35">
        <v>13055</v>
      </c>
      <c r="AO444" s="4" t="s">
        <v>111</v>
      </c>
    </row>
    <row r="445" spans="40:41" x14ac:dyDescent="0.1">
      <c r="AN445" s="35">
        <v>13084</v>
      </c>
      <c r="AO445" s="4" t="s">
        <v>112</v>
      </c>
    </row>
    <row r="446" spans="40:41" x14ac:dyDescent="0.1">
      <c r="AN446" s="35">
        <v>13114</v>
      </c>
      <c r="AO446" s="4" t="s">
        <v>379</v>
      </c>
    </row>
    <row r="447" spans="40:41" x14ac:dyDescent="0.1">
      <c r="AN447" s="35">
        <v>13144</v>
      </c>
      <c r="AO447" s="4" t="s">
        <v>113</v>
      </c>
    </row>
    <row r="448" spans="40:41" x14ac:dyDescent="0.1">
      <c r="AN448" s="35">
        <v>13173</v>
      </c>
      <c r="AO448" s="4" t="s">
        <v>100</v>
      </c>
    </row>
    <row r="449" spans="40:41" x14ac:dyDescent="0.1">
      <c r="AN449" s="35">
        <v>13203</v>
      </c>
      <c r="AO449" s="4" t="s">
        <v>104</v>
      </c>
    </row>
    <row r="450" spans="40:41" x14ac:dyDescent="0.1">
      <c r="AN450" s="35">
        <v>13232</v>
      </c>
      <c r="AO450" s="4" t="s">
        <v>105</v>
      </c>
    </row>
    <row r="451" spans="40:41" x14ac:dyDescent="0.1">
      <c r="AN451" s="35">
        <v>13261</v>
      </c>
      <c r="AO451" s="4" t="s">
        <v>147</v>
      </c>
    </row>
    <row r="452" spans="40:41" x14ac:dyDescent="0.1">
      <c r="AN452" s="35">
        <v>13291</v>
      </c>
      <c r="AO452" s="4" t="s">
        <v>106</v>
      </c>
    </row>
    <row r="453" spans="40:41" x14ac:dyDescent="0.1">
      <c r="AN453" s="35">
        <v>13320</v>
      </c>
      <c r="AO453" s="4" t="s">
        <v>107</v>
      </c>
    </row>
    <row r="454" spans="40:41" x14ac:dyDescent="0.1">
      <c r="AN454" s="35">
        <v>13349</v>
      </c>
      <c r="AO454" s="4" t="s">
        <v>108</v>
      </c>
    </row>
    <row r="455" spans="40:41" x14ac:dyDescent="0.1">
      <c r="AN455" s="35">
        <v>13379</v>
      </c>
      <c r="AO455" s="4" t="s">
        <v>109</v>
      </c>
    </row>
    <row r="456" spans="40:41" x14ac:dyDescent="0.1">
      <c r="AN456" s="35">
        <v>13409</v>
      </c>
      <c r="AO456" s="4" t="s">
        <v>110</v>
      </c>
    </row>
    <row r="457" spans="40:41" x14ac:dyDescent="0.1">
      <c r="AN457" s="35">
        <v>13438</v>
      </c>
      <c r="AO457" s="4" t="s">
        <v>111</v>
      </c>
    </row>
    <row r="458" spans="40:41" x14ac:dyDescent="0.1">
      <c r="AN458" s="35">
        <v>13468</v>
      </c>
      <c r="AO458" s="4" t="s">
        <v>112</v>
      </c>
    </row>
    <row r="459" spans="40:41" x14ac:dyDescent="0.1">
      <c r="AN459" s="35">
        <v>13498</v>
      </c>
      <c r="AO459" s="4" t="s">
        <v>379</v>
      </c>
    </row>
    <row r="460" spans="40:41" x14ac:dyDescent="0.1">
      <c r="AN460" s="35">
        <v>13528</v>
      </c>
      <c r="AO460" s="4" t="s">
        <v>113</v>
      </c>
    </row>
    <row r="461" spans="40:41" x14ac:dyDescent="0.1">
      <c r="AN461" s="35">
        <v>13557</v>
      </c>
      <c r="AO461" s="4" t="s">
        <v>100</v>
      </c>
    </row>
    <row r="462" spans="40:41" x14ac:dyDescent="0.1">
      <c r="AN462" s="35">
        <v>13587</v>
      </c>
      <c r="AO462" s="4" t="s">
        <v>104</v>
      </c>
    </row>
    <row r="463" spans="40:41" x14ac:dyDescent="0.1">
      <c r="AN463" s="35">
        <v>13616</v>
      </c>
      <c r="AO463" s="4" t="s">
        <v>105</v>
      </c>
    </row>
    <row r="464" spans="40:41" x14ac:dyDescent="0.1">
      <c r="AN464" s="35">
        <v>13645</v>
      </c>
      <c r="AO464" s="4" t="s">
        <v>106</v>
      </c>
    </row>
    <row r="465" spans="40:41" x14ac:dyDescent="0.1">
      <c r="AN465" s="35">
        <v>13675</v>
      </c>
      <c r="AO465" s="4" t="s">
        <v>107</v>
      </c>
    </row>
    <row r="466" spans="40:41" x14ac:dyDescent="0.1">
      <c r="AN466" s="35">
        <v>13704</v>
      </c>
      <c r="AO466" s="4" t="s">
        <v>108</v>
      </c>
    </row>
    <row r="467" spans="40:41" x14ac:dyDescent="0.1">
      <c r="AN467" s="35">
        <v>13733</v>
      </c>
      <c r="AO467" s="4" t="s">
        <v>109</v>
      </c>
    </row>
    <row r="468" spans="40:41" x14ac:dyDescent="0.1">
      <c r="AN468" s="35">
        <v>13763</v>
      </c>
      <c r="AO468" s="4" t="s">
        <v>110</v>
      </c>
    </row>
    <row r="469" spans="40:41" x14ac:dyDescent="0.1">
      <c r="AN469" s="35">
        <v>13792</v>
      </c>
      <c r="AO469" s="4" t="s">
        <v>111</v>
      </c>
    </row>
    <row r="470" spans="40:41" x14ac:dyDescent="0.1">
      <c r="AN470" s="35">
        <v>13822</v>
      </c>
      <c r="AO470" s="4" t="s">
        <v>112</v>
      </c>
    </row>
    <row r="471" spans="40:41" x14ac:dyDescent="0.1">
      <c r="AN471" s="35">
        <v>13852</v>
      </c>
      <c r="AO471" s="4" t="s">
        <v>379</v>
      </c>
    </row>
    <row r="472" spans="40:41" x14ac:dyDescent="0.1">
      <c r="AN472" s="35">
        <v>13882</v>
      </c>
      <c r="AO472" s="4" t="s">
        <v>113</v>
      </c>
    </row>
    <row r="473" spans="40:41" x14ac:dyDescent="0.1">
      <c r="AN473" s="35">
        <v>13911</v>
      </c>
      <c r="AO473" s="4" t="s">
        <v>100</v>
      </c>
    </row>
    <row r="474" spans="40:41" x14ac:dyDescent="0.1">
      <c r="AN474" s="35">
        <v>13941</v>
      </c>
      <c r="AO474" s="4" t="s">
        <v>104</v>
      </c>
    </row>
    <row r="475" spans="40:41" x14ac:dyDescent="0.1">
      <c r="AN475" s="35">
        <v>13971</v>
      </c>
      <c r="AO475" s="4" t="s">
        <v>105</v>
      </c>
    </row>
    <row r="476" spans="40:41" x14ac:dyDescent="0.1">
      <c r="AN476" s="35">
        <v>14000</v>
      </c>
      <c r="AO476" s="4" t="s">
        <v>106</v>
      </c>
    </row>
    <row r="477" spans="40:41" x14ac:dyDescent="0.1">
      <c r="AN477" s="35">
        <v>14029</v>
      </c>
      <c r="AO477" s="4" t="s">
        <v>107</v>
      </c>
    </row>
    <row r="478" spans="40:41" x14ac:dyDescent="0.1">
      <c r="AN478" s="35">
        <v>14059</v>
      </c>
      <c r="AO478" s="4" t="s">
        <v>108</v>
      </c>
    </row>
    <row r="479" spans="40:41" x14ac:dyDescent="0.1">
      <c r="AN479" s="35">
        <v>14088</v>
      </c>
      <c r="AO479" s="4" t="s">
        <v>109</v>
      </c>
    </row>
    <row r="480" spans="40:41" x14ac:dyDescent="0.1">
      <c r="AN480" s="35">
        <v>14117</v>
      </c>
      <c r="AO480" s="4" t="s">
        <v>146</v>
      </c>
    </row>
    <row r="481" spans="40:41" x14ac:dyDescent="0.1">
      <c r="AN481" s="35">
        <v>14147</v>
      </c>
      <c r="AO481" s="4" t="s">
        <v>110</v>
      </c>
    </row>
    <row r="482" spans="40:41" x14ac:dyDescent="0.1">
      <c r="AN482" s="35">
        <v>14176</v>
      </c>
      <c r="AO482" s="4" t="s">
        <v>111</v>
      </c>
    </row>
    <row r="483" spans="40:41" x14ac:dyDescent="0.1">
      <c r="AN483" s="35">
        <v>14206</v>
      </c>
      <c r="AO483" s="4" t="s">
        <v>112</v>
      </c>
    </row>
    <row r="484" spans="40:41" x14ac:dyDescent="0.1">
      <c r="AN484" s="35">
        <v>14236</v>
      </c>
      <c r="AO484" s="4" t="s">
        <v>379</v>
      </c>
    </row>
    <row r="485" spans="40:41" x14ac:dyDescent="0.1">
      <c r="AN485" s="35">
        <v>14265</v>
      </c>
      <c r="AO485" s="4" t="s">
        <v>113</v>
      </c>
    </row>
    <row r="486" spans="40:41" x14ac:dyDescent="0.1">
      <c r="AN486" s="35">
        <v>14295</v>
      </c>
      <c r="AO486" s="4" t="s">
        <v>100</v>
      </c>
    </row>
    <row r="487" spans="40:41" x14ac:dyDescent="0.1">
      <c r="AN487" s="35">
        <v>14325</v>
      </c>
      <c r="AO487" s="4" t="s">
        <v>104</v>
      </c>
    </row>
    <row r="488" spans="40:41" x14ac:dyDescent="0.1">
      <c r="AN488" s="35">
        <v>14355</v>
      </c>
      <c r="AO488" s="4" t="s">
        <v>105</v>
      </c>
    </row>
    <row r="489" spans="40:41" x14ac:dyDescent="0.1">
      <c r="AN489" s="35">
        <v>14384</v>
      </c>
      <c r="AO489" s="4" t="s">
        <v>106</v>
      </c>
    </row>
    <row r="490" spans="40:41" x14ac:dyDescent="0.1">
      <c r="AN490" s="35">
        <v>14413</v>
      </c>
      <c r="AO490" s="4" t="s">
        <v>107</v>
      </c>
    </row>
    <row r="491" spans="40:41" x14ac:dyDescent="0.1">
      <c r="AN491" s="35">
        <v>14443</v>
      </c>
      <c r="AO491" s="4" t="s">
        <v>108</v>
      </c>
    </row>
    <row r="492" spans="40:41" x14ac:dyDescent="0.1">
      <c r="AN492" s="35">
        <v>14472</v>
      </c>
      <c r="AO492" s="4" t="s">
        <v>109</v>
      </c>
    </row>
    <row r="493" spans="40:41" x14ac:dyDescent="0.1">
      <c r="AN493" s="35">
        <v>14501</v>
      </c>
      <c r="AO493" s="4" t="s">
        <v>110</v>
      </c>
    </row>
    <row r="494" spans="40:41" x14ac:dyDescent="0.1">
      <c r="AN494" s="35">
        <v>14531</v>
      </c>
      <c r="AO494" s="4" t="s">
        <v>111</v>
      </c>
    </row>
    <row r="495" spans="40:41" x14ac:dyDescent="0.1">
      <c r="AN495" s="35">
        <v>14560</v>
      </c>
      <c r="AO495" s="4" t="s">
        <v>112</v>
      </c>
    </row>
    <row r="496" spans="40:41" x14ac:dyDescent="0.1">
      <c r="AN496" s="35">
        <v>14590</v>
      </c>
      <c r="AO496" s="4" t="s">
        <v>379</v>
      </c>
    </row>
    <row r="497" spans="40:41" x14ac:dyDescent="0.1">
      <c r="AN497" s="35">
        <v>14619</v>
      </c>
      <c r="AO497" s="4" t="s">
        <v>113</v>
      </c>
    </row>
    <row r="498" spans="40:41" x14ac:dyDescent="0.1">
      <c r="AN498" s="35">
        <v>14649</v>
      </c>
      <c r="AO498" s="4" t="s">
        <v>100</v>
      </c>
    </row>
    <row r="499" spans="40:41" x14ac:dyDescent="0.1">
      <c r="AN499" s="35">
        <v>14679</v>
      </c>
      <c r="AO499" s="4" t="s">
        <v>104</v>
      </c>
    </row>
    <row r="500" spans="40:41" x14ac:dyDescent="0.1">
      <c r="AN500" s="35">
        <v>14709</v>
      </c>
      <c r="AO500" s="4" t="s">
        <v>105</v>
      </c>
    </row>
    <row r="501" spans="40:41" x14ac:dyDescent="0.1">
      <c r="AN501" s="35">
        <v>14738</v>
      </c>
      <c r="AO501" s="4" t="s">
        <v>106</v>
      </c>
    </row>
    <row r="502" spans="40:41" x14ac:dyDescent="0.1">
      <c r="AN502" s="35">
        <v>14768</v>
      </c>
      <c r="AO502" s="4" t="s">
        <v>107</v>
      </c>
    </row>
    <row r="503" spans="40:41" x14ac:dyDescent="0.1">
      <c r="AN503" s="35">
        <v>14797</v>
      </c>
      <c r="AO503" s="4" t="s">
        <v>108</v>
      </c>
    </row>
    <row r="504" spans="40:41" x14ac:dyDescent="0.1">
      <c r="AN504" s="35">
        <v>14827</v>
      </c>
      <c r="AO504" s="4" t="s">
        <v>109</v>
      </c>
    </row>
    <row r="505" spans="40:41" x14ac:dyDescent="0.1">
      <c r="AN505" s="35">
        <v>14856</v>
      </c>
      <c r="AO505" s="4" t="s">
        <v>110</v>
      </c>
    </row>
    <row r="506" spans="40:41" x14ac:dyDescent="0.1">
      <c r="AN506" s="35">
        <v>14885</v>
      </c>
      <c r="AO506" s="4" t="s">
        <v>111</v>
      </c>
    </row>
    <row r="507" spans="40:41" x14ac:dyDescent="0.1">
      <c r="AN507" s="35">
        <v>14915</v>
      </c>
      <c r="AO507" s="4" t="s">
        <v>112</v>
      </c>
    </row>
    <row r="508" spans="40:41" x14ac:dyDescent="0.1">
      <c r="AN508" s="35">
        <v>14944</v>
      </c>
      <c r="AO508" s="4" t="s">
        <v>379</v>
      </c>
    </row>
    <row r="509" spans="40:41" x14ac:dyDescent="0.1">
      <c r="AN509" s="35">
        <v>14974</v>
      </c>
      <c r="AO509" s="4" t="s">
        <v>113</v>
      </c>
    </row>
    <row r="510" spans="40:41" x14ac:dyDescent="0.1">
      <c r="AN510" s="35">
        <v>15003</v>
      </c>
      <c r="AO510" s="4" t="s">
        <v>100</v>
      </c>
    </row>
    <row r="511" spans="40:41" x14ac:dyDescent="0.1">
      <c r="AN511" s="35">
        <v>15033</v>
      </c>
      <c r="AO511" s="4" t="s">
        <v>104</v>
      </c>
    </row>
    <row r="512" spans="40:41" x14ac:dyDescent="0.1">
      <c r="AN512" s="35">
        <v>15063</v>
      </c>
      <c r="AO512" s="4" t="s">
        <v>105</v>
      </c>
    </row>
    <row r="513" spans="40:41" x14ac:dyDescent="0.1">
      <c r="AN513" s="35">
        <v>15092</v>
      </c>
      <c r="AO513" s="4" t="s">
        <v>106</v>
      </c>
    </row>
    <row r="514" spans="40:41" x14ac:dyDescent="0.1">
      <c r="AN514" s="35">
        <v>15122</v>
      </c>
      <c r="AO514" s="4" t="s">
        <v>107</v>
      </c>
    </row>
    <row r="515" spans="40:41" x14ac:dyDescent="0.1">
      <c r="AN515" s="35">
        <v>15152</v>
      </c>
      <c r="AO515" s="4" t="s">
        <v>108</v>
      </c>
    </row>
    <row r="516" spans="40:41" x14ac:dyDescent="0.1">
      <c r="AN516" s="35">
        <v>15181</v>
      </c>
      <c r="AO516" s="4" t="s">
        <v>145</v>
      </c>
    </row>
    <row r="517" spans="40:41" x14ac:dyDescent="0.1">
      <c r="AN517" s="35">
        <v>15211</v>
      </c>
      <c r="AO517" s="4" t="s">
        <v>109</v>
      </c>
    </row>
    <row r="518" spans="40:41" x14ac:dyDescent="0.1">
      <c r="AN518" s="35">
        <v>15240</v>
      </c>
      <c r="AO518" s="4" t="s">
        <v>110</v>
      </c>
    </row>
    <row r="519" spans="40:41" x14ac:dyDescent="0.1">
      <c r="AN519" s="35">
        <v>15269</v>
      </c>
      <c r="AO519" s="4" t="s">
        <v>111</v>
      </c>
    </row>
    <row r="520" spans="40:41" x14ac:dyDescent="0.1">
      <c r="AN520" s="35">
        <v>15299</v>
      </c>
      <c r="AO520" s="4" t="s">
        <v>112</v>
      </c>
    </row>
    <row r="521" spans="40:41" x14ac:dyDescent="0.1">
      <c r="AN521" s="35">
        <v>15328</v>
      </c>
      <c r="AO521" s="4" t="s">
        <v>379</v>
      </c>
    </row>
    <row r="522" spans="40:41" x14ac:dyDescent="0.1">
      <c r="AN522" s="35">
        <v>15358</v>
      </c>
      <c r="AO522" s="4" t="s">
        <v>113</v>
      </c>
    </row>
    <row r="523" spans="40:41" x14ac:dyDescent="0.1">
      <c r="AN523" s="35">
        <v>15387</v>
      </c>
      <c r="AO523" s="4" t="s">
        <v>100</v>
      </c>
    </row>
    <row r="524" spans="40:41" x14ac:dyDescent="0.1">
      <c r="AN524" s="35">
        <v>15417</v>
      </c>
      <c r="AO524" s="4" t="s">
        <v>104</v>
      </c>
    </row>
    <row r="525" spans="40:41" x14ac:dyDescent="0.1">
      <c r="AN525" s="35">
        <v>15446</v>
      </c>
      <c r="AO525" s="4" t="s">
        <v>105</v>
      </c>
    </row>
    <row r="526" spans="40:41" x14ac:dyDescent="0.1">
      <c r="AN526" s="35">
        <v>15476</v>
      </c>
      <c r="AO526" s="4" t="s">
        <v>106</v>
      </c>
    </row>
    <row r="527" spans="40:41" x14ac:dyDescent="0.1">
      <c r="AN527" s="35">
        <v>15506</v>
      </c>
      <c r="AO527" s="4" t="s">
        <v>107</v>
      </c>
    </row>
    <row r="528" spans="40:41" x14ac:dyDescent="0.1">
      <c r="AN528" s="35">
        <v>15535</v>
      </c>
      <c r="AO528" s="4" t="s">
        <v>108</v>
      </c>
    </row>
    <row r="529" spans="40:41" x14ac:dyDescent="0.1">
      <c r="AN529" s="35">
        <v>15565</v>
      </c>
      <c r="AO529" s="4" t="s">
        <v>109</v>
      </c>
    </row>
    <row r="530" spans="40:41" x14ac:dyDescent="0.1">
      <c r="AN530" s="35">
        <v>15594</v>
      </c>
      <c r="AO530" s="4" t="s">
        <v>110</v>
      </c>
    </row>
    <row r="531" spans="40:41" x14ac:dyDescent="0.1">
      <c r="AN531" s="35">
        <v>15624</v>
      </c>
      <c r="AO531" s="4" t="s">
        <v>111</v>
      </c>
    </row>
    <row r="532" spans="40:41" x14ac:dyDescent="0.1">
      <c r="AN532" s="35">
        <v>15653</v>
      </c>
      <c r="AO532" s="4" t="s">
        <v>112</v>
      </c>
    </row>
    <row r="533" spans="40:41" x14ac:dyDescent="0.1">
      <c r="AN533" s="35">
        <v>15683</v>
      </c>
      <c r="AO533" s="4" t="s">
        <v>379</v>
      </c>
    </row>
    <row r="534" spans="40:41" x14ac:dyDescent="0.1">
      <c r="AN534" s="35">
        <v>15712</v>
      </c>
      <c r="AO534" s="4" t="s">
        <v>113</v>
      </c>
    </row>
    <row r="535" spans="40:41" x14ac:dyDescent="0.1">
      <c r="AN535" s="35">
        <v>15742</v>
      </c>
      <c r="AO535" s="4" t="s">
        <v>100</v>
      </c>
    </row>
    <row r="536" spans="40:41" x14ac:dyDescent="0.1">
      <c r="AN536" s="35">
        <v>15771</v>
      </c>
      <c r="AO536" s="4" t="s">
        <v>104</v>
      </c>
    </row>
    <row r="537" spans="40:41" x14ac:dyDescent="0.1">
      <c r="AN537" s="35">
        <v>15801</v>
      </c>
      <c r="AO537" s="4" t="s">
        <v>105</v>
      </c>
    </row>
    <row r="538" spans="40:41" x14ac:dyDescent="0.1">
      <c r="AN538" s="35">
        <v>15830</v>
      </c>
      <c r="AO538" s="4" t="s">
        <v>106</v>
      </c>
    </row>
    <row r="539" spans="40:41" x14ac:dyDescent="0.1">
      <c r="AN539" s="35">
        <v>15860</v>
      </c>
      <c r="AO539" s="4" t="s">
        <v>107</v>
      </c>
    </row>
    <row r="540" spans="40:41" x14ac:dyDescent="0.1">
      <c r="AN540" s="35">
        <v>15889</v>
      </c>
      <c r="AO540" s="4" t="s">
        <v>108</v>
      </c>
    </row>
    <row r="541" spans="40:41" x14ac:dyDescent="0.1">
      <c r="AN541" s="35">
        <v>15919</v>
      </c>
      <c r="AO541" s="4" t="s">
        <v>109</v>
      </c>
    </row>
    <row r="542" spans="40:41" x14ac:dyDescent="0.1">
      <c r="AN542" s="35">
        <v>15949</v>
      </c>
      <c r="AO542" s="4" t="s">
        <v>110</v>
      </c>
    </row>
    <row r="543" spans="40:41" x14ac:dyDescent="0.1">
      <c r="AN543" s="35">
        <v>15978</v>
      </c>
      <c r="AO543" s="4" t="s">
        <v>111</v>
      </c>
    </row>
    <row r="544" spans="40:41" x14ac:dyDescent="0.1">
      <c r="AN544" s="35">
        <v>16008</v>
      </c>
      <c r="AO544" s="4" t="s">
        <v>112</v>
      </c>
    </row>
    <row r="545" spans="40:41" x14ac:dyDescent="0.1">
      <c r="AN545" s="35">
        <v>16037</v>
      </c>
      <c r="AO545" s="4" t="s">
        <v>379</v>
      </c>
    </row>
    <row r="546" spans="40:41" x14ac:dyDescent="0.1">
      <c r="AN546" s="35">
        <v>16067</v>
      </c>
      <c r="AO546" s="4" t="s">
        <v>113</v>
      </c>
    </row>
    <row r="547" spans="40:41" x14ac:dyDescent="0.1">
      <c r="AN547" s="35">
        <v>16096</v>
      </c>
      <c r="AO547" s="4" t="s">
        <v>100</v>
      </c>
    </row>
    <row r="548" spans="40:41" x14ac:dyDescent="0.1">
      <c r="AN548" s="35">
        <v>16126</v>
      </c>
      <c r="AO548" s="4" t="s">
        <v>104</v>
      </c>
    </row>
    <row r="549" spans="40:41" x14ac:dyDescent="0.1">
      <c r="AN549" s="35">
        <v>16155</v>
      </c>
      <c r="AO549" s="4" t="s">
        <v>105</v>
      </c>
    </row>
    <row r="550" spans="40:41" x14ac:dyDescent="0.1">
      <c r="AN550" s="35">
        <v>16185</v>
      </c>
      <c r="AO550" s="4" t="s">
        <v>106</v>
      </c>
    </row>
    <row r="551" spans="40:41" x14ac:dyDescent="0.1">
      <c r="AN551" s="35">
        <v>16214</v>
      </c>
      <c r="AO551" s="4" t="s">
        <v>143</v>
      </c>
    </row>
    <row r="552" spans="40:41" x14ac:dyDescent="0.1">
      <c r="AN552" s="35">
        <v>16244</v>
      </c>
      <c r="AO552" s="4" t="s">
        <v>107</v>
      </c>
    </row>
    <row r="553" spans="40:41" x14ac:dyDescent="0.1">
      <c r="AN553" s="35">
        <v>16273</v>
      </c>
      <c r="AO553" s="4" t="s">
        <v>108</v>
      </c>
    </row>
    <row r="554" spans="40:41" x14ac:dyDescent="0.1">
      <c r="AN554" s="35">
        <v>16303</v>
      </c>
      <c r="AO554" s="4" t="s">
        <v>109</v>
      </c>
    </row>
    <row r="555" spans="40:41" x14ac:dyDescent="0.1">
      <c r="AN555" s="35">
        <v>16332</v>
      </c>
      <c r="AO555" s="4" t="s">
        <v>110</v>
      </c>
    </row>
    <row r="556" spans="40:41" x14ac:dyDescent="0.1">
      <c r="AN556" s="35">
        <v>16362</v>
      </c>
      <c r="AO556" s="4" t="s">
        <v>111</v>
      </c>
    </row>
    <row r="557" spans="40:41" x14ac:dyDescent="0.1">
      <c r="AN557" s="35">
        <v>16392</v>
      </c>
      <c r="AO557" s="4" t="s">
        <v>112</v>
      </c>
    </row>
    <row r="558" spans="40:41" x14ac:dyDescent="0.1">
      <c r="AN558" s="35">
        <v>16421</v>
      </c>
      <c r="AO558" s="4" t="s">
        <v>379</v>
      </c>
    </row>
    <row r="559" spans="40:41" x14ac:dyDescent="0.1">
      <c r="AN559" s="35">
        <v>16451</v>
      </c>
      <c r="AO559" s="4" t="s">
        <v>113</v>
      </c>
    </row>
    <row r="560" spans="40:41" x14ac:dyDescent="0.1">
      <c r="AN560" s="35">
        <v>16481</v>
      </c>
      <c r="AO560" s="4" t="s">
        <v>100</v>
      </c>
    </row>
    <row r="561" spans="40:41" x14ac:dyDescent="0.1">
      <c r="AN561" s="35">
        <v>16510</v>
      </c>
      <c r="AO561" s="4" t="s">
        <v>104</v>
      </c>
    </row>
    <row r="562" spans="40:41" x14ac:dyDescent="0.1">
      <c r="AN562" s="35">
        <v>16539</v>
      </c>
      <c r="AO562" s="4" t="s">
        <v>105</v>
      </c>
    </row>
    <row r="563" spans="40:41" x14ac:dyDescent="0.1">
      <c r="AN563" s="35">
        <v>16569</v>
      </c>
      <c r="AO563" s="4" t="s">
        <v>106</v>
      </c>
    </row>
    <row r="564" spans="40:41" x14ac:dyDescent="0.1">
      <c r="AN564" s="35">
        <v>16598</v>
      </c>
      <c r="AO564" s="4" t="s">
        <v>107</v>
      </c>
    </row>
    <row r="565" spans="40:41" x14ac:dyDescent="0.1">
      <c r="AN565" s="35">
        <v>16627</v>
      </c>
      <c r="AO565" s="4" t="s">
        <v>108</v>
      </c>
    </row>
    <row r="566" spans="40:41" x14ac:dyDescent="0.1">
      <c r="AN566" s="35">
        <v>16657</v>
      </c>
      <c r="AO566" s="4" t="s">
        <v>109</v>
      </c>
    </row>
    <row r="567" spans="40:41" x14ac:dyDescent="0.1">
      <c r="AN567" s="35">
        <v>16686</v>
      </c>
      <c r="AO567" s="4" t="s">
        <v>110</v>
      </c>
    </row>
    <row r="568" spans="40:41" x14ac:dyDescent="0.1">
      <c r="AN568" s="35">
        <v>16716</v>
      </c>
      <c r="AO568" s="4" t="s">
        <v>111</v>
      </c>
    </row>
    <row r="569" spans="40:41" x14ac:dyDescent="0.1">
      <c r="AN569" s="35">
        <v>16746</v>
      </c>
      <c r="AO569" s="4" t="s">
        <v>112</v>
      </c>
    </row>
    <row r="570" spans="40:41" x14ac:dyDescent="0.1">
      <c r="AN570" s="35">
        <v>16776</v>
      </c>
      <c r="AO570" s="4" t="s">
        <v>379</v>
      </c>
    </row>
    <row r="571" spans="40:41" x14ac:dyDescent="0.1">
      <c r="AN571" s="35">
        <v>16805</v>
      </c>
      <c r="AO571" s="4" t="s">
        <v>113</v>
      </c>
    </row>
    <row r="572" spans="40:41" x14ac:dyDescent="0.1">
      <c r="AN572" s="35">
        <v>16835</v>
      </c>
      <c r="AO572" s="4" t="s">
        <v>100</v>
      </c>
    </row>
    <row r="573" spans="40:41" x14ac:dyDescent="0.1">
      <c r="AN573" s="35">
        <v>16865</v>
      </c>
      <c r="AO573" s="4" t="s">
        <v>104</v>
      </c>
    </row>
    <row r="574" spans="40:41" x14ac:dyDescent="0.1">
      <c r="AN574" s="35">
        <v>16894</v>
      </c>
      <c r="AO574" s="4" t="s">
        <v>105</v>
      </c>
    </row>
    <row r="575" spans="40:41" x14ac:dyDescent="0.1">
      <c r="AN575" s="35">
        <v>16923</v>
      </c>
      <c r="AO575" s="4" t="s">
        <v>106</v>
      </c>
    </row>
    <row r="576" spans="40:41" x14ac:dyDescent="0.1">
      <c r="AN576" s="35">
        <v>16953</v>
      </c>
      <c r="AO576" s="4" t="s">
        <v>107</v>
      </c>
    </row>
    <row r="577" spans="40:41" x14ac:dyDescent="0.1">
      <c r="AN577" s="35">
        <v>16982</v>
      </c>
      <c r="AO577" s="4" t="s">
        <v>108</v>
      </c>
    </row>
    <row r="578" spans="40:41" x14ac:dyDescent="0.1">
      <c r="AN578" s="35">
        <v>17011</v>
      </c>
      <c r="AO578" s="4" t="s">
        <v>109</v>
      </c>
    </row>
    <row r="579" spans="40:41" x14ac:dyDescent="0.1">
      <c r="AN579" s="35">
        <v>17041</v>
      </c>
      <c r="AO579" s="4" t="s">
        <v>110</v>
      </c>
    </row>
    <row r="580" spans="40:41" x14ac:dyDescent="0.1">
      <c r="AN580" s="35">
        <v>17070</v>
      </c>
      <c r="AO580" s="4" t="s">
        <v>111</v>
      </c>
    </row>
    <row r="581" spans="40:41" x14ac:dyDescent="0.1">
      <c r="AN581" s="35">
        <v>17100</v>
      </c>
      <c r="AO581" s="4" t="s">
        <v>112</v>
      </c>
    </row>
    <row r="582" spans="40:41" x14ac:dyDescent="0.1">
      <c r="AN582" s="35">
        <v>17130</v>
      </c>
      <c r="AO582" s="4" t="s">
        <v>379</v>
      </c>
    </row>
    <row r="583" spans="40:41" x14ac:dyDescent="0.1">
      <c r="AN583" s="35">
        <v>17159</v>
      </c>
      <c r="AO583" s="4" t="s">
        <v>113</v>
      </c>
    </row>
    <row r="584" spans="40:41" x14ac:dyDescent="0.1">
      <c r="AN584" s="35">
        <v>17189</v>
      </c>
      <c r="AO584" s="4" t="s">
        <v>100</v>
      </c>
    </row>
    <row r="585" spans="40:41" x14ac:dyDescent="0.1">
      <c r="AN585" s="35">
        <v>17219</v>
      </c>
      <c r="AO585" s="4" t="s">
        <v>104</v>
      </c>
    </row>
    <row r="586" spans="40:41" x14ac:dyDescent="0.1">
      <c r="AN586" s="35">
        <v>17249</v>
      </c>
      <c r="AO586" s="4" t="s">
        <v>144</v>
      </c>
    </row>
    <row r="587" spans="40:41" x14ac:dyDescent="0.1">
      <c r="AN587" s="35">
        <v>17278</v>
      </c>
      <c r="AO587" s="4" t="s">
        <v>105</v>
      </c>
    </row>
    <row r="588" spans="40:41" x14ac:dyDescent="0.1">
      <c r="AN588" s="35">
        <v>17307</v>
      </c>
      <c r="AO588" s="4" t="s">
        <v>106</v>
      </c>
    </row>
    <row r="589" spans="40:41" x14ac:dyDescent="0.1">
      <c r="AN589" s="35">
        <v>17337</v>
      </c>
      <c r="AO589" s="4" t="s">
        <v>107</v>
      </c>
    </row>
    <row r="590" spans="40:41" x14ac:dyDescent="0.1">
      <c r="AN590" s="35">
        <v>17366</v>
      </c>
      <c r="AO590" s="4" t="s">
        <v>108</v>
      </c>
    </row>
    <row r="591" spans="40:41" x14ac:dyDescent="0.1">
      <c r="AN591" s="35">
        <v>17395</v>
      </c>
      <c r="AO591" s="4" t="s">
        <v>109</v>
      </c>
    </row>
    <row r="592" spans="40:41" x14ac:dyDescent="0.1">
      <c r="AN592" s="35">
        <v>17425</v>
      </c>
      <c r="AO592" s="4" t="s">
        <v>110</v>
      </c>
    </row>
    <row r="593" spans="40:41" x14ac:dyDescent="0.1">
      <c r="AN593" s="35">
        <v>17454</v>
      </c>
      <c r="AO593" s="4" t="s">
        <v>111</v>
      </c>
    </row>
    <row r="594" spans="40:41" x14ac:dyDescent="0.1">
      <c r="AN594" s="35">
        <v>17484</v>
      </c>
      <c r="AO594" s="4" t="s">
        <v>112</v>
      </c>
    </row>
    <row r="595" spans="40:41" x14ac:dyDescent="0.1">
      <c r="AN595" s="35">
        <v>17513</v>
      </c>
      <c r="AO595" s="4" t="s">
        <v>379</v>
      </c>
    </row>
    <row r="596" spans="40:41" x14ac:dyDescent="0.1">
      <c r="AN596" s="35">
        <v>17543</v>
      </c>
      <c r="AO596" s="4" t="s">
        <v>113</v>
      </c>
    </row>
    <row r="597" spans="40:41" x14ac:dyDescent="0.1">
      <c r="AN597" s="35">
        <v>17573</v>
      </c>
      <c r="AO597" s="4" t="s">
        <v>100</v>
      </c>
    </row>
    <row r="598" spans="40:41" x14ac:dyDescent="0.1">
      <c r="AN598" s="35">
        <v>17603</v>
      </c>
      <c r="AO598" s="4" t="s">
        <v>104</v>
      </c>
    </row>
    <row r="599" spans="40:41" x14ac:dyDescent="0.1">
      <c r="AN599" s="35">
        <v>17632</v>
      </c>
      <c r="AO599" s="4" t="s">
        <v>105</v>
      </c>
    </row>
    <row r="600" spans="40:41" x14ac:dyDescent="0.1">
      <c r="AN600" s="35">
        <v>17662</v>
      </c>
      <c r="AO600" s="4" t="s">
        <v>106</v>
      </c>
    </row>
    <row r="601" spans="40:41" x14ac:dyDescent="0.1">
      <c r="AN601" s="35">
        <v>17691</v>
      </c>
      <c r="AO601" s="4" t="s">
        <v>107</v>
      </c>
    </row>
    <row r="602" spans="40:41" x14ac:dyDescent="0.1">
      <c r="AN602" s="35">
        <v>17721</v>
      </c>
      <c r="AO602" s="4" t="s">
        <v>108</v>
      </c>
    </row>
    <row r="603" spans="40:41" x14ac:dyDescent="0.1">
      <c r="AN603" s="35">
        <v>17750</v>
      </c>
      <c r="AO603" s="4" t="s">
        <v>109</v>
      </c>
    </row>
    <row r="604" spans="40:41" x14ac:dyDescent="0.1">
      <c r="AN604" s="35">
        <v>17779</v>
      </c>
      <c r="AO604" s="4" t="s">
        <v>110</v>
      </c>
    </row>
    <row r="605" spans="40:41" x14ac:dyDescent="0.1">
      <c r="AN605" s="35">
        <v>17809</v>
      </c>
      <c r="AO605" s="4" t="s">
        <v>111</v>
      </c>
    </row>
    <row r="606" spans="40:41" x14ac:dyDescent="0.1">
      <c r="AN606" s="35">
        <v>17838</v>
      </c>
      <c r="AO606" s="4" t="s">
        <v>112</v>
      </c>
    </row>
    <row r="607" spans="40:41" x14ac:dyDescent="0.1">
      <c r="AN607" s="35">
        <v>17868</v>
      </c>
      <c r="AO607" s="4" t="s">
        <v>379</v>
      </c>
    </row>
    <row r="608" spans="40:41" x14ac:dyDescent="0.1">
      <c r="AN608" s="35">
        <v>17897</v>
      </c>
      <c r="AO608" s="4" t="s">
        <v>113</v>
      </c>
    </row>
    <row r="609" spans="40:41" x14ac:dyDescent="0.1">
      <c r="AN609" s="35">
        <v>17927</v>
      </c>
      <c r="AO609" s="4" t="s">
        <v>100</v>
      </c>
    </row>
    <row r="610" spans="40:41" x14ac:dyDescent="0.1">
      <c r="AN610" s="35">
        <v>17957</v>
      </c>
      <c r="AO610" s="4" t="s">
        <v>104</v>
      </c>
    </row>
    <row r="611" spans="40:41" x14ac:dyDescent="0.1">
      <c r="AN611" s="35">
        <v>17986</v>
      </c>
      <c r="AO611" s="4" t="s">
        <v>105</v>
      </c>
    </row>
    <row r="612" spans="40:41" x14ac:dyDescent="0.1">
      <c r="AN612" s="35">
        <v>18016</v>
      </c>
      <c r="AO612" s="4" t="s">
        <v>106</v>
      </c>
    </row>
    <row r="613" spans="40:41" x14ac:dyDescent="0.1">
      <c r="AN613" s="35">
        <v>18046</v>
      </c>
      <c r="AO613" s="4" t="s">
        <v>107</v>
      </c>
    </row>
    <row r="614" spans="40:41" x14ac:dyDescent="0.1">
      <c r="AN614" s="35">
        <v>18075</v>
      </c>
      <c r="AO614" s="4" t="s">
        <v>108</v>
      </c>
    </row>
    <row r="615" spans="40:41" x14ac:dyDescent="0.1">
      <c r="AN615" s="35">
        <v>18105</v>
      </c>
      <c r="AO615" s="4" t="s">
        <v>109</v>
      </c>
    </row>
    <row r="616" spans="40:41" x14ac:dyDescent="0.1">
      <c r="AN616" s="35">
        <v>18134</v>
      </c>
      <c r="AO616" s="4" t="s">
        <v>146</v>
      </c>
    </row>
    <row r="617" spans="40:41" x14ac:dyDescent="0.1">
      <c r="AN617" s="35">
        <v>18163</v>
      </c>
      <c r="AO617" s="4" t="s">
        <v>110</v>
      </c>
    </row>
    <row r="618" spans="40:41" x14ac:dyDescent="0.1">
      <c r="AN618" s="35">
        <v>18193</v>
      </c>
      <c r="AO618" s="4" t="s">
        <v>111</v>
      </c>
    </row>
    <row r="619" spans="40:41" x14ac:dyDescent="0.1">
      <c r="AN619" s="35">
        <v>18222</v>
      </c>
      <c r="AO619" s="4" t="s">
        <v>112</v>
      </c>
    </row>
    <row r="620" spans="40:41" x14ac:dyDescent="0.1">
      <c r="AN620" s="35">
        <v>18252</v>
      </c>
      <c r="AO620" s="4" t="s">
        <v>379</v>
      </c>
    </row>
    <row r="621" spans="40:41" x14ac:dyDescent="0.1">
      <c r="AN621" s="35">
        <v>18281</v>
      </c>
      <c r="AO621" s="4" t="s">
        <v>113</v>
      </c>
    </row>
    <row r="622" spans="40:41" x14ac:dyDescent="0.1">
      <c r="AN622" s="35">
        <v>18311</v>
      </c>
      <c r="AO622" s="4" t="s">
        <v>100</v>
      </c>
    </row>
    <row r="623" spans="40:41" x14ac:dyDescent="0.1">
      <c r="AN623" s="35">
        <v>18340</v>
      </c>
      <c r="AO623" s="4" t="s">
        <v>104</v>
      </c>
    </row>
    <row r="624" spans="40:41" x14ac:dyDescent="0.1">
      <c r="AN624" s="35">
        <v>18370</v>
      </c>
      <c r="AO624" s="4" t="s">
        <v>105</v>
      </c>
    </row>
    <row r="625" spans="40:41" x14ac:dyDescent="0.1">
      <c r="AN625" s="35">
        <v>18400</v>
      </c>
      <c r="AO625" s="4" t="s">
        <v>106</v>
      </c>
    </row>
    <row r="626" spans="40:41" x14ac:dyDescent="0.1">
      <c r="AN626" s="35">
        <v>18429</v>
      </c>
      <c r="AO626" s="4" t="s">
        <v>107</v>
      </c>
    </row>
    <row r="627" spans="40:41" x14ac:dyDescent="0.1">
      <c r="AN627" s="35">
        <v>18459</v>
      </c>
      <c r="AO627" s="4" t="s">
        <v>108</v>
      </c>
    </row>
    <row r="628" spans="40:41" x14ac:dyDescent="0.1">
      <c r="AN628" s="35">
        <v>18489</v>
      </c>
      <c r="AO628" s="4" t="s">
        <v>109</v>
      </c>
    </row>
    <row r="629" spans="40:41" x14ac:dyDescent="0.1">
      <c r="AN629" s="35">
        <v>18518</v>
      </c>
      <c r="AO629" s="4" t="s">
        <v>110</v>
      </c>
    </row>
    <row r="630" spans="40:41" x14ac:dyDescent="0.1">
      <c r="AN630" s="35">
        <v>18547</v>
      </c>
      <c r="AO630" s="4" t="s">
        <v>111</v>
      </c>
    </row>
    <row r="631" spans="40:41" x14ac:dyDescent="0.1">
      <c r="AN631" s="35">
        <v>18577</v>
      </c>
      <c r="AO631" s="4" t="s">
        <v>112</v>
      </c>
    </row>
    <row r="632" spans="40:41" x14ac:dyDescent="0.1">
      <c r="AN632" s="35">
        <v>18606</v>
      </c>
      <c r="AO632" s="4" t="s">
        <v>379</v>
      </c>
    </row>
    <row r="633" spans="40:41" x14ac:dyDescent="0.1">
      <c r="AN633" s="35">
        <v>18636</v>
      </c>
      <c r="AO633" s="4" t="s">
        <v>113</v>
      </c>
    </row>
    <row r="634" spans="40:41" x14ac:dyDescent="0.1">
      <c r="AN634" s="35">
        <v>18665</v>
      </c>
      <c r="AO634" s="4" t="s">
        <v>100</v>
      </c>
    </row>
    <row r="635" spans="40:41" x14ac:dyDescent="0.1">
      <c r="AN635" s="35">
        <v>18695</v>
      </c>
      <c r="AO635" s="4" t="s">
        <v>104</v>
      </c>
    </row>
    <row r="636" spans="40:41" x14ac:dyDescent="0.1">
      <c r="AN636" s="35">
        <v>18724</v>
      </c>
      <c r="AO636" s="4" t="s">
        <v>105</v>
      </c>
    </row>
    <row r="637" spans="40:41" x14ac:dyDescent="0.1">
      <c r="AN637" s="35">
        <v>18754</v>
      </c>
      <c r="AO637" s="4" t="s">
        <v>106</v>
      </c>
    </row>
    <row r="638" spans="40:41" x14ac:dyDescent="0.1">
      <c r="AN638" s="35">
        <v>18784</v>
      </c>
      <c r="AO638" s="4" t="s">
        <v>107</v>
      </c>
    </row>
    <row r="639" spans="40:41" x14ac:dyDescent="0.1">
      <c r="AN639" s="35">
        <v>18813</v>
      </c>
      <c r="AO639" s="4" t="s">
        <v>108</v>
      </c>
    </row>
    <row r="640" spans="40:41" x14ac:dyDescent="0.1">
      <c r="AN640" s="35">
        <v>18843</v>
      </c>
      <c r="AO640" s="4" t="s">
        <v>109</v>
      </c>
    </row>
    <row r="641" spans="40:41" x14ac:dyDescent="0.1">
      <c r="AN641" s="35">
        <v>18872</v>
      </c>
      <c r="AO641" s="4" t="s">
        <v>110</v>
      </c>
    </row>
    <row r="642" spans="40:41" x14ac:dyDescent="0.1">
      <c r="AN642" s="35">
        <v>18902</v>
      </c>
      <c r="AO642" s="4" t="s">
        <v>111</v>
      </c>
    </row>
    <row r="643" spans="40:41" x14ac:dyDescent="0.1">
      <c r="AN643" s="35">
        <v>18931</v>
      </c>
      <c r="AO643" s="4" t="s">
        <v>112</v>
      </c>
    </row>
    <row r="644" spans="40:41" x14ac:dyDescent="0.1">
      <c r="AN644" s="35">
        <v>18961</v>
      </c>
      <c r="AO644" s="4" t="s">
        <v>379</v>
      </c>
    </row>
    <row r="645" spans="40:41" x14ac:dyDescent="0.1">
      <c r="AN645" s="35">
        <v>18990</v>
      </c>
      <c r="AO645" s="4" t="s">
        <v>113</v>
      </c>
    </row>
    <row r="646" spans="40:41" x14ac:dyDescent="0.1">
      <c r="AN646" s="35">
        <v>19020</v>
      </c>
      <c r="AO646" s="4" t="s">
        <v>100</v>
      </c>
    </row>
    <row r="647" spans="40:41" x14ac:dyDescent="0.1">
      <c r="AN647" s="35">
        <v>19049</v>
      </c>
      <c r="AO647" s="4" t="s">
        <v>104</v>
      </c>
    </row>
    <row r="648" spans="40:41" x14ac:dyDescent="0.1">
      <c r="AN648" s="35">
        <v>19079</v>
      </c>
      <c r="AO648" s="4" t="s">
        <v>105</v>
      </c>
    </row>
    <row r="649" spans="40:41" x14ac:dyDescent="0.1">
      <c r="AN649" s="35">
        <v>19108</v>
      </c>
      <c r="AO649" s="4" t="s">
        <v>106</v>
      </c>
    </row>
    <row r="650" spans="40:41" x14ac:dyDescent="0.1">
      <c r="AN650" s="35">
        <v>19138</v>
      </c>
      <c r="AO650" s="4" t="s">
        <v>107</v>
      </c>
    </row>
    <row r="651" spans="40:41" x14ac:dyDescent="0.1">
      <c r="AN651" s="35">
        <v>19167</v>
      </c>
      <c r="AO651" s="4" t="s">
        <v>142</v>
      </c>
    </row>
    <row r="652" spans="40:41" x14ac:dyDescent="0.1">
      <c r="AN652" s="35">
        <v>19197</v>
      </c>
      <c r="AO652" s="4" t="s">
        <v>108</v>
      </c>
    </row>
    <row r="653" spans="40:41" x14ac:dyDescent="0.1">
      <c r="AN653" s="35">
        <v>19226</v>
      </c>
      <c r="AO653" s="4" t="s">
        <v>109</v>
      </c>
    </row>
    <row r="654" spans="40:41" x14ac:dyDescent="0.1">
      <c r="AN654" s="35">
        <v>19256</v>
      </c>
      <c r="AO654" s="4" t="s">
        <v>110</v>
      </c>
    </row>
    <row r="655" spans="40:41" x14ac:dyDescent="0.1">
      <c r="AN655" s="35">
        <v>19286</v>
      </c>
      <c r="AO655" s="4" t="s">
        <v>111</v>
      </c>
    </row>
    <row r="656" spans="40:41" x14ac:dyDescent="0.1">
      <c r="AN656" s="35">
        <v>19315</v>
      </c>
      <c r="AO656" s="4" t="s">
        <v>112</v>
      </c>
    </row>
    <row r="657" spans="40:41" x14ac:dyDescent="0.1">
      <c r="AN657" s="35">
        <v>19345</v>
      </c>
      <c r="AO657" s="4" t="s">
        <v>379</v>
      </c>
    </row>
    <row r="658" spans="40:41" x14ac:dyDescent="0.1">
      <c r="AN658" s="35">
        <v>19374</v>
      </c>
      <c r="AO658" s="4" t="s">
        <v>113</v>
      </c>
    </row>
    <row r="659" spans="40:41" x14ac:dyDescent="0.1">
      <c r="AN659" s="35">
        <v>19404</v>
      </c>
      <c r="AO659" s="4" t="s">
        <v>100</v>
      </c>
    </row>
    <row r="660" spans="40:41" x14ac:dyDescent="0.1">
      <c r="AN660" s="35">
        <v>19433</v>
      </c>
      <c r="AO660" s="4" t="s">
        <v>104</v>
      </c>
    </row>
    <row r="661" spans="40:41" x14ac:dyDescent="0.1">
      <c r="AN661" s="35">
        <v>19463</v>
      </c>
      <c r="AO661" s="4" t="s">
        <v>105</v>
      </c>
    </row>
    <row r="662" spans="40:41" x14ac:dyDescent="0.1">
      <c r="AN662" s="35">
        <v>19492</v>
      </c>
      <c r="AO662" s="4" t="s">
        <v>106</v>
      </c>
    </row>
    <row r="663" spans="40:41" x14ac:dyDescent="0.1">
      <c r="AN663" s="35">
        <v>19521</v>
      </c>
      <c r="AO663" s="4" t="s">
        <v>107</v>
      </c>
    </row>
    <row r="664" spans="40:41" x14ac:dyDescent="0.1">
      <c r="AN664" s="35">
        <v>19551</v>
      </c>
      <c r="AO664" s="4" t="s">
        <v>108</v>
      </c>
    </row>
    <row r="665" spans="40:41" x14ac:dyDescent="0.1">
      <c r="AN665" s="35">
        <v>19581</v>
      </c>
      <c r="AO665" s="4" t="s">
        <v>109</v>
      </c>
    </row>
    <row r="666" spans="40:41" x14ac:dyDescent="0.1">
      <c r="AN666" s="35">
        <v>19610</v>
      </c>
      <c r="AO666" s="4" t="s">
        <v>110</v>
      </c>
    </row>
    <row r="667" spans="40:41" x14ac:dyDescent="0.1">
      <c r="AN667" s="35">
        <v>19640</v>
      </c>
      <c r="AO667" s="4" t="s">
        <v>111</v>
      </c>
    </row>
    <row r="668" spans="40:41" x14ac:dyDescent="0.1">
      <c r="AN668" s="35">
        <v>19670</v>
      </c>
      <c r="AO668" s="4" t="s">
        <v>112</v>
      </c>
    </row>
    <row r="669" spans="40:41" x14ac:dyDescent="0.1">
      <c r="AN669" s="35">
        <v>19699</v>
      </c>
      <c r="AO669" s="4" t="s">
        <v>379</v>
      </c>
    </row>
    <row r="670" spans="40:41" x14ac:dyDescent="0.1">
      <c r="AN670" s="35">
        <v>19729</v>
      </c>
      <c r="AO670" s="4" t="s">
        <v>113</v>
      </c>
    </row>
    <row r="671" spans="40:41" x14ac:dyDescent="0.1">
      <c r="AN671" s="35">
        <v>19758</v>
      </c>
      <c r="AO671" s="4" t="s">
        <v>100</v>
      </c>
    </row>
    <row r="672" spans="40:41" x14ac:dyDescent="0.1">
      <c r="AN672" s="35">
        <v>19788</v>
      </c>
      <c r="AO672" s="4" t="s">
        <v>113</v>
      </c>
    </row>
    <row r="673" spans="40:41" x14ac:dyDescent="0.1">
      <c r="AN673" s="35">
        <v>19817</v>
      </c>
      <c r="AO673" s="4" t="s">
        <v>105</v>
      </c>
    </row>
    <row r="674" spans="40:41" x14ac:dyDescent="0.1">
      <c r="AN674" s="35">
        <v>19847</v>
      </c>
      <c r="AO674" s="4" t="s">
        <v>106</v>
      </c>
    </row>
    <row r="675" spans="40:41" x14ac:dyDescent="0.1">
      <c r="AN675" s="35">
        <v>19876</v>
      </c>
      <c r="AO675" s="4" t="s">
        <v>107</v>
      </c>
    </row>
    <row r="676" spans="40:41" x14ac:dyDescent="0.1">
      <c r="AN676" s="35">
        <v>19905</v>
      </c>
      <c r="AO676" s="4" t="s">
        <v>108</v>
      </c>
    </row>
    <row r="677" spans="40:41" x14ac:dyDescent="0.1">
      <c r="AN677" s="35">
        <v>19935</v>
      </c>
      <c r="AO677" s="4" t="s">
        <v>109</v>
      </c>
    </row>
    <row r="678" spans="40:41" x14ac:dyDescent="0.1">
      <c r="AN678" s="35">
        <v>19964</v>
      </c>
      <c r="AO678" s="4" t="s">
        <v>110</v>
      </c>
    </row>
    <row r="679" spans="40:41" x14ac:dyDescent="0.1">
      <c r="AN679" s="35">
        <v>19994</v>
      </c>
      <c r="AO679" s="4" t="s">
        <v>111</v>
      </c>
    </row>
    <row r="680" spans="40:41" x14ac:dyDescent="0.1">
      <c r="AN680" s="35">
        <v>20024</v>
      </c>
      <c r="AO680" s="4" t="s">
        <v>112</v>
      </c>
    </row>
    <row r="681" spans="40:41" x14ac:dyDescent="0.1">
      <c r="AN681" s="35">
        <v>20053</v>
      </c>
      <c r="AO681" s="4" t="s">
        <v>379</v>
      </c>
    </row>
    <row r="682" spans="40:41" x14ac:dyDescent="0.1">
      <c r="AN682" s="35">
        <v>20083</v>
      </c>
      <c r="AO682" s="4" t="s">
        <v>113</v>
      </c>
    </row>
    <row r="683" spans="40:41" x14ac:dyDescent="0.1">
      <c r="AN683" s="35">
        <v>20113</v>
      </c>
      <c r="AO683" s="4" t="s">
        <v>100</v>
      </c>
    </row>
    <row r="684" spans="40:41" x14ac:dyDescent="0.1">
      <c r="AN684" s="35">
        <v>20142</v>
      </c>
      <c r="AO684" s="4" t="s">
        <v>104</v>
      </c>
    </row>
    <row r="685" spans="40:41" x14ac:dyDescent="0.1">
      <c r="AN685" s="35">
        <v>20172</v>
      </c>
      <c r="AO685" s="4" t="s">
        <v>105</v>
      </c>
    </row>
    <row r="686" spans="40:41" x14ac:dyDescent="0.1">
      <c r="AN686" s="35">
        <v>20201</v>
      </c>
      <c r="AO686" s="4" t="s">
        <v>147</v>
      </c>
    </row>
    <row r="687" spans="40:41" x14ac:dyDescent="0.1">
      <c r="AN687" s="35">
        <v>20231</v>
      </c>
      <c r="AO687" s="4" t="s">
        <v>106</v>
      </c>
    </row>
    <row r="688" spans="40:41" x14ac:dyDescent="0.1">
      <c r="AN688" s="35">
        <v>20260</v>
      </c>
      <c r="AO688" s="4" t="s">
        <v>107</v>
      </c>
    </row>
    <row r="689" spans="40:41" x14ac:dyDescent="0.1">
      <c r="AN689" s="35">
        <v>20289</v>
      </c>
      <c r="AO689" s="4" t="s">
        <v>108</v>
      </c>
    </row>
    <row r="690" spans="40:41" x14ac:dyDescent="0.1">
      <c r="AN690" s="35">
        <v>20319</v>
      </c>
      <c r="AO690" s="4" t="s">
        <v>109</v>
      </c>
    </row>
    <row r="691" spans="40:41" x14ac:dyDescent="0.1">
      <c r="AN691" s="35">
        <v>20348</v>
      </c>
      <c r="AO691" s="4" t="s">
        <v>110</v>
      </c>
    </row>
    <row r="692" spans="40:41" x14ac:dyDescent="0.1">
      <c r="AN692" s="35">
        <v>20378</v>
      </c>
      <c r="AO692" s="4" t="s">
        <v>111</v>
      </c>
    </row>
    <row r="693" spans="40:41" x14ac:dyDescent="0.1">
      <c r="AN693" s="35">
        <v>20407</v>
      </c>
      <c r="AO693" s="4" t="s">
        <v>112</v>
      </c>
    </row>
    <row r="694" spans="40:41" x14ac:dyDescent="0.1">
      <c r="AN694" s="35">
        <v>20437</v>
      </c>
      <c r="AO694" s="4" t="s">
        <v>379</v>
      </c>
    </row>
    <row r="695" spans="40:41" x14ac:dyDescent="0.1">
      <c r="AN695" s="35">
        <v>20467</v>
      </c>
      <c r="AO695" s="4" t="s">
        <v>113</v>
      </c>
    </row>
    <row r="696" spans="40:41" x14ac:dyDescent="0.1">
      <c r="AN696" s="35">
        <v>20497</v>
      </c>
      <c r="AO696" s="4" t="s">
        <v>100</v>
      </c>
    </row>
    <row r="697" spans="40:41" x14ac:dyDescent="0.1">
      <c r="AN697" s="35">
        <v>20526</v>
      </c>
      <c r="AO697" s="4" t="s">
        <v>104</v>
      </c>
    </row>
    <row r="698" spans="40:41" x14ac:dyDescent="0.1">
      <c r="AN698" s="35">
        <v>20556</v>
      </c>
      <c r="AO698" s="4" t="s">
        <v>105</v>
      </c>
    </row>
    <row r="699" spans="40:41" x14ac:dyDescent="0.1">
      <c r="AN699" s="35">
        <v>20585</v>
      </c>
      <c r="AO699" s="4" t="s">
        <v>106</v>
      </c>
    </row>
    <row r="700" spans="40:41" x14ac:dyDescent="0.1">
      <c r="AN700" s="35">
        <v>20615</v>
      </c>
      <c r="AO700" s="4" t="s">
        <v>107</v>
      </c>
    </row>
    <row r="701" spans="40:41" x14ac:dyDescent="0.1">
      <c r="AN701" s="35">
        <v>20644</v>
      </c>
      <c r="AO701" s="4" t="s">
        <v>108</v>
      </c>
    </row>
    <row r="702" spans="40:41" x14ac:dyDescent="0.1">
      <c r="AN702" s="35">
        <v>20673</v>
      </c>
      <c r="AO702" s="4" t="s">
        <v>109</v>
      </c>
    </row>
    <row r="703" spans="40:41" x14ac:dyDescent="0.1">
      <c r="AN703" s="35">
        <v>20703</v>
      </c>
      <c r="AO703" s="4" t="s">
        <v>110</v>
      </c>
    </row>
    <row r="704" spans="40:41" x14ac:dyDescent="0.1">
      <c r="AN704" s="35">
        <v>20732</v>
      </c>
      <c r="AO704" s="4" t="s">
        <v>111</v>
      </c>
    </row>
    <row r="705" spans="40:41" x14ac:dyDescent="0.1">
      <c r="AN705" s="35">
        <v>20762</v>
      </c>
      <c r="AO705" s="4" t="s">
        <v>112</v>
      </c>
    </row>
    <row r="706" spans="40:41" x14ac:dyDescent="0.1">
      <c r="AN706" s="35">
        <v>20791</v>
      </c>
      <c r="AO706" s="4" t="s">
        <v>379</v>
      </c>
    </row>
    <row r="707" spans="40:41" x14ac:dyDescent="0.1">
      <c r="AN707" s="35">
        <v>20821</v>
      </c>
      <c r="AO707" s="4" t="s">
        <v>113</v>
      </c>
    </row>
    <row r="708" spans="40:41" x14ac:dyDescent="0.1">
      <c r="AN708" s="35">
        <v>20851</v>
      </c>
      <c r="AO708" s="4" t="s">
        <v>100</v>
      </c>
    </row>
    <row r="709" spans="40:41" x14ac:dyDescent="0.1">
      <c r="AN709" s="35">
        <v>20881</v>
      </c>
      <c r="AO709" s="4" t="s">
        <v>104</v>
      </c>
    </row>
    <row r="710" spans="40:41" x14ac:dyDescent="0.1">
      <c r="AN710" s="35">
        <v>20910</v>
      </c>
      <c r="AO710" s="4" t="s">
        <v>105</v>
      </c>
    </row>
    <row r="711" spans="40:41" x14ac:dyDescent="0.1">
      <c r="AN711" s="35">
        <v>20940</v>
      </c>
      <c r="AO711" s="4" t="s">
        <v>106</v>
      </c>
    </row>
    <row r="712" spans="40:41" x14ac:dyDescent="0.1">
      <c r="AN712" s="35">
        <v>20969</v>
      </c>
      <c r="AO712" s="4" t="s">
        <v>107</v>
      </c>
    </row>
    <row r="713" spans="40:41" x14ac:dyDescent="0.1">
      <c r="AN713" s="35">
        <v>20999</v>
      </c>
      <c r="AO713" s="4" t="s">
        <v>108</v>
      </c>
    </row>
    <row r="714" spans="40:41" x14ac:dyDescent="0.1">
      <c r="AN714" s="35">
        <v>21028</v>
      </c>
      <c r="AO714" s="4" t="s">
        <v>109</v>
      </c>
    </row>
    <row r="715" spans="40:41" x14ac:dyDescent="0.1">
      <c r="AN715" s="35">
        <v>21057</v>
      </c>
      <c r="AO715" s="4" t="s">
        <v>110</v>
      </c>
    </row>
    <row r="716" spans="40:41" x14ac:dyDescent="0.1">
      <c r="AN716" s="35">
        <v>21087</v>
      </c>
      <c r="AO716" s="4" t="s">
        <v>141</v>
      </c>
    </row>
    <row r="717" spans="40:41" x14ac:dyDescent="0.1">
      <c r="AN717" s="35">
        <v>21116</v>
      </c>
      <c r="AO717" s="4" t="s">
        <v>111</v>
      </c>
    </row>
    <row r="718" spans="40:41" x14ac:dyDescent="0.1">
      <c r="AN718" s="35">
        <v>21146</v>
      </c>
      <c r="AO718" s="4" t="s">
        <v>112</v>
      </c>
    </row>
    <row r="719" spans="40:41" x14ac:dyDescent="0.1">
      <c r="AN719" s="35">
        <v>21175</v>
      </c>
      <c r="AO719" s="4" t="s">
        <v>379</v>
      </c>
    </row>
    <row r="720" spans="40:41" x14ac:dyDescent="0.1">
      <c r="AN720" s="35">
        <v>21205</v>
      </c>
      <c r="AO720" s="4" t="s">
        <v>113</v>
      </c>
    </row>
    <row r="721" spans="40:41" x14ac:dyDescent="0.1">
      <c r="AN721" s="35">
        <v>21234</v>
      </c>
      <c r="AO721" s="4" t="s">
        <v>100</v>
      </c>
    </row>
    <row r="722" spans="40:41" x14ac:dyDescent="0.1">
      <c r="AN722" s="35">
        <v>21264</v>
      </c>
      <c r="AO722" s="4" t="s">
        <v>104</v>
      </c>
    </row>
    <row r="723" spans="40:41" x14ac:dyDescent="0.1">
      <c r="AN723" s="35">
        <v>21294</v>
      </c>
      <c r="AO723" s="4" t="s">
        <v>105</v>
      </c>
    </row>
    <row r="724" spans="40:41" x14ac:dyDescent="0.1">
      <c r="AN724" s="35">
        <v>21324</v>
      </c>
      <c r="AO724" s="4" t="s">
        <v>106</v>
      </c>
    </row>
    <row r="725" spans="40:41" x14ac:dyDescent="0.1">
      <c r="AN725" s="35">
        <v>21353</v>
      </c>
      <c r="AO725" s="4" t="s">
        <v>107</v>
      </c>
    </row>
    <row r="726" spans="40:41" x14ac:dyDescent="0.1">
      <c r="AN726" s="35">
        <v>21383</v>
      </c>
      <c r="AO726" s="4" t="s">
        <v>108</v>
      </c>
    </row>
    <row r="727" spans="40:41" x14ac:dyDescent="0.1">
      <c r="AN727" s="35">
        <v>21412</v>
      </c>
      <c r="AO727" s="4" t="s">
        <v>109</v>
      </c>
    </row>
    <row r="728" spans="40:41" x14ac:dyDescent="0.1">
      <c r="AN728" s="35">
        <v>21441</v>
      </c>
      <c r="AO728" s="4" t="s">
        <v>110</v>
      </c>
    </row>
    <row r="729" spans="40:41" x14ac:dyDescent="0.1">
      <c r="AN729" s="35">
        <v>21471</v>
      </c>
      <c r="AO729" s="4" t="s">
        <v>111</v>
      </c>
    </row>
    <row r="730" spans="40:41" x14ac:dyDescent="0.1">
      <c r="AN730" s="35">
        <v>21500</v>
      </c>
      <c r="AO730" s="4" t="s">
        <v>112</v>
      </c>
    </row>
    <row r="731" spans="40:41" x14ac:dyDescent="0.1">
      <c r="AN731" s="35">
        <v>21530</v>
      </c>
      <c r="AO731" s="4" t="s">
        <v>379</v>
      </c>
    </row>
    <row r="732" spans="40:41" x14ac:dyDescent="0.1">
      <c r="AN732" s="35">
        <v>21559</v>
      </c>
      <c r="AO732" s="4" t="s">
        <v>113</v>
      </c>
    </row>
    <row r="733" spans="40:41" x14ac:dyDescent="0.1">
      <c r="AN733" s="35">
        <v>21589</v>
      </c>
      <c r="AO733" s="4" t="s">
        <v>100</v>
      </c>
    </row>
    <row r="734" spans="40:41" x14ac:dyDescent="0.1">
      <c r="AN734" s="35">
        <v>21618</v>
      </c>
      <c r="AO734" s="4" t="s">
        <v>104</v>
      </c>
    </row>
    <row r="735" spans="40:41" x14ac:dyDescent="0.1">
      <c r="AN735" s="35">
        <v>21648</v>
      </c>
      <c r="AO735" s="4" t="s">
        <v>105</v>
      </c>
    </row>
    <row r="736" spans="40:41" x14ac:dyDescent="0.1">
      <c r="AN736" s="35">
        <v>21678</v>
      </c>
      <c r="AO736" s="4" t="s">
        <v>106</v>
      </c>
    </row>
    <row r="737" spans="40:41" x14ac:dyDescent="0.1">
      <c r="AN737" s="35">
        <v>21707</v>
      </c>
      <c r="AO737" s="4" t="s">
        <v>107</v>
      </c>
    </row>
    <row r="738" spans="40:41" x14ac:dyDescent="0.1">
      <c r="AN738" s="35">
        <v>21737</v>
      </c>
      <c r="AO738" s="4" t="s">
        <v>108</v>
      </c>
    </row>
    <row r="739" spans="40:41" x14ac:dyDescent="0.1">
      <c r="AN739" s="35">
        <v>21766</v>
      </c>
      <c r="AO739" s="4" t="s">
        <v>109</v>
      </c>
    </row>
    <row r="740" spans="40:41" x14ac:dyDescent="0.1">
      <c r="AN740" s="35">
        <v>21796</v>
      </c>
      <c r="AO740" s="4" t="s">
        <v>110</v>
      </c>
    </row>
    <row r="741" spans="40:41" x14ac:dyDescent="0.1">
      <c r="AN741" s="35">
        <v>21825</v>
      </c>
      <c r="AO741" s="4" t="s">
        <v>111</v>
      </c>
    </row>
    <row r="742" spans="40:41" x14ac:dyDescent="0.1">
      <c r="AN742" s="35">
        <v>21855</v>
      </c>
      <c r="AO742" s="4" t="s">
        <v>112</v>
      </c>
    </row>
    <row r="743" spans="40:41" x14ac:dyDescent="0.1">
      <c r="AN743" s="35">
        <v>21884</v>
      </c>
      <c r="AO743" s="4" t="s">
        <v>379</v>
      </c>
    </row>
    <row r="744" spans="40:41" x14ac:dyDescent="0.1">
      <c r="AN744" s="35">
        <v>21914</v>
      </c>
      <c r="AO744" s="4" t="s">
        <v>113</v>
      </c>
    </row>
    <row r="745" spans="40:41" x14ac:dyDescent="0.1">
      <c r="AN745" s="35">
        <v>21943</v>
      </c>
      <c r="AO745" s="4" t="s">
        <v>100</v>
      </c>
    </row>
    <row r="746" spans="40:41" x14ac:dyDescent="0.1">
      <c r="AN746" s="35">
        <v>21973</v>
      </c>
      <c r="AO746" s="4" t="s">
        <v>104</v>
      </c>
    </row>
    <row r="747" spans="40:41" x14ac:dyDescent="0.1">
      <c r="AN747" s="35">
        <v>22002</v>
      </c>
      <c r="AO747" s="4" t="s">
        <v>105</v>
      </c>
    </row>
    <row r="748" spans="40:41" x14ac:dyDescent="0.1">
      <c r="AN748" s="35">
        <v>22032</v>
      </c>
      <c r="AO748" s="4" t="s">
        <v>106</v>
      </c>
    </row>
    <row r="749" spans="40:41" x14ac:dyDescent="0.1">
      <c r="AN749" s="35">
        <v>22061</v>
      </c>
      <c r="AO749" s="4" t="s">
        <v>107</v>
      </c>
    </row>
    <row r="750" spans="40:41" x14ac:dyDescent="0.1">
      <c r="AN750" s="35">
        <v>22091</v>
      </c>
      <c r="AO750" s="4" t="s">
        <v>108</v>
      </c>
    </row>
    <row r="751" spans="40:41" x14ac:dyDescent="0.1">
      <c r="AN751" s="35">
        <v>22121</v>
      </c>
      <c r="AO751" s="4" t="s">
        <v>145</v>
      </c>
    </row>
    <row r="752" spans="40:41" x14ac:dyDescent="0.1">
      <c r="AN752" s="35">
        <v>22150</v>
      </c>
      <c r="AO752" s="4" t="s">
        <v>109</v>
      </c>
    </row>
    <row r="753" spans="40:41" x14ac:dyDescent="0.1">
      <c r="AN753" s="35">
        <v>22180</v>
      </c>
      <c r="AO753" s="4" t="s">
        <v>110</v>
      </c>
    </row>
    <row r="754" spans="40:41" x14ac:dyDescent="0.1">
      <c r="AN754" s="35">
        <v>22209</v>
      </c>
      <c r="AO754" s="4" t="s">
        <v>111</v>
      </c>
    </row>
    <row r="755" spans="40:41" x14ac:dyDescent="0.1">
      <c r="AN755" s="35">
        <v>22239</v>
      </c>
      <c r="AO755" s="4" t="s">
        <v>112</v>
      </c>
    </row>
    <row r="756" spans="40:41" x14ac:dyDescent="0.1">
      <c r="AN756" s="35">
        <v>22268</v>
      </c>
      <c r="AO756" s="4" t="s">
        <v>379</v>
      </c>
    </row>
    <row r="757" spans="40:41" x14ac:dyDescent="0.1">
      <c r="AN757" s="35">
        <v>22298</v>
      </c>
      <c r="AO757" s="4" t="s">
        <v>113</v>
      </c>
    </row>
    <row r="758" spans="40:41" x14ac:dyDescent="0.1">
      <c r="AN758" s="35">
        <v>22327</v>
      </c>
      <c r="AO758" s="4" t="s">
        <v>100</v>
      </c>
    </row>
    <row r="759" spans="40:41" x14ac:dyDescent="0.1">
      <c r="AN759" s="35">
        <v>22357</v>
      </c>
      <c r="AO759" s="4" t="s">
        <v>104</v>
      </c>
    </row>
    <row r="760" spans="40:41" x14ac:dyDescent="0.1">
      <c r="AN760" s="35">
        <v>22386</v>
      </c>
      <c r="AO760" s="4" t="s">
        <v>105</v>
      </c>
    </row>
    <row r="761" spans="40:41" x14ac:dyDescent="0.1">
      <c r="AN761" s="35">
        <v>22416</v>
      </c>
      <c r="AO761" s="4" t="s">
        <v>106</v>
      </c>
    </row>
    <row r="762" spans="40:41" x14ac:dyDescent="0.1">
      <c r="AN762" s="35">
        <v>22445</v>
      </c>
      <c r="AO762" s="4" t="s">
        <v>107</v>
      </c>
    </row>
    <row r="763" spans="40:41" x14ac:dyDescent="0.1">
      <c r="AN763" s="35">
        <v>22475</v>
      </c>
      <c r="AO763" s="4" t="s">
        <v>108</v>
      </c>
    </row>
    <row r="764" spans="40:41" x14ac:dyDescent="0.1">
      <c r="AN764" s="35">
        <v>22504</v>
      </c>
      <c r="AO764" s="4" t="s">
        <v>109</v>
      </c>
    </row>
    <row r="765" spans="40:41" x14ac:dyDescent="0.1">
      <c r="AN765" s="35">
        <v>22534</v>
      </c>
      <c r="AO765" s="4" t="s">
        <v>110</v>
      </c>
    </row>
    <row r="766" spans="40:41" x14ac:dyDescent="0.1">
      <c r="AN766" s="35">
        <v>22564</v>
      </c>
      <c r="AO766" s="4" t="s">
        <v>111</v>
      </c>
    </row>
    <row r="767" spans="40:41" x14ac:dyDescent="0.1">
      <c r="AN767" s="35">
        <v>22593</v>
      </c>
      <c r="AO767" s="4" t="s">
        <v>112</v>
      </c>
    </row>
    <row r="768" spans="40:41" x14ac:dyDescent="0.1">
      <c r="AN768" s="35">
        <v>22623</v>
      </c>
      <c r="AO768" s="4" t="s">
        <v>379</v>
      </c>
    </row>
    <row r="769" spans="40:41" x14ac:dyDescent="0.1">
      <c r="AN769" s="35">
        <v>22652</v>
      </c>
      <c r="AO769" s="4" t="s">
        <v>113</v>
      </c>
    </row>
    <row r="770" spans="40:41" x14ac:dyDescent="0.1">
      <c r="AN770" s="35">
        <v>22682</v>
      </c>
      <c r="AO770" s="4" t="s">
        <v>100</v>
      </c>
    </row>
    <row r="771" spans="40:41" x14ac:dyDescent="0.1">
      <c r="AN771" s="35">
        <v>22711</v>
      </c>
      <c r="AO771" s="4" t="s">
        <v>104</v>
      </c>
    </row>
    <row r="772" spans="40:41" x14ac:dyDescent="0.1">
      <c r="AN772" s="35">
        <v>22741</v>
      </c>
      <c r="AO772" s="4" t="s">
        <v>105</v>
      </c>
    </row>
    <row r="773" spans="40:41" x14ac:dyDescent="0.1">
      <c r="AN773" s="35">
        <v>22770</v>
      </c>
      <c r="AO773" s="4" t="s">
        <v>106</v>
      </c>
    </row>
    <row r="774" spans="40:41" x14ac:dyDescent="0.1">
      <c r="AN774" s="35">
        <v>22799</v>
      </c>
      <c r="AO774" s="4" t="s">
        <v>107</v>
      </c>
    </row>
    <row r="775" spans="40:41" x14ac:dyDescent="0.1">
      <c r="AN775" s="35">
        <v>22829</v>
      </c>
      <c r="AO775" s="4" t="s">
        <v>108</v>
      </c>
    </row>
    <row r="776" spans="40:41" x14ac:dyDescent="0.1">
      <c r="AN776" s="35">
        <v>22858</v>
      </c>
      <c r="AO776" s="4" t="s">
        <v>109</v>
      </c>
    </row>
    <row r="777" spans="40:41" x14ac:dyDescent="0.1">
      <c r="AN777" s="35">
        <v>22888</v>
      </c>
      <c r="AO777" s="4" t="s">
        <v>110</v>
      </c>
    </row>
    <row r="778" spans="40:41" x14ac:dyDescent="0.1">
      <c r="AN778" s="35">
        <v>22918</v>
      </c>
      <c r="AO778" s="4" t="s">
        <v>111</v>
      </c>
    </row>
    <row r="779" spans="40:41" x14ac:dyDescent="0.1">
      <c r="AN779" s="35">
        <v>22947</v>
      </c>
      <c r="AO779" s="4" t="s">
        <v>112</v>
      </c>
    </row>
    <row r="780" spans="40:41" x14ac:dyDescent="0.1">
      <c r="AN780" s="35">
        <v>22977</v>
      </c>
      <c r="AO780" s="4" t="s">
        <v>379</v>
      </c>
    </row>
    <row r="781" spans="40:41" x14ac:dyDescent="0.1">
      <c r="AN781" s="35">
        <v>23007</v>
      </c>
      <c r="AO781" s="4" t="s">
        <v>113</v>
      </c>
    </row>
    <row r="782" spans="40:41" x14ac:dyDescent="0.1">
      <c r="AN782" s="35">
        <v>23036</v>
      </c>
      <c r="AO782" s="4" t="s">
        <v>100</v>
      </c>
    </row>
    <row r="783" spans="40:41" x14ac:dyDescent="0.1">
      <c r="AN783" s="35">
        <v>23066</v>
      </c>
      <c r="AO783" s="4" t="s">
        <v>104</v>
      </c>
    </row>
    <row r="784" spans="40:41" x14ac:dyDescent="0.1">
      <c r="AN784" s="35">
        <v>23095</v>
      </c>
      <c r="AO784" s="4" t="s">
        <v>105</v>
      </c>
    </row>
    <row r="785" spans="40:41" x14ac:dyDescent="0.1">
      <c r="AN785" s="35">
        <v>23125</v>
      </c>
      <c r="AO785" s="4" t="s">
        <v>106</v>
      </c>
    </row>
    <row r="786" spans="40:41" x14ac:dyDescent="0.1">
      <c r="AN786" s="35">
        <v>23154</v>
      </c>
      <c r="AO786" s="4" t="s">
        <v>143</v>
      </c>
    </row>
    <row r="787" spans="40:41" x14ac:dyDescent="0.1">
      <c r="AN787" s="35">
        <v>23183</v>
      </c>
      <c r="AO787" s="4" t="s">
        <v>107</v>
      </c>
    </row>
    <row r="788" spans="40:41" x14ac:dyDescent="0.1">
      <c r="AN788" s="35">
        <v>23213</v>
      </c>
      <c r="AO788" s="4" t="s">
        <v>108</v>
      </c>
    </row>
    <row r="789" spans="40:41" x14ac:dyDescent="0.1">
      <c r="AN789" s="35">
        <v>23242</v>
      </c>
      <c r="AO789" s="4" t="s">
        <v>109</v>
      </c>
    </row>
    <row r="790" spans="40:41" x14ac:dyDescent="0.1">
      <c r="AN790" s="35">
        <v>23272</v>
      </c>
      <c r="AO790" s="4" t="s">
        <v>110</v>
      </c>
    </row>
    <row r="791" spans="40:41" x14ac:dyDescent="0.1">
      <c r="AN791" s="35">
        <v>23301</v>
      </c>
      <c r="AO791" s="4" t="s">
        <v>111</v>
      </c>
    </row>
    <row r="792" spans="40:41" x14ac:dyDescent="0.1">
      <c r="AN792" s="35">
        <v>23331</v>
      </c>
      <c r="AO792" s="4" t="s">
        <v>112</v>
      </c>
    </row>
    <row r="793" spans="40:41" x14ac:dyDescent="0.1">
      <c r="AN793" s="35">
        <v>23361</v>
      </c>
      <c r="AO793" s="4" t="s">
        <v>379</v>
      </c>
    </row>
    <row r="794" spans="40:41" x14ac:dyDescent="0.1">
      <c r="AN794" s="35">
        <v>23391</v>
      </c>
      <c r="AO794" s="4" t="s">
        <v>113</v>
      </c>
    </row>
    <row r="795" spans="40:41" x14ac:dyDescent="0.1">
      <c r="AN795" s="35">
        <v>23420</v>
      </c>
      <c r="AO795" s="4" t="s">
        <v>100</v>
      </c>
    </row>
    <row r="796" spans="40:41" x14ac:dyDescent="0.1">
      <c r="AN796" s="35">
        <v>23450</v>
      </c>
      <c r="AO796" s="4" t="s">
        <v>104</v>
      </c>
    </row>
    <row r="797" spans="40:41" x14ac:dyDescent="0.1">
      <c r="AN797" s="35">
        <v>23479</v>
      </c>
      <c r="AO797" s="4" t="s">
        <v>105</v>
      </c>
    </row>
    <row r="798" spans="40:41" x14ac:dyDescent="0.1">
      <c r="AN798" s="35">
        <v>23509</v>
      </c>
      <c r="AO798" s="4" t="s">
        <v>106</v>
      </c>
    </row>
    <row r="799" spans="40:41" x14ac:dyDescent="0.1">
      <c r="AN799" s="35">
        <v>23538</v>
      </c>
      <c r="AO799" s="4" t="s">
        <v>107</v>
      </c>
    </row>
    <row r="800" spans="40:41" x14ac:dyDescent="0.1">
      <c r="AN800" s="35">
        <v>23567</v>
      </c>
      <c r="AO800" s="4" t="s">
        <v>108</v>
      </c>
    </row>
    <row r="801" spans="40:41" x14ac:dyDescent="0.1">
      <c r="AN801" s="35">
        <v>23597</v>
      </c>
      <c r="AO801" s="4" t="s">
        <v>109</v>
      </c>
    </row>
    <row r="802" spans="40:41" x14ac:dyDescent="0.1">
      <c r="AN802" s="35">
        <v>23626</v>
      </c>
      <c r="AO802" s="4" t="s">
        <v>110</v>
      </c>
    </row>
    <row r="803" spans="40:41" x14ac:dyDescent="0.1">
      <c r="AN803" s="35">
        <v>23656</v>
      </c>
      <c r="AO803" s="4" t="s">
        <v>111</v>
      </c>
    </row>
    <row r="804" spans="40:41" x14ac:dyDescent="0.1">
      <c r="AN804" s="35">
        <v>23685</v>
      </c>
      <c r="AO804" s="4" t="s">
        <v>112</v>
      </c>
    </row>
    <row r="805" spans="40:41" x14ac:dyDescent="0.1">
      <c r="AN805" s="35">
        <v>23715</v>
      </c>
      <c r="AO805" s="4" t="s">
        <v>379</v>
      </c>
    </row>
    <row r="806" spans="40:41" x14ac:dyDescent="0.1">
      <c r="AN806" s="35">
        <v>23745</v>
      </c>
      <c r="AO806" s="4" t="s">
        <v>113</v>
      </c>
    </row>
    <row r="807" spans="40:41" x14ac:dyDescent="0.1">
      <c r="AN807" s="35">
        <v>23775</v>
      </c>
      <c r="AO807" s="4" t="s">
        <v>100</v>
      </c>
    </row>
    <row r="808" spans="40:41" x14ac:dyDescent="0.1">
      <c r="AN808" s="35">
        <v>23804</v>
      </c>
      <c r="AO808" s="4" t="s">
        <v>104</v>
      </c>
    </row>
    <row r="809" spans="40:41" x14ac:dyDescent="0.1">
      <c r="AN809" s="35">
        <v>23834</v>
      </c>
      <c r="AO809" s="4" t="s">
        <v>105</v>
      </c>
    </row>
    <row r="810" spans="40:41" x14ac:dyDescent="0.1">
      <c r="AN810" s="35">
        <v>23863</v>
      </c>
      <c r="AO810" s="4" t="s">
        <v>106</v>
      </c>
    </row>
    <row r="811" spans="40:41" x14ac:dyDescent="0.1">
      <c r="AN811" s="35">
        <v>23893</v>
      </c>
      <c r="AO811" s="4" t="s">
        <v>107</v>
      </c>
    </row>
    <row r="812" spans="40:41" x14ac:dyDescent="0.1">
      <c r="AN812" s="35">
        <v>23922</v>
      </c>
      <c r="AO812" s="4" t="s">
        <v>108</v>
      </c>
    </row>
    <row r="813" spans="40:41" x14ac:dyDescent="0.1">
      <c r="AN813" s="35">
        <v>23951</v>
      </c>
      <c r="AO813" s="4" t="s">
        <v>109</v>
      </c>
    </row>
    <row r="814" spans="40:41" x14ac:dyDescent="0.1">
      <c r="AN814" s="35">
        <v>23981</v>
      </c>
      <c r="AO814" s="4" t="s">
        <v>110</v>
      </c>
    </row>
    <row r="815" spans="40:41" x14ac:dyDescent="0.1">
      <c r="AN815" s="35">
        <v>24010</v>
      </c>
      <c r="AO815" s="4" t="s">
        <v>111</v>
      </c>
    </row>
    <row r="816" spans="40:41" x14ac:dyDescent="0.1">
      <c r="AN816" s="35">
        <v>24039</v>
      </c>
      <c r="AO816" s="4" t="s">
        <v>112</v>
      </c>
    </row>
    <row r="817" spans="40:41" x14ac:dyDescent="0.1">
      <c r="AN817" s="35">
        <v>24069</v>
      </c>
      <c r="AO817" s="4" t="s">
        <v>379</v>
      </c>
    </row>
    <row r="818" spans="40:41" x14ac:dyDescent="0.1">
      <c r="AN818" s="35">
        <v>24099</v>
      </c>
      <c r="AO818" s="4" t="s">
        <v>113</v>
      </c>
    </row>
    <row r="819" spans="40:41" x14ac:dyDescent="0.1">
      <c r="AN819" s="35">
        <v>24128</v>
      </c>
      <c r="AO819" s="4" t="s">
        <v>100</v>
      </c>
    </row>
    <row r="820" spans="40:41" x14ac:dyDescent="0.1">
      <c r="AN820" s="35">
        <v>24158</v>
      </c>
      <c r="AO820" s="4" t="s">
        <v>104</v>
      </c>
    </row>
    <row r="821" spans="40:41" x14ac:dyDescent="0.1">
      <c r="AN821" s="35">
        <v>24188</v>
      </c>
      <c r="AO821" s="4" t="s">
        <v>105</v>
      </c>
    </row>
    <row r="822" spans="40:41" x14ac:dyDescent="0.1">
      <c r="AN822" s="35">
        <v>24218</v>
      </c>
      <c r="AO822" s="4" t="s">
        <v>147</v>
      </c>
    </row>
    <row r="823" spans="40:41" x14ac:dyDescent="0.1">
      <c r="AN823" s="35">
        <v>24247</v>
      </c>
      <c r="AO823" s="4" t="s">
        <v>106</v>
      </c>
    </row>
    <row r="824" spans="40:41" x14ac:dyDescent="0.1">
      <c r="AN824" s="35">
        <v>24277</v>
      </c>
      <c r="AO824" s="4" t="s">
        <v>107</v>
      </c>
    </row>
    <row r="825" spans="40:41" x14ac:dyDescent="0.1">
      <c r="AN825" s="35">
        <v>24306</v>
      </c>
      <c r="AO825" s="4" t="s">
        <v>108</v>
      </c>
    </row>
    <row r="826" spans="40:41" x14ac:dyDescent="0.1">
      <c r="AN826" s="35">
        <v>24335</v>
      </c>
      <c r="AO826" s="4" t="s">
        <v>109</v>
      </c>
    </row>
    <row r="827" spans="40:41" x14ac:dyDescent="0.1">
      <c r="AN827" s="35">
        <v>24365</v>
      </c>
      <c r="AO827" s="4" t="s">
        <v>110</v>
      </c>
    </row>
    <row r="828" spans="40:41" x14ac:dyDescent="0.1">
      <c r="AN828" s="35">
        <v>24394</v>
      </c>
      <c r="AO828" s="4" t="s">
        <v>111</v>
      </c>
    </row>
    <row r="829" spans="40:41" x14ac:dyDescent="0.1">
      <c r="AN829" s="35">
        <v>24423</v>
      </c>
      <c r="AO829" s="4" t="s">
        <v>112</v>
      </c>
    </row>
    <row r="830" spans="40:41" x14ac:dyDescent="0.1">
      <c r="AN830" s="35">
        <v>24453</v>
      </c>
      <c r="AO830" s="4" t="s">
        <v>379</v>
      </c>
    </row>
    <row r="831" spans="40:41" x14ac:dyDescent="0.1">
      <c r="AN831" s="35">
        <v>24483</v>
      </c>
      <c r="AO831" s="4" t="s">
        <v>113</v>
      </c>
    </row>
    <row r="832" spans="40:41" x14ac:dyDescent="0.1">
      <c r="AN832" s="35">
        <v>24512</v>
      </c>
      <c r="AO832" s="4" t="s">
        <v>100</v>
      </c>
    </row>
    <row r="833" spans="40:41" x14ac:dyDescent="0.1">
      <c r="AN833" s="35">
        <v>24542</v>
      </c>
      <c r="AO833" s="4" t="s">
        <v>104</v>
      </c>
    </row>
    <row r="834" spans="40:41" x14ac:dyDescent="0.1">
      <c r="AN834" s="35">
        <v>24572</v>
      </c>
      <c r="AO834" s="4" t="s">
        <v>105</v>
      </c>
    </row>
    <row r="835" spans="40:41" x14ac:dyDescent="0.1">
      <c r="AN835" s="35">
        <v>24601</v>
      </c>
      <c r="AO835" s="4" t="s">
        <v>106</v>
      </c>
    </row>
    <row r="836" spans="40:41" x14ac:dyDescent="0.1">
      <c r="AN836" s="35">
        <v>24631</v>
      </c>
      <c r="AO836" s="4" t="s">
        <v>107</v>
      </c>
    </row>
    <row r="837" spans="40:41" x14ac:dyDescent="0.1">
      <c r="AN837" s="35">
        <v>24661</v>
      </c>
      <c r="AO837" s="4" t="s">
        <v>108</v>
      </c>
    </row>
    <row r="838" spans="40:41" x14ac:dyDescent="0.1">
      <c r="AN838" s="35">
        <v>24690</v>
      </c>
      <c r="AO838" s="4" t="s">
        <v>109</v>
      </c>
    </row>
    <row r="839" spans="40:41" x14ac:dyDescent="0.1">
      <c r="AN839" s="35">
        <v>24719</v>
      </c>
      <c r="AO839" s="4" t="s">
        <v>110</v>
      </c>
    </row>
    <row r="840" spans="40:41" x14ac:dyDescent="0.1">
      <c r="AN840" s="35">
        <v>24749</v>
      </c>
      <c r="AO840" s="4" t="s">
        <v>111</v>
      </c>
    </row>
    <row r="841" spans="40:41" x14ac:dyDescent="0.1">
      <c r="AN841" s="35">
        <v>24778</v>
      </c>
      <c r="AO841" s="4" t="s">
        <v>112</v>
      </c>
    </row>
    <row r="842" spans="40:41" x14ac:dyDescent="0.1">
      <c r="AN842" s="35">
        <v>24808</v>
      </c>
      <c r="AO842" s="4" t="s">
        <v>379</v>
      </c>
    </row>
    <row r="843" spans="40:41" x14ac:dyDescent="0.1">
      <c r="AN843" s="35">
        <v>24837</v>
      </c>
      <c r="AO843" s="4" t="s">
        <v>113</v>
      </c>
    </row>
    <row r="844" spans="40:41" x14ac:dyDescent="0.1">
      <c r="AN844" s="35">
        <v>24867</v>
      </c>
      <c r="AO844" s="4" t="s">
        <v>100</v>
      </c>
    </row>
    <row r="845" spans="40:41" x14ac:dyDescent="0.1">
      <c r="AN845" s="35">
        <v>24896</v>
      </c>
      <c r="AO845" s="4" t="s">
        <v>104</v>
      </c>
    </row>
    <row r="846" spans="40:41" x14ac:dyDescent="0.1">
      <c r="AN846" s="35">
        <v>24926</v>
      </c>
      <c r="AO846" s="4" t="s">
        <v>105</v>
      </c>
    </row>
    <row r="847" spans="40:41" x14ac:dyDescent="0.1">
      <c r="AN847" s="35">
        <v>24955</v>
      </c>
      <c r="AO847" s="4" t="s">
        <v>106</v>
      </c>
    </row>
    <row r="848" spans="40:41" x14ac:dyDescent="0.1">
      <c r="AN848" s="35">
        <v>24985</v>
      </c>
      <c r="AO848" s="4" t="s">
        <v>107</v>
      </c>
    </row>
    <row r="849" spans="40:41" x14ac:dyDescent="0.1">
      <c r="AN849" s="35">
        <v>25015</v>
      </c>
      <c r="AO849" s="4" t="s">
        <v>108</v>
      </c>
    </row>
    <row r="850" spans="40:41" x14ac:dyDescent="0.1">
      <c r="AN850" s="35">
        <v>25044</v>
      </c>
      <c r="AO850" s="4" t="s">
        <v>109</v>
      </c>
    </row>
    <row r="851" spans="40:41" x14ac:dyDescent="0.1">
      <c r="AN851" s="35">
        <v>25074</v>
      </c>
      <c r="AO851" s="4" t="s">
        <v>146</v>
      </c>
    </row>
    <row r="852" spans="40:41" x14ac:dyDescent="0.1">
      <c r="AN852" s="35">
        <v>25103</v>
      </c>
      <c r="AO852" s="4" t="s">
        <v>110</v>
      </c>
    </row>
    <row r="853" spans="40:41" x14ac:dyDescent="0.1">
      <c r="AN853" s="35">
        <v>25133</v>
      </c>
      <c r="AO853" s="4" t="s">
        <v>111</v>
      </c>
    </row>
    <row r="854" spans="40:41" x14ac:dyDescent="0.1">
      <c r="AN854" s="35">
        <v>25162</v>
      </c>
      <c r="AO854" s="4" t="s">
        <v>112</v>
      </c>
    </row>
    <row r="855" spans="40:41" x14ac:dyDescent="0.1">
      <c r="AN855" s="35">
        <v>25192</v>
      </c>
      <c r="AO855" s="4" t="s">
        <v>379</v>
      </c>
    </row>
    <row r="856" spans="40:41" x14ac:dyDescent="0.1">
      <c r="AN856" s="35">
        <v>25221</v>
      </c>
      <c r="AO856" s="4" t="s">
        <v>113</v>
      </c>
    </row>
    <row r="857" spans="40:41" x14ac:dyDescent="0.1">
      <c r="AN857" s="35">
        <v>25251</v>
      </c>
      <c r="AO857" s="4" t="s">
        <v>100</v>
      </c>
    </row>
    <row r="858" spans="40:41" x14ac:dyDescent="0.1">
      <c r="AN858" s="35">
        <v>25280</v>
      </c>
      <c r="AO858" s="4" t="s">
        <v>104</v>
      </c>
    </row>
    <row r="859" spans="40:41" x14ac:dyDescent="0.1">
      <c r="AN859" s="35">
        <v>25310</v>
      </c>
      <c r="AO859" s="4" t="s">
        <v>105</v>
      </c>
    </row>
    <row r="860" spans="40:41" x14ac:dyDescent="0.1">
      <c r="AN860" s="35">
        <v>25339</v>
      </c>
      <c r="AO860" s="4" t="s">
        <v>106</v>
      </c>
    </row>
    <row r="861" spans="40:41" x14ac:dyDescent="0.1">
      <c r="AN861" s="35">
        <v>25369</v>
      </c>
      <c r="AO861" s="4" t="s">
        <v>107</v>
      </c>
    </row>
    <row r="862" spans="40:41" x14ac:dyDescent="0.1">
      <c r="AN862" s="35">
        <v>25398</v>
      </c>
      <c r="AO862" s="4" t="s">
        <v>108</v>
      </c>
    </row>
    <row r="863" spans="40:41" x14ac:dyDescent="0.1">
      <c r="AN863" s="35">
        <v>25428</v>
      </c>
      <c r="AO863" s="4" t="s">
        <v>109</v>
      </c>
    </row>
    <row r="864" spans="40:41" x14ac:dyDescent="0.1">
      <c r="AN864" s="35">
        <v>25458</v>
      </c>
      <c r="AO864" s="4" t="s">
        <v>110</v>
      </c>
    </row>
    <row r="865" spans="40:41" x14ac:dyDescent="0.1">
      <c r="AN865" s="35">
        <v>25487</v>
      </c>
      <c r="AO865" s="4" t="s">
        <v>111</v>
      </c>
    </row>
    <row r="866" spans="40:41" x14ac:dyDescent="0.1">
      <c r="AN866" s="35">
        <v>25517</v>
      </c>
      <c r="AO866" s="4" t="s">
        <v>112</v>
      </c>
    </row>
    <row r="867" spans="40:41" x14ac:dyDescent="0.1">
      <c r="AN867" s="35">
        <v>25546</v>
      </c>
      <c r="AO867" s="4" t="s">
        <v>379</v>
      </c>
    </row>
    <row r="868" spans="40:41" x14ac:dyDescent="0.1">
      <c r="AN868" s="35">
        <v>25576</v>
      </c>
      <c r="AO868" s="4" t="s">
        <v>113</v>
      </c>
    </row>
    <row r="869" spans="40:41" x14ac:dyDescent="0.1">
      <c r="AN869" s="35">
        <v>25605</v>
      </c>
      <c r="AO869" s="4" t="s">
        <v>100</v>
      </c>
    </row>
    <row r="870" spans="40:41" x14ac:dyDescent="0.1">
      <c r="AN870" s="35">
        <v>25635</v>
      </c>
      <c r="AO870" s="4" t="s">
        <v>104</v>
      </c>
    </row>
    <row r="871" spans="40:41" x14ac:dyDescent="0.1">
      <c r="AN871" s="35">
        <v>25664</v>
      </c>
      <c r="AO871" s="4" t="s">
        <v>105</v>
      </c>
    </row>
    <row r="872" spans="40:41" x14ac:dyDescent="0.1">
      <c r="AN872" s="35">
        <v>25693</v>
      </c>
      <c r="AO872" s="4" t="s">
        <v>106</v>
      </c>
    </row>
    <row r="873" spans="40:41" x14ac:dyDescent="0.1">
      <c r="AN873" s="35">
        <v>25723</v>
      </c>
      <c r="AO873" s="4" t="s">
        <v>107</v>
      </c>
    </row>
    <row r="874" spans="40:41" x14ac:dyDescent="0.1">
      <c r="AN874" s="35">
        <v>25752</v>
      </c>
      <c r="AO874" s="4" t="s">
        <v>108</v>
      </c>
    </row>
    <row r="875" spans="40:41" x14ac:dyDescent="0.1">
      <c r="AN875" s="35">
        <v>25782</v>
      </c>
      <c r="AO875" s="4" t="s">
        <v>109</v>
      </c>
    </row>
    <row r="876" spans="40:41" x14ac:dyDescent="0.1">
      <c r="AN876" s="35">
        <v>25812</v>
      </c>
      <c r="AO876" s="4" t="s">
        <v>110</v>
      </c>
    </row>
    <row r="877" spans="40:41" x14ac:dyDescent="0.1">
      <c r="AN877" s="35">
        <v>25841</v>
      </c>
      <c r="AO877" s="4" t="s">
        <v>111</v>
      </c>
    </row>
    <row r="878" spans="40:41" x14ac:dyDescent="0.1">
      <c r="AN878" s="35">
        <v>25871</v>
      </c>
      <c r="AO878" s="4" t="s">
        <v>112</v>
      </c>
    </row>
    <row r="879" spans="40:41" x14ac:dyDescent="0.1">
      <c r="AN879" s="35">
        <v>25901</v>
      </c>
      <c r="AO879" s="4" t="s">
        <v>379</v>
      </c>
    </row>
    <row r="880" spans="40:41" x14ac:dyDescent="0.1">
      <c r="AN880" s="35">
        <v>25930</v>
      </c>
      <c r="AO880" s="4" t="s">
        <v>113</v>
      </c>
    </row>
    <row r="881" spans="40:41" x14ac:dyDescent="0.1">
      <c r="AN881" s="35">
        <v>25960</v>
      </c>
      <c r="AO881" s="4" t="s">
        <v>100</v>
      </c>
    </row>
    <row r="882" spans="40:41" x14ac:dyDescent="0.1">
      <c r="AN882" s="35">
        <v>25989</v>
      </c>
      <c r="AO882" s="4" t="s">
        <v>104</v>
      </c>
    </row>
    <row r="883" spans="40:41" x14ac:dyDescent="0.1">
      <c r="AN883" s="35">
        <v>26019</v>
      </c>
      <c r="AO883" s="4" t="s">
        <v>105</v>
      </c>
    </row>
    <row r="884" spans="40:41" x14ac:dyDescent="0.1">
      <c r="AN884" s="35">
        <v>26048</v>
      </c>
      <c r="AO884" s="4" t="s">
        <v>106</v>
      </c>
    </row>
    <row r="885" spans="40:41" x14ac:dyDescent="0.1">
      <c r="AN885" s="35">
        <v>26077</v>
      </c>
      <c r="AO885" s="4" t="s">
        <v>107</v>
      </c>
    </row>
    <row r="886" spans="40:41" x14ac:dyDescent="0.1">
      <c r="AN886" s="35">
        <v>26107</v>
      </c>
      <c r="AO886" s="4" t="s">
        <v>142</v>
      </c>
    </row>
    <row r="887" spans="40:41" x14ac:dyDescent="0.1">
      <c r="AN887" s="35">
        <v>26136</v>
      </c>
      <c r="AO887" s="4" t="s">
        <v>108</v>
      </c>
    </row>
    <row r="888" spans="40:41" x14ac:dyDescent="0.1">
      <c r="AN888" s="35">
        <v>26166</v>
      </c>
      <c r="AO888" s="4" t="s">
        <v>109</v>
      </c>
    </row>
    <row r="889" spans="40:41" x14ac:dyDescent="0.1">
      <c r="AN889" s="35">
        <v>26195</v>
      </c>
      <c r="AO889" s="4" t="s">
        <v>110</v>
      </c>
    </row>
    <row r="890" spans="40:41" x14ac:dyDescent="0.1">
      <c r="AN890" s="35">
        <v>26225</v>
      </c>
      <c r="AO890" s="4" t="s">
        <v>111</v>
      </c>
    </row>
    <row r="891" spans="40:41" x14ac:dyDescent="0.1">
      <c r="AN891" s="35">
        <v>26255</v>
      </c>
      <c r="AO891" s="4" t="s">
        <v>112</v>
      </c>
    </row>
    <row r="892" spans="40:41" x14ac:dyDescent="0.1">
      <c r="AN892" s="35">
        <v>26285</v>
      </c>
      <c r="AO892" s="4" t="s">
        <v>379</v>
      </c>
    </row>
    <row r="893" spans="40:41" x14ac:dyDescent="0.1">
      <c r="AN893" s="35">
        <v>26314</v>
      </c>
      <c r="AO893" s="4" t="s">
        <v>113</v>
      </c>
    </row>
    <row r="894" spans="40:41" x14ac:dyDescent="0.1">
      <c r="AN894" s="35">
        <v>26344</v>
      </c>
      <c r="AO894" s="4" t="s">
        <v>100</v>
      </c>
    </row>
    <row r="895" spans="40:41" x14ac:dyDescent="0.1">
      <c r="AN895" s="35">
        <v>26373</v>
      </c>
      <c r="AO895" s="4" t="s">
        <v>104</v>
      </c>
    </row>
    <row r="896" spans="40:41" x14ac:dyDescent="0.1">
      <c r="AN896" s="35">
        <v>26403</v>
      </c>
      <c r="AO896" s="4" t="s">
        <v>105</v>
      </c>
    </row>
    <row r="897" spans="40:41" x14ac:dyDescent="0.1">
      <c r="AN897" s="35">
        <v>26432</v>
      </c>
      <c r="AO897" s="4" t="s">
        <v>106</v>
      </c>
    </row>
    <row r="898" spans="40:41" x14ac:dyDescent="0.1">
      <c r="AN898" s="35">
        <v>26461</v>
      </c>
      <c r="AO898" s="4" t="s">
        <v>107</v>
      </c>
    </row>
    <row r="899" spans="40:41" x14ac:dyDescent="0.1">
      <c r="AN899" s="35">
        <v>26491</v>
      </c>
      <c r="AO899" s="4" t="s">
        <v>108</v>
      </c>
    </row>
    <row r="900" spans="40:41" x14ac:dyDescent="0.1">
      <c r="AN900" s="35">
        <v>26520</v>
      </c>
      <c r="AO900" s="4" t="s">
        <v>109</v>
      </c>
    </row>
    <row r="901" spans="40:41" x14ac:dyDescent="0.1">
      <c r="AN901" s="35">
        <v>26550</v>
      </c>
      <c r="AO901" s="4" t="s">
        <v>110</v>
      </c>
    </row>
    <row r="902" spans="40:41" x14ac:dyDescent="0.1">
      <c r="AN902" s="35">
        <v>26579</v>
      </c>
      <c r="AO902" s="4" t="s">
        <v>111</v>
      </c>
    </row>
    <row r="903" spans="40:41" x14ac:dyDescent="0.1">
      <c r="AN903" s="35">
        <v>26609</v>
      </c>
      <c r="AO903" s="4" t="s">
        <v>112</v>
      </c>
    </row>
    <row r="904" spans="40:41" x14ac:dyDescent="0.1">
      <c r="AN904" s="35">
        <v>26639</v>
      </c>
      <c r="AO904" s="4" t="s">
        <v>379</v>
      </c>
    </row>
    <row r="905" spans="40:41" x14ac:dyDescent="0.1">
      <c r="AN905" s="35">
        <v>26668</v>
      </c>
      <c r="AO905" s="4" t="s">
        <v>113</v>
      </c>
    </row>
    <row r="906" spans="40:41" x14ac:dyDescent="0.1">
      <c r="AN906" s="35">
        <v>26698</v>
      </c>
      <c r="AO906" s="4" t="s">
        <v>100</v>
      </c>
    </row>
    <row r="907" spans="40:41" x14ac:dyDescent="0.1">
      <c r="AN907" s="35">
        <v>26728</v>
      </c>
      <c r="AO907" s="4" t="s">
        <v>104</v>
      </c>
    </row>
    <row r="908" spans="40:41" x14ac:dyDescent="0.1">
      <c r="AN908" s="35">
        <v>26757</v>
      </c>
      <c r="AO908" s="4" t="s">
        <v>105</v>
      </c>
    </row>
    <row r="909" spans="40:41" x14ac:dyDescent="0.1">
      <c r="AN909" s="35">
        <v>26787</v>
      </c>
      <c r="AO909" s="4" t="s">
        <v>106</v>
      </c>
    </row>
    <row r="910" spans="40:41" x14ac:dyDescent="0.1">
      <c r="AN910" s="35">
        <v>26816</v>
      </c>
      <c r="AO910" s="4" t="s">
        <v>107</v>
      </c>
    </row>
    <row r="911" spans="40:41" x14ac:dyDescent="0.1">
      <c r="AN911" s="35">
        <v>26845</v>
      </c>
      <c r="AO911" s="4" t="s">
        <v>108</v>
      </c>
    </row>
    <row r="912" spans="40:41" x14ac:dyDescent="0.1">
      <c r="AN912" s="35">
        <v>26875</v>
      </c>
      <c r="AO912" s="4" t="s">
        <v>109</v>
      </c>
    </row>
    <row r="913" spans="40:41" x14ac:dyDescent="0.1">
      <c r="AN913" s="35">
        <v>26904</v>
      </c>
      <c r="AO913" s="4" t="s">
        <v>110</v>
      </c>
    </row>
    <row r="914" spans="40:41" x14ac:dyDescent="0.1">
      <c r="AN914" s="35">
        <v>26933</v>
      </c>
      <c r="AO914" s="4" t="s">
        <v>111</v>
      </c>
    </row>
    <row r="915" spans="40:41" x14ac:dyDescent="0.1">
      <c r="AN915" s="35">
        <v>26963</v>
      </c>
      <c r="AO915" s="4" t="s">
        <v>112</v>
      </c>
    </row>
    <row r="916" spans="40:41" x14ac:dyDescent="0.1">
      <c r="AN916" s="35">
        <v>26993</v>
      </c>
      <c r="AO916" s="4" t="s">
        <v>379</v>
      </c>
    </row>
    <row r="917" spans="40:41" x14ac:dyDescent="0.1">
      <c r="AN917" s="35">
        <v>27022</v>
      </c>
      <c r="AO917" s="4" t="s">
        <v>113</v>
      </c>
    </row>
    <row r="918" spans="40:41" x14ac:dyDescent="0.1">
      <c r="AN918" s="35">
        <v>27052</v>
      </c>
      <c r="AO918" s="4" t="s">
        <v>100</v>
      </c>
    </row>
    <row r="919" spans="40:41" x14ac:dyDescent="0.1">
      <c r="AN919" s="35">
        <v>27082</v>
      </c>
      <c r="AO919" s="4" t="s">
        <v>104</v>
      </c>
    </row>
    <row r="920" spans="40:41" x14ac:dyDescent="0.1">
      <c r="AN920" s="35">
        <v>27112</v>
      </c>
      <c r="AO920" s="4" t="s">
        <v>105</v>
      </c>
    </row>
    <row r="921" spans="40:41" x14ac:dyDescent="0.1">
      <c r="AN921" s="35">
        <v>27141</v>
      </c>
      <c r="AO921" s="4" t="s">
        <v>106</v>
      </c>
    </row>
    <row r="922" spans="40:41" x14ac:dyDescent="0.1">
      <c r="AN922" s="35">
        <v>27171</v>
      </c>
      <c r="AO922" s="4" t="s">
        <v>143</v>
      </c>
    </row>
    <row r="923" spans="40:41" x14ac:dyDescent="0.1">
      <c r="AN923" s="35">
        <v>27200</v>
      </c>
      <c r="AO923" s="4" t="s">
        <v>107</v>
      </c>
    </row>
    <row r="924" spans="40:41" x14ac:dyDescent="0.1">
      <c r="AN924" s="35">
        <v>27229</v>
      </c>
      <c r="AO924" s="4" t="s">
        <v>108</v>
      </c>
    </row>
    <row r="925" spans="40:41" x14ac:dyDescent="0.1">
      <c r="AN925" s="35">
        <v>27259</v>
      </c>
      <c r="AO925" s="4" t="s">
        <v>109</v>
      </c>
    </row>
    <row r="926" spans="40:41" x14ac:dyDescent="0.1">
      <c r="AN926" s="35">
        <v>27288</v>
      </c>
      <c r="AO926" s="4" t="s">
        <v>110</v>
      </c>
    </row>
    <row r="927" spans="40:41" x14ac:dyDescent="0.1">
      <c r="AN927" s="35">
        <v>27317</v>
      </c>
      <c r="AO927" s="4" t="s">
        <v>111</v>
      </c>
    </row>
    <row r="928" spans="40:41" x14ac:dyDescent="0.1">
      <c r="AN928" s="35">
        <v>27347</v>
      </c>
      <c r="AO928" s="4" t="s">
        <v>112</v>
      </c>
    </row>
    <row r="929" spans="40:41" x14ac:dyDescent="0.1">
      <c r="AN929" s="35">
        <v>27377</v>
      </c>
      <c r="AO929" s="4" t="s">
        <v>379</v>
      </c>
    </row>
    <row r="930" spans="40:41" x14ac:dyDescent="0.1">
      <c r="AN930" s="35">
        <v>27406</v>
      </c>
      <c r="AO930" s="4" t="s">
        <v>113</v>
      </c>
    </row>
    <row r="931" spans="40:41" x14ac:dyDescent="0.1">
      <c r="AN931" s="35">
        <v>27436</v>
      </c>
      <c r="AO931" s="4" t="s">
        <v>100</v>
      </c>
    </row>
    <row r="932" spans="40:41" x14ac:dyDescent="0.1">
      <c r="AN932" s="35">
        <v>27466</v>
      </c>
      <c r="AO932" s="4" t="s">
        <v>104</v>
      </c>
    </row>
    <row r="933" spans="40:41" x14ac:dyDescent="0.1">
      <c r="AN933" s="35">
        <v>27496</v>
      </c>
      <c r="AO933" s="4" t="s">
        <v>105</v>
      </c>
    </row>
    <row r="934" spans="40:41" x14ac:dyDescent="0.1">
      <c r="AN934" s="35">
        <v>27525</v>
      </c>
      <c r="AO934" s="4" t="s">
        <v>106</v>
      </c>
    </row>
    <row r="935" spans="40:41" x14ac:dyDescent="0.1">
      <c r="AN935" s="35">
        <v>27555</v>
      </c>
      <c r="AO935" s="4" t="s">
        <v>107</v>
      </c>
    </row>
    <row r="936" spans="40:41" x14ac:dyDescent="0.1">
      <c r="AN936" s="35">
        <v>27584</v>
      </c>
      <c r="AO936" s="4" t="s">
        <v>108</v>
      </c>
    </row>
    <row r="937" spans="40:41" x14ac:dyDescent="0.1">
      <c r="AN937" s="35">
        <v>27613</v>
      </c>
      <c r="AO937" s="4" t="s">
        <v>109</v>
      </c>
    </row>
    <row r="938" spans="40:41" x14ac:dyDescent="0.1">
      <c r="AN938" s="35">
        <v>27643</v>
      </c>
      <c r="AO938" s="4" t="s">
        <v>110</v>
      </c>
    </row>
    <row r="939" spans="40:41" x14ac:dyDescent="0.1">
      <c r="AN939" s="35">
        <v>27672</v>
      </c>
      <c r="AO939" s="4" t="s">
        <v>111</v>
      </c>
    </row>
    <row r="940" spans="40:41" x14ac:dyDescent="0.1">
      <c r="AN940" s="35">
        <v>27701</v>
      </c>
      <c r="AO940" s="4" t="s">
        <v>112</v>
      </c>
    </row>
    <row r="941" spans="40:41" x14ac:dyDescent="0.1">
      <c r="AN941" s="35">
        <v>27731</v>
      </c>
      <c r="AO941" s="4" t="s">
        <v>379</v>
      </c>
    </row>
    <row r="942" spans="40:41" x14ac:dyDescent="0.1">
      <c r="AN942" s="35">
        <v>27760</v>
      </c>
      <c r="AO942" s="4" t="s">
        <v>113</v>
      </c>
    </row>
    <row r="943" spans="40:41" x14ac:dyDescent="0.1">
      <c r="AN943" s="35">
        <v>27790</v>
      </c>
      <c r="AO943" s="4" t="s">
        <v>100</v>
      </c>
    </row>
    <row r="944" spans="40:41" x14ac:dyDescent="0.1">
      <c r="AN944" s="35">
        <v>27820</v>
      </c>
      <c r="AO944" s="4" t="s">
        <v>104</v>
      </c>
    </row>
    <row r="945" spans="40:41" x14ac:dyDescent="0.1">
      <c r="AN945" s="35">
        <v>27850</v>
      </c>
      <c r="AO945" s="4" t="s">
        <v>105</v>
      </c>
    </row>
    <row r="946" spans="40:41" x14ac:dyDescent="0.1">
      <c r="AN946" s="35">
        <v>27879</v>
      </c>
      <c r="AO946" s="4" t="s">
        <v>106</v>
      </c>
    </row>
    <row r="947" spans="40:41" x14ac:dyDescent="0.1">
      <c r="AN947" s="35">
        <v>27909</v>
      </c>
      <c r="AO947" s="4" t="s">
        <v>107</v>
      </c>
    </row>
    <row r="948" spans="40:41" x14ac:dyDescent="0.1">
      <c r="AN948" s="35">
        <v>27938</v>
      </c>
      <c r="AO948" s="4" t="s">
        <v>108</v>
      </c>
    </row>
    <row r="949" spans="40:41" x14ac:dyDescent="0.1">
      <c r="AN949" s="35">
        <v>27968</v>
      </c>
      <c r="AO949" s="4" t="s">
        <v>109</v>
      </c>
    </row>
    <row r="950" spans="40:41" x14ac:dyDescent="0.1">
      <c r="AN950" s="35">
        <v>27997</v>
      </c>
      <c r="AO950" s="4" t="s">
        <v>110</v>
      </c>
    </row>
    <row r="951" spans="40:41" x14ac:dyDescent="0.1">
      <c r="AN951" s="35">
        <v>28027</v>
      </c>
      <c r="AO951" s="4" t="s">
        <v>141</v>
      </c>
    </row>
    <row r="952" spans="40:41" x14ac:dyDescent="0.1">
      <c r="AN952" s="35">
        <v>28056</v>
      </c>
      <c r="AO952" s="4" t="s">
        <v>111</v>
      </c>
    </row>
    <row r="953" spans="40:41" x14ac:dyDescent="0.1">
      <c r="AN953" s="35">
        <v>28085</v>
      </c>
      <c r="AO953" s="4" t="s">
        <v>112</v>
      </c>
    </row>
    <row r="954" spans="40:41" x14ac:dyDescent="0.1">
      <c r="AN954" s="35">
        <v>28115</v>
      </c>
      <c r="AO954" s="4" t="s">
        <v>379</v>
      </c>
    </row>
    <row r="955" spans="40:41" x14ac:dyDescent="0.1">
      <c r="AN955" s="35">
        <v>28144</v>
      </c>
      <c r="AO955" s="4" t="s">
        <v>113</v>
      </c>
    </row>
    <row r="956" spans="40:41" x14ac:dyDescent="0.1">
      <c r="AN956" s="35">
        <v>28174</v>
      </c>
      <c r="AO956" s="4" t="s">
        <v>100</v>
      </c>
    </row>
    <row r="957" spans="40:41" x14ac:dyDescent="0.1">
      <c r="AN957" s="35">
        <v>28204</v>
      </c>
      <c r="AO957" s="4" t="s">
        <v>104</v>
      </c>
    </row>
    <row r="958" spans="40:41" x14ac:dyDescent="0.1">
      <c r="AN958" s="35">
        <v>28233</v>
      </c>
      <c r="AO958" s="4" t="s">
        <v>105</v>
      </c>
    </row>
    <row r="959" spans="40:41" x14ac:dyDescent="0.1">
      <c r="AN959" s="35">
        <v>28263</v>
      </c>
      <c r="AO959" s="4" t="s">
        <v>106</v>
      </c>
    </row>
    <row r="960" spans="40:41" x14ac:dyDescent="0.1">
      <c r="AN960" s="35">
        <v>28293</v>
      </c>
      <c r="AO960" s="4" t="s">
        <v>107</v>
      </c>
    </row>
    <row r="961" spans="40:41" x14ac:dyDescent="0.1">
      <c r="AN961" s="35">
        <v>28322</v>
      </c>
      <c r="AO961" s="4" t="s">
        <v>108</v>
      </c>
    </row>
    <row r="962" spans="40:41" x14ac:dyDescent="0.1">
      <c r="AN962" s="35">
        <v>28352</v>
      </c>
      <c r="AO962" s="4" t="s">
        <v>109</v>
      </c>
    </row>
    <row r="963" spans="40:41" x14ac:dyDescent="0.1">
      <c r="AN963" s="35">
        <v>28381</v>
      </c>
      <c r="AO963" s="4" t="s">
        <v>110</v>
      </c>
    </row>
    <row r="964" spans="40:41" x14ac:dyDescent="0.1">
      <c r="AN964" s="35">
        <v>28411</v>
      </c>
      <c r="AO964" s="4" t="s">
        <v>111</v>
      </c>
    </row>
    <row r="965" spans="40:41" x14ac:dyDescent="0.1">
      <c r="AN965" s="35">
        <v>28440</v>
      </c>
      <c r="AO965" s="4" t="s">
        <v>112</v>
      </c>
    </row>
    <row r="966" spans="40:41" x14ac:dyDescent="0.1">
      <c r="AN966" s="35">
        <v>28470</v>
      </c>
      <c r="AO966" s="4" t="s">
        <v>379</v>
      </c>
    </row>
    <row r="967" spans="40:41" x14ac:dyDescent="0.1">
      <c r="AN967" s="35">
        <v>28499</v>
      </c>
      <c r="AO967" s="4" t="s">
        <v>113</v>
      </c>
    </row>
    <row r="968" spans="40:41" x14ac:dyDescent="0.1">
      <c r="AN968" s="35">
        <v>28528</v>
      </c>
      <c r="AO968" s="4" t="s">
        <v>100</v>
      </c>
    </row>
    <row r="969" spans="40:41" x14ac:dyDescent="0.1">
      <c r="AN969" s="35">
        <v>28558</v>
      </c>
      <c r="AO969" s="4" t="s">
        <v>104</v>
      </c>
    </row>
    <row r="970" spans="40:41" x14ac:dyDescent="0.1">
      <c r="AN970" s="35">
        <v>28587</v>
      </c>
      <c r="AO970" s="4" t="s">
        <v>105</v>
      </c>
    </row>
    <row r="971" spans="40:41" x14ac:dyDescent="0.1">
      <c r="AN971" s="35">
        <v>28617</v>
      </c>
      <c r="AO971" s="4" t="s">
        <v>106</v>
      </c>
    </row>
    <row r="972" spans="40:41" x14ac:dyDescent="0.1">
      <c r="AN972" s="35">
        <v>28647</v>
      </c>
      <c r="AO972" s="4" t="s">
        <v>107</v>
      </c>
    </row>
    <row r="973" spans="40:41" x14ac:dyDescent="0.1">
      <c r="AN973" s="35">
        <v>28676</v>
      </c>
      <c r="AO973" s="4" t="s">
        <v>108</v>
      </c>
    </row>
    <row r="974" spans="40:41" x14ac:dyDescent="0.1">
      <c r="AN974" s="35">
        <v>28706</v>
      </c>
      <c r="AO974" s="4" t="s">
        <v>109</v>
      </c>
    </row>
    <row r="975" spans="40:41" x14ac:dyDescent="0.1">
      <c r="AN975" s="35">
        <v>28736</v>
      </c>
      <c r="AO975" s="4" t="s">
        <v>110</v>
      </c>
    </row>
    <row r="976" spans="40:41" x14ac:dyDescent="0.1">
      <c r="AN976" s="35">
        <v>28765</v>
      </c>
      <c r="AO976" s="4" t="s">
        <v>111</v>
      </c>
    </row>
    <row r="977" spans="40:41" x14ac:dyDescent="0.1">
      <c r="AN977" s="35">
        <v>28795</v>
      </c>
      <c r="AO977" s="4" t="s">
        <v>112</v>
      </c>
    </row>
    <row r="978" spans="40:41" x14ac:dyDescent="0.1">
      <c r="AN978" s="35">
        <v>28824</v>
      </c>
      <c r="AO978" s="4" t="s">
        <v>379</v>
      </c>
    </row>
    <row r="979" spans="40:41" x14ac:dyDescent="0.1">
      <c r="AN979" s="35">
        <v>28854</v>
      </c>
      <c r="AO979" s="4" t="s">
        <v>113</v>
      </c>
    </row>
    <row r="980" spans="40:41" x14ac:dyDescent="0.1">
      <c r="AN980" s="35">
        <v>28883</v>
      </c>
      <c r="AO980" s="4" t="s">
        <v>100</v>
      </c>
    </row>
    <row r="981" spans="40:41" x14ac:dyDescent="0.1">
      <c r="AN981" s="35">
        <v>28913</v>
      </c>
      <c r="AO981" s="4" t="s">
        <v>104</v>
      </c>
    </row>
    <row r="982" spans="40:41" x14ac:dyDescent="0.1">
      <c r="AN982" s="35">
        <v>28942</v>
      </c>
      <c r="AO982" s="4" t="s">
        <v>105</v>
      </c>
    </row>
    <row r="983" spans="40:41" x14ac:dyDescent="0.1">
      <c r="AN983" s="35">
        <v>28971</v>
      </c>
      <c r="AO983" s="4" t="s">
        <v>106</v>
      </c>
    </row>
    <row r="984" spans="40:41" x14ac:dyDescent="0.1">
      <c r="AN984" s="35">
        <v>29001</v>
      </c>
      <c r="AO984" s="4" t="s">
        <v>107</v>
      </c>
    </row>
    <row r="985" spans="40:41" x14ac:dyDescent="0.1">
      <c r="AN985" s="35">
        <v>29030</v>
      </c>
      <c r="AO985" s="4" t="s">
        <v>108</v>
      </c>
    </row>
    <row r="986" spans="40:41" x14ac:dyDescent="0.1">
      <c r="AN986" s="35">
        <v>29060</v>
      </c>
      <c r="AO986" s="4" t="s">
        <v>145</v>
      </c>
    </row>
    <row r="987" spans="40:41" x14ac:dyDescent="0.1">
      <c r="AN987" s="35">
        <v>29090</v>
      </c>
      <c r="AO987" s="4" t="s">
        <v>109</v>
      </c>
    </row>
    <row r="988" spans="40:41" x14ac:dyDescent="0.1">
      <c r="AN988" s="35">
        <v>29119</v>
      </c>
      <c r="AO988" s="4" t="s">
        <v>110</v>
      </c>
    </row>
    <row r="989" spans="40:41" x14ac:dyDescent="0.1">
      <c r="AN989" s="35">
        <v>29149</v>
      </c>
      <c r="AO989" s="4" t="s">
        <v>111</v>
      </c>
    </row>
    <row r="990" spans="40:41" x14ac:dyDescent="0.1">
      <c r="AN990" s="35">
        <v>29179</v>
      </c>
      <c r="AO990" s="4" t="s">
        <v>112</v>
      </c>
    </row>
    <row r="991" spans="40:41" x14ac:dyDescent="0.1">
      <c r="AN991" s="35">
        <v>29208</v>
      </c>
      <c r="AO991" s="4" t="s">
        <v>379</v>
      </c>
    </row>
    <row r="992" spans="40:41" x14ac:dyDescent="0.1">
      <c r="AN992" s="35">
        <v>29238</v>
      </c>
      <c r="AO992" s="4" t="s">
        <v>113</v>
      </c>
    </row>
    <row r="993" spans="40:41" x14ac:dyDescent="0.1">
      <c r="AN993" s="35">
        <v>29267</v>
      </c>
      <c r="AO993" s="4" t="s">
        <v>100</v>
      </c>
    </row>
    <row r="994" spans="40:41" x14ac:dyDescent="0.1">
      <c r="AN994" s="35">
        <v>29297</v>
      </c>
      <c r="AO994" s="4" t="s">
        <v>104</v>
      </c>
    </row>
    <row r="995" spans="40:41" x14ac:dyDescent="0.1">
      <c r="AN995" s="35">
        <v>29326</v>
      </c>
      <c r="AO995" s="4" t="s">
        <v>105</v>
      </c>
    </row>
    <row r="996" spans="40:41" x14ac:dyDescent="0.1">
      <c r="AN996" s="35">
        <v>29355</v>
      </c>
      <c r="AO996" s="4" t="s">
        <v>106</v>
      </c>
    </row>
    <row r="997" spans="40:41" x14ac:dyDescent="0.1">
      <c r="AN997" s="35">
        <v>29385</v>
      </c>
      <c r="AO997" s="4" t="s">
        <v>107</v>
      </c>
    </row>
    <row r="998" spans="40:41" x14ac:dyDescent="0.1">
      <c r="AN998" s="35">
        <v>29414</v>
      </c>
      <c r="AO998" s="4" t="s">
        <v>108</v>
      </c>
    </row>
    <row r="999" spans="40:41" x14ac:dyDescent="0.1">
      <c r="AN999" s="35">
        <v>29444</v>
      </c>
      <c r="AO999" s="4" t="s">
        <v>109</v>
      </c>
    </row>
    <row r="1000" spans="40:41" x14ac:dyDescent="0.1">
      <c r="AN1000" s="35">
        <v>29473</v>
      </c>
      <c r="AO1000" s="4" t="s">
        <v>110</v>
      </c>
    </row>
    <row r="1001" spans="40:41" x14ac:dyDescent="0.1">
      <c r="AN1001" s="35">
        <v>29503</v>
      </c>
      <c r="AO1001" s="4" t="s">
        <v>111</v>
      </c>
    </row>
    <row r="1002" spans="40:41" x14ac:dyDescent="0.1">
      <c r="AN1002" s="35">
        <v>29533</v>
      </c>
      <c r="AO1002" s="4" t="s">
        <v>112</v>
      </c>
    </row>
    <row r="1003" spans="40:41" x14ac:dyDescent="0.1">
      <c r="AN1003" s="35">
        <v>29562</v>
      </c>
      <c r="AO1003" s="4" t="s">
        <v>379</v>
      </c>
    </row>
    <row r="1004" spans="40:41" x14ac:dyDescent="0.1">
      <c r="AN1004" s="35">
        <v>29592</v>
      </c>
      <c r="AO1004" s="4" t="s">
        <v>113</v>
      </c>
    </row>
    <row r="1005" spans="40:41" x14ac:dyDescent="0.1">
      <c r="AN1005" s="35">
        <v>29622</v>
      </c>
      <c r="AO1005" s="4" t="s">
        <v>100</v>
      </c>
    </row>
    <row r="1006" spans="40:41" x14ac:dyDescent="0.1">
      <c r="AN1006" s="35">
        <v>29651</v>
      </c>
      <c r="AO1006" s="4" t="s">
        <v>104</v>
      </c>
    </row>
    <row r="1007" spans="40:41" x14ac:dyDescent="0.1">
      <c r="AN1007" s="35">
        <v>29681</v>
      </c>
      <c r="AO1007" s="4" t="s">
        <v>105</v>
      </c>
    </row>
    <row r="1008" spans="40:41" x14ac:dyDescent="0.1">
      <c r="AN1008" s="35">
        <v>29710</v>
      </c>
      <c r="AO1008" s="4" t="s">
        <v>106</v>
      </c>
    </row>
    <row r="1009" spans="40:41" x14ac:dyDescent="0.1">
      <c r="AN1009" s="35">
        <v>29739</v>
      </c>
      <c r="AO1009" s="4" t="s">
        <v>107</v>
      </c>
    </row>
    <row r="1010" spans="40:41" x14ac:dyDescent="0.1">
      <c r="AN1010" s="35">
        <v>29769</v>
      </c>
      <c r="AO1010" s="4" t="s">
        <v>108</v>
      </c>
    </row>
    <row r="1011" spans="40:41" x14ac:dyDescent="0.1">
      <c r="AN1011" s="35">
        <v>29798</v>
      </c>
      <c r="AO1011" s="4" t="s">
        <v>109</v>
      </c>
    </row>
    <row r="1012" spans="40:41" x14ac:dyDescent="0.1">
      <c r="AN1012" s="35">
        <v>29827</v>
      </c>
      <c r="AO1012" s="4" t="s">
        <v>110</v>
      </c>
    </row>
    <row r="1013" spans="40:41" x14ac:dyDescent="0.1">
      <c r="AN1013" s="35">
        <v>29857</v>
      </c>
      <c r="AO1013" s="4" t="s">
        <v>111</v>
      </c>
    </row>
    <row r="1014" spans="40:41" x14ac:dyDescent="0.1">
      <c r="AN1014" s="35">
        <v>29887</v>
      </c>
      <c r="AO1014" s="4" t="s">
        <v>112</v>
      </c>
    </row>
    <row r="1015" spans="40:41" x14ac:dyDescent="0.1">
      <c r="AN1015" s="35">
        <v>29916</v>
      </c>
      <c r="AO1015" s="4" t="s">
        <v>379</v>
      </c>
    </row>
    <row r="1016" spans="40:41" x14ac:dyDescent="0.1">
      <c r="AN1016" s="35">
        <v>29946</v>
      </c>
      <c r="AO1016" s="4" t="s">
        <v>113</v>
      </c>
    </row>
    <row r="1017" spans="40:41" x14ac:dyDescent="0.1">
      <c r="AN1017" s="35">
        <v>29976</v>
      </c>
      <c r="AO1017" s="4" t="s">
        <v>100</v>
      </c>
    </row>
    <row r="1018" spans="40:41" x14ac:dyDescent="0.1">
      <c r="AN1018" s="35">
        <v>30006</v>
      </c>
      <c r="AO1018" s="4" t="s">
        <v>104</v>
      </c>
    </row>
    <row r="1019" spans="40:41" x14ac:dyDescent="0.1">
      <c r="AN1019" s="35">
        <v>30035</v>
      </c>
      <c r="AO1019" s="4" t="s">
        <v>105</v>
      </c>
    </row>
    <row r="1020" spans="40:41" x14ac:dyDescent="0.1">
      <c r="AN1020" s="35">
        <v>30065</v>
      </c>
      <c r="AO1020" s="4" t="s">
        <v>106</v>
      </c>
    </row>
    <row r="1021" spans="40:41" x14ac:dyDescent="0.1">
      <c r="AN1021" s="35">
        <v>30094</v>
      </c>
      <c r="AO1021" s="4" t="s">
        <v>143</v>
      </c>
    </row>
    <row r="1022" spans="40:41" x14ac:dyDescent="0.1">
      <c r="AN1022" s="35">
        <v>30123</v>
      </c>
      <c r="AO1022" s="4" t="s">
        <v>107</v>
      </c>
    </row>
    <row r="1023" spans="40:41" x14ac:dyDescent="0.1">
      <c r="AN1023" s="35">
        <v>30153</v>
      </c>
      <c r="AO1023" s="4" t="s">
        <v>108</v>
      </c>
    </row>
    <row r="1024" spans="40:41" x14ac:dyDescent="0.1">
      <c r="AN1024" s="35">
        <v>30182</v>
      </c>
      <c r="AO1024" s="4" t="s">
        <v>109</v>
      </c>
    </row>
    <row r="1025" spans="40:41" x14ac:dyDescent="0.1">
      <c r="AN1025" s="35">
        <v>30211</v>
      </c>
      <c r="AO1025" s="4" t="s">
        <v>110</v>
      </c>
    </row>
    <row r="1026" spans="40:41" x14ac:dyDescent="0.1">
      <c r="AN1026" s="35">
        <v>30241</v>
      </c>
      <c r="AO1026" s="4" t="s">
        <v>111</v>
      </c>
    </row>
    <row r="1027" spans="40:41" x14ac:dyDescent="0.1">
      <c r="AN1027" s="35">
        <v>30270</v>
      </c>
      <c r="AO1027" s="4" t="s">
        <v>112</v>
      </c>
    </row>
    <row r="1028" spans="40:41" x14ac:dyDescent="0.1">
      <c r="AN1028" s="35">
        <v>30300</v>
      </c>
      <c r="AO1028" s="4" t="s">
        <v>379</v>
      </c>
    </row>
    <row r="1029" spans="40:41" x14ac:dyDescent="0.1">
      <c r="AN1029" s="35">
        <v>30330</v>
      </c>
      <c r="AO1029" s="4" t="s">
        <v>113</v>
      </c>
    </row>
    <row r="1030" spans="40:41" x14ac:dyDescent="0.1">
      <c r="AN1030" s="35">
        <v>30360</v>
      </c>
      <c r="AO1030" s="4" t="s">
        <v>100</v>
      </c>
    </row>
    <row r="1031" spans="40:41" x14ac:dyDescent="0.1">
      <c r="AN1031" s="35">
        <v>30390</v>
      </c>
      <c r="AO1031" s="4" t="s">
        <v>104</v>
      </c>
    </row>
    <row r="1032" spans="40:41" x14ac:dyDescent="0.1">
      <c r="AN1032" s="35">
        <v>30419</v>
      </c>
      <c r="AO1032" s="4" t="s">
        <v>105</v>
      </c>
    </row>
    <row r="1033" spans="40:41" x14ac:dyDescent="0.1">
      <c r="AN1033" s="35">
        <v>30449</v>
      </c>
      <c r="AO1033" s="4" t="s">
        <v>106</v>
      </c>
    </row>
    <row r="1034" spans="40:41" x14ac:dyDescent="0.1">
      <c r="AN1034" s="35">
        <v>30478</v>
      </c>
      <c r="AO1034" s="4" t="s">
        <v>107</v>
      </c>
    </row>
    <row r="1035" spans="40:41" x14ac:dyDescent="0.1">
      <c r="AN1035" s="35">
        <v>30507</v>
      </c>
      <c r="AO1035" s="4" t="s">
        <v>108</v>
      </c>
    </row>
    <row r="1036" spans="40:41" x14ac:dyDescent="0.1">
      <c r="AN1036" s="35">
        <v>30537</v>
      </c>
      <c r="AO1036" s="4" t="s">
        <v>109</v>
      </c>
    </row>
    <row r="1037" spans="40:41" x14ac:dyDescent="0.1">
      <c r="AN1037" s="35">
        <v>30566</v>
      </c>
      <c r="AO1037" s="4" t="s">
        <v>110</v>
      </c>
    </row>
    <row r="1038" spans="40:41" x14ac:dyDescent="0.1">
      <c r="AN1038" s="35">
        <v>30595</v>
      </c>
      <c r="AO1038" s="4" t="s">
        <v>111</v>
      </c>
    </row>
    <row r="1039" spans="40:41" x14ac:dyDescent="0.1">
      <c r="AN1039" s="35">
        <v>30625</v>
      </c>
      <c r="AO1039" s="4" t="s">
        <v>112</v>
      </c>
    </row>
    <row r="1040" spans="40:41" x14ac:dyDescent="0.1">
      <c r="AN1040" s="35">
        <v>30654</v>
      </c>
      <c r="AO1040" s="4" t="s">
        <v>379</v>
      </c>
    </row>
    <row r="1041" spans="40:41" x14ac:dyDescent="0.1">
      <c r="AN1041" s="35">
        <v>30684</v>
      </c>
      <c r="AO1041" s="4" t="s">
        <v>113</v>
      </c>
    </row>
    <row r="1042" spans="40:41" x14ac:dyDescent="0.1">
      <c r="AN1042" s="35">
        <v>30714</v>
      </c>
      <c r="AO1042" s="4" t="s">
        <v>100</v>
      </c>
    </row>
    <row r="1043" spans="40:41" x14ac:dyDescent="0.1">
      <c r="AN1043" s="35">
        <v>30744</v>
      </c>
      <c r="AO1043" s="4" t="s">
        <v>104</v>
      </c>
    </row>
    <row r="1044" spans="40:41" x14ac:dyDescent="0.1">
      <c r="AN1044" s="35">
        <v>30773</v>
      </c>
      <c r="AO1044" s="4" t="s">
        <v>105</v>
      </c>
    </row>
    <row r="1045" spans="40:41" x14ac:dyDescent="0.1">
      <c r="AN1045" s="35">
        <v>30803</v>
      </c>
      <c r="AO1045" s="4" t="s">
        <v>106</v>
      </c>
    </row>
    <row r="1046" spans="40:41" x14ac:dyDescent="0.1">
      <c r="AN1046" s="35">
        <v>30833</v>
      </c>
      <c r="AO1046" s="4" t="s">
        <v>107</v>
      </c>
    </row>
    <row r="1047" spans="40:41" x14ac:dyDescent="0.1">
      <c r="AN1047" s="35">
        <v>30862</v>
      </c>
      <c r="AO1047" s="4" t="s">
        <v>108</v>
      </c>
    </row>
    <row r="1048" spans="40:41" x14ac:dyDescent="0.1">
      <c r="AN1048" s="35">
        <v>30891</v>
      </c>
      <c r="AO1048" s="4" t="s">
        <v>109</v>
      </c>
    </row>
    <row r="1049" spans="40:41" x14ac:dyDescent="0.1">
      <c r="AN1049" s="35">
        <v>30921</v>
      </c>
      <c r="AO1049" s="4" t="s">
        <v>110</v>
      </c>
    </row>
    <row r="1050" spans="40:41" x14ac:dyDescent="0.1">
      <c r="AN1050" s="35">
        <v>30950</v>
      </c>
      <c r="AO1050" s="4" t="s">
        <v>111</v>
      </c>
    </row>
    <row r="1051" spans="40:41" x14ac:dyDescent="0.1">
      <c r="AN1051" s="35">
        <v>30979</v>
      </c>
      <c r="AO1051" s="4" t="s">
        <v>112</v>
      </c>
    </row>
    <row r="1052" spans="40:41" x14ac:dyDescent="0.1">
      <c r="AN1052" s="35">
        <v>31009</v>
      </c>
      <c r="AO1052" s="4" t="s">
        <v>148</v>
      </c>
    </row>
    <row r="1053" spans="40:41" x14ac:dyDescent="0.1">
      <c r="AN1053" s="35">
        <v>31038</v>
      </c>
      <c r="AO1053" s="4" t="s">
        <v>379</v>
      </c>
    </row>
    <row r="1054" spans="40:41" x14ac:dyDescent="0.1">
      <c r="AN1054" s="35">
        <v>31068</v>
      </c>
      <c r="AO1054" s="4" t="s">
        <v>113</v>
      </c>
    </row>
    <row r="1055" spans="40:41" x14ac:dyDescent="0.1">
      <c r="AN1055" s="35">
        <v>31098</v>
      </c>
      <c r="AO1055" s="4" t="s">
        <v>100</v>
      </c>
    </row>
    <row r="1056" spans="40:41" x14ac:dyDescent="0.1">
      <c r="AN1056" s="35">
        <v>31127</v>
      </c>
      <c r="AO1056" s="4" t="s">
        <v>104</v>
      </c>
    </row>
    <row r="1057" spans="40:41" x14ac:dyDescent="0.1">
      <c r="AN1057" s="35">
        <v>31157</v>
      </c>
      <c r="AO1057" s="4" t="s">
        <v>105</v>
      </c>
    </row>
    <row r="1058" spans="40:41" x14ac:dyDescent="0.1">
      <c r="AN1058" s="35">
        <v>31187</v>
      </c>
      <c r="AO1058" s="4" t="s">
        <v>106</v>
      </c>
    </row>
    <row r="1059" spans="40:41" x14ac:dyDescent="0.1">
      <c r="AN1059" s="35">
        <v>31216</v>
      </c>
      <c r="AO1059" s="4" t="s">
        <v>107</v>
      </c>
    </row>
    <row r="1060" spans="40:41" x14ac:dyDescent="0.1">
      <c r="AN1060" s="35">
        <v>31246</v>
      </c>
      <c r="AO1060" s="4" t="s">
        <v>108</v>
      </c>
    </row>
    <row r="1061" spans="40:41" x14ac:dyDescent="0.1">
      <c r="AN1061" s="35">
        <v>31275</v>
      </c>
      <c r="AO1061" s="4" t="s">
        <v>109</v>
      </c>
    </row>
    <row r="1062" spans="40:41" x14ac:dyDescent="0.1">
      <c r="AN1062" s="35">
        <v>31305</v>
      </c>
      <c r="AO1062" s="4" t="s">
        <v>110</v>
      </c>
    </row>
    <row r="1063" spans="40:41" x14ac:dyDescent="0.1">
      <c r="AN1063" s="35">
        <v>31334</v>
      </c>
      <c r="AO1063" s="4" t="s">
        <v>111</v>
      </c>
    </row>
    <row r="1064" spans="40:41" x14ac:dyDescent="0.1">
      <c r="AN1064" s="35">
        <v>31363</v>
      </c>
      <c r="AO1064" s="4" t="s">
        <v>112</v>
      </c>
    </row>
    <row r="1065" spans="40:41" x14ac:dyDescent="0.1">
      <c r="AN1065" s="35">
        <v>31393</v>
      </c>
      <c r="AO1065" s="4" t="s">
        <v>379</v>
      </c>
    </row>
    <row r="1066" spans="40:41" x14ac:dyDescent="0.1">
      <c r="AN1066" s="35">
        <v>31422</v>
      </c>
      <c r="AO1066" s="4" t="s">
        <v>113</v>
      </c>
    </row>
    <row r="1067" spans="40:41" x14ac:dyDescent="0.1">
      <c r="AN1067" s="35">
        <v>31452</v>
      </c>
      <c r="AO1067" s="4" t="s">
        <v>100</v>
      </c>
    </row>
    <row r="1068" spans="40:41" x14ac:dyDescent="0.1">
      <c r="AN1068" s="35">
        <v>31481</v>
      </c>
      <c r="AO1068" s="4" t="s">
        <v>104</v>
      </c>
    </row>
    <row r="1069" spans="40:41" x14ac:dyDescent="0.1">
      <c r="AN1069" s="35">
        <v>31511</v>
      </c>
      <c r="AO1069" s="4" t="s">
        <v>105</v>
      </c>
    </row>
    <row r="1070" spans="40:41" x14ac:dyDescent="0.1">
      <c r="AN1070" s="35">
        <v>31541</v>
      </c>
      <c r="AO1070" s="4" t="s">
        <v>106</v>
      </c>
    </row>
    <row r="1071" spans="40:41" x14ac:dyDescent="0.1">
      <c r="AN1071" s="35">
        <v>31570</v>
      </c>
      <c r="AO1071" s="4" t="s">
        <v>107</v>
      </c>
    </row>
    <row r="1072" spans="40:41" x14ac:dyDescent="0.1">
      <c r="AN1072" s="35">
        <v>31600</v>
      </c>
      <c r="AO1072" s="4" t="s">
        <v>108</v>
      </c>
    </row>
    <row r="1073" spans="40:41" x14ac:dyDescent="0.1">
      <c r="AN1073" s="35">
        <v>31630</v>
      </c>
      <c r="AO1073" s="4" t="s">
        <v>109</v>
      </c>
    </row>
    <row r="1074" spans="40:41" x14ac:dyDescent="0.1">
      <c r="AN1074" s="35">
        <v>31659</v>
      </c>
      <c r="AO1074" s="4" t="s">
        <v>110</v>
      </c>
    </row>
    <row r="1075" spans="40:41" x14ac:dyDescent="0.1">
      <c r="AN1075" s="35">
        <v>31689</v>
      </c>
      <c r="AO1075" s="4" t="s">
        <v>111</v>
      </c>
    </row>
    <row r="1076" spans="40:41" x14ac:dyDescent="0.1">
      <c r="AN1076" s="35">
        <v>31718</v>
      </c>
      <c r="AO1076" s="4" t="s">
        <v>112</v>
      </c>
    </row>
    <row r="1077" spans="40:41" x14ac:dyDescent="0.1">
      <c r="AN1077" s="35">
        <v>31748</v>
      </c>
      <c r="AO1077" s="4" t="s">
        <v>379</v>
      </c>
    </row>
    <row r="1078" spans="40:41" x14ac:dyDescent="0.1">
      <c r="AN1078" s="35">
        <v>31777</v>
      </c>
      <c r="AO1078" s="4" t="s">
        <v>113</v>
      </c>
    </row>
    <row r="1079" spans="40:41" x14ac:dyDescent="0.1">
      <c r="AN1079" s="35">
        <v>31806</v>
      </c>
      <c r="AO1079" s="4" t="s">
        <v>100</v>
      </c>
    </row>
    <row r="1080" spans="40:41" x14ac:dyDescent="0.1">
      <c r="AN1080" s="35">
        <v>31836</v>
      </c>
      <c r="AO1080" s="4" t="s">
        <v>104</v>
      </c>
    </row>
    <row r="1081" spans="40:41" x14ac:dyDescent="0.1">
      <c r="AN1081" s="35">
        <v>31865</v>
      </c>
      <c r="AO1081" s="4" t="s">
        <v>105</v>
      </c>
    </row>
    <row r="1082" spans="40:41" x14ac:dyDescent="0.1">
      <c r="AN1082" s="35">
        <v>31895</v>
      </c>
      <c r="AO1082" s="4" t="s">
        <v>106</v>
      </c>
    </row>
    <row r="1083" spans="40:41" x14ac:dyDescent="0.1">
      <c r="AN1083" s="35">
        <v>31924</v>
      </c>
      <c r="AO1083" s="4" t="s">
        <v>107</v>
      </c>
    </row>
    <row r="1084" spans="40:41" x14ac:dyDescent="0.1">
      <c r="AN1084" s="35">
        <v>31954</v>
      </c>
      <c r="AO1084" s="4" t="s">
        <v>108</v>
      </c>
    </row>
    <row r="1085" spans="40:41" x14ac:dyDescent="0.1">
      <c r="AN1085" s="35">
        <v>31984</v>
      </c>
      <c r="AO1085" s="4" t="s">
        <v>145</v>
      </c>
    </row>
    <row r="1086" spans="40:41" x14ac:dyDescent="0.1">
      <c r="AN1086" s="35">
        <v>32013</v>
      </c>
      <c r="AO1086" s="4" t="s">
        <v>109</v>
      </c>
    </row>
    <row r="1087" spans="40:41" x14ac:dyDescent="0.1">
      <c r="AN1087" s="35">
        <v>32043</v>
      </c>
      <c r="AO1087" s="4" t="s">
        <v>110</v>
      </c>
    </row>
    <row r="1088" spans="40:41" x14ac:dyDescent="0.1">
      <c r="AN1088" s="35">
        <v>32073</v>
      </c>
      <c r="AO1088" s="4" t="s">
        <v>111</v>
      </c>
    </row>
    <row r="1089" spans="40:41" x14ac:dyDescent="0.1">
      <c r="AN1089" s="35">
        <v>32102</v>
      </c>
      <c r="AO1089" s="4" t="s">
        <v>112</v>
      </c>
    </row>
    <row r="1090" spans="40:41" x14ac:dyDescent="0.1">
      <c r="AN1090" s="35">
        <v>32132</v>
      </c>
      <c r="AO1090" s="4" t="s">
        <v>379</v>
      </c>
    </row>
    <row r="1091" spans="40:41" x14ac:dyDescent="0.1">
      <c r="AN1091" s="35">
        <v>32161</v>
      </c>
      <c r="AO1091" s="4" t="s">
        <v>113</v>
      </c>
    </row>
    <row r="1092" spans="40:41" x14ac:dyDescent="0.1">
      <c r="AN1092" s="35">
        <v>32190</v>
      </c>
      <c r="AO1092" s="4" t="s">
        <v>100</v>
      </c>
    </row>
    <row r="1093" spans="40:41" x14ac:dyDescent="0.1">
      <c r="AN1093" s="35">
        <v>32220</v>
      </c>
      <c r="AO1093" s="4" t="s">
        <v>104</v>
      </c>
    </row>
    <row r="1094" spans="40:41" x14ac:dyDescent="0.1">
      <c r="AN1094" s="35">
        <v>32249</v>
      </c>
      <c r="AO1094" s="4" t="s">
        <v>105</v>
      </c>
    </row>
    <row r="1095" spans="40:41" x14ac:dyDescent="0.1">
      <c r="AN1095" s="35">
        <v>32279</v>
      </c>
      <c r="AO1095" s="4" t="s">
        <v>106</v>
      </c>
    </row>
    <row r="1096" spans="40:41" x14ac:dyDescent="0.1">
      <c r="AN1096" s="35">
        <v>32308</v>
      </c>
      <c r="AO1096" s="4" t="s">
        <v>107</v>
      </c>
    </row>
    <row r="1097" spans="40:41" x14ac:dyDescent="0.1">
      <c r="AN1097" s="35">
        <v>32338</v>
      </c>
      <c r="AO1097" s="4" t="s">
        <v>108</v>
      </c>
    </row>
    <row r="1098" spans="40:41" x14ac:dyDescent="0.1">
      <c r="AN1098" s="35">
        <v>32367</v>
      </c>
      <c r="AO1098" s="4" t="s">
        <v>109</v>
      </c>
    </row>
    <row r="1099" spans="40:41" x14ac:dyDescent="0.1">
      <c r="AN1099" s="35">
        <v>32397</v>
      </c>
      <c r="AO1099" s="4" t="s">
        <v>110</v>
      </c>
    </row>
    <row r="1100" spans="40:41" x14ac:dyDescent="0.1">
      <c r="AN1100" s="35">
        <v>32427</v>
      </c>
      <c r="AO1100" s="4" t="s">
        <v>111</v>
      </c>
    </row>
    <row r="1101" spans="40:41" x14ac:dyDescent="0.1">
      <c r="AN1101" s="35">
        <v>32456</v>
      </c>
      <c r="AO1101" s="4" t="s">
        <v>112</v>
      </c>
    </row>
    <row r="1102" spans="40:41" x14ac:dyDescent="0.1">
      <c r="AN1102" s="35">
        <v>32486</v>
      </c>
      <c r="AO1102" s="4" t="s">
        <v>379</v>
      </c>
    </row>
    <row r="1103" spans="40:41" x14ac:dyDescent="0.1">
      <c r="AN1103" s="35">
        <v>32516</v>
      </c>
      <c r="AO1103" s="4" t="s">
        <v>113</v>
      </c>
    </row>
    <row r="1104" spans="40:41" x14ac:dyDescent="0.1">
      <c r="AN1104" s="35">
        <v>32545</v>
      </c>
      <c r="AO1104" s="4" t="s">
        <v>100</v>
      </c>
    </row>
    <row r="1105" spans="40:41" x14ac:dyDescent="0.1">
      <c r="AN1105" s="35">
        <v>32575</v>
      </c>
      <c r="AO1105" s="4" t="s">
        <v>104</v>
      </c>
    </row>
    <row r="1106" spans="40:41" x14ac:dyDescent="0.1">
      <c r="AN1106" s="35">
        <v>32604</v>
      </c>
      <c r="AO1106" s="4" t="s">
        <v>105</v>
      </c>
    </row>
    <row r="1107" spans="40:41" x14ac:dyDescent="0.1">
      <c r="AN1107" s="35">
        <v>32633</v>
      </c>
      <c r="AO1107" s="4" t="s">
        <v>106</v>
      </c>
    </row>
    <row r="1108" spans="40:41" x14ac:dyDescent="0.1">
      <c r="AN1108" s="35">
        <v>32663</v>
      </c>
      <c r="AO1108" s="4" t="s">
        <v>107</v>
      </c>
    </row>
    <row r="1109" spans="40:41" x14ac:dyDescent="0.1">
      <c r="AN1109" s="35">
        <v>32692</v>
      </c>
      <c r="AO1109" s="4" t="s">
        <v>108</v>
      </c>
    </row>
    <row r="1110" spans="40:41" x14ac:dyDescent="0.1">
      <c r="AN1110" s="35">
        <v>32721</v>
      </c>
      <c r="AO1110" s="4" t="s">
        <v>109</v>
      </c>
    </row>
    <row r="1111" spans="40:41" x14ac:dyDescent="0.1">
      <c r="AN1111" s="35">
        <v>32751</v>
      </c>
      <c r="AO1111" s="4" t="s">
        <v>110</v>
      </c>
    </row>
    <row r="1112" spans="40:41" x14ac:dyDescent="0.1">
      <c r="AN1112" s="35">
        <v>32781</v>
      </c>
      <c r="AO1112" s="4" t="s">
        <v>111</v>
      </c>
    </row>
    <row r="1113" spans="40:41" x14ac:dyDescent="0.1">
      <c r="AN1113" s="35">
        <v>32810</v>
      </c>
      <c r="AO1113" s="4" t="s">
        <v>112</v>
      </c>
    </row>
    <row r="1114" spans="40:41" x14ac:dyDescent="0.1">
      <c r="AN1114" s="35">
        <v>32840</v>
      </c>
      <c r="AO1114" s="4" t="s">
        <v>379</v>
      </c>
    </row>
    <row r="1115" spans="40:41" x14ac:dyDescent="0.1">
      <c r="AN1115" s="35">
        <v>32870</v>
      </c>
      <c r="AO1115" s="4" t="s">
        <v>113</v>
      </c>
    </row>
    <row r="1116" spans="40:41" x14ac:dyDescent="0.1">
      <c r="AN1116" s="35">
        <v>32900</v>
      </c>
      <c r="AO1116" s="4" t="s">
        <v>100</v>
      </c>
    </row>
    <row r="1117" spans="40:41" x14ac:dyDescent="0.1">
      <c r="AN1117" s="35">
        <v>32929</v>
      </c>
      <c r="AO1117" s="4" t="s">
        <v>104</v>
      </c>
    </row>
    <row r="1118" spans="40:41" x14ac:dyDescent="0.1">
      <c r="AN1118" s="35">
        <v>32959</v>
      </c>
      <c r="AO1118" s="4" t="s">
        <v>105</v>
      </c>
    </row>
    <row r="1119" spans="40:41" x14ac:dyDescent="0.1">
      <c r="AN1119" s="35">
        <v>32988</v>
      </c>
      <c r="AO1119" s="4" t="s">
        <v>106</v>
      </c>
    </row>
    <row r="1120" spans="40:41" x14ac:dyDescent="0.1">
      <c r="AN1120" s="35">
        <v>33017</v>
      </c>
      <c r="AO1120" s="4" t="s">
        <v>107</v>
      </c>
    </row>
    <row r="1121" spans="40:41" x14ac:dyDescent="0.1">
      <c r="AN1121" s="35">
        <v>33047</v>
      </c>
      <c r="AO1121" s="4" t="s">
        <v>142</v>
      </c>
    </row>
    <row r="1122" spans="40:41" x14ac:dyDescent="0.1">
      <c r="AN1122" s="35">
        <v>33076</v>
      </c>
      <c r="AO1122" s="4" t="s">
        <v>108</v>
      </c>
    </row>
    <row r="1123" spans="40:41" x14ac:dyDescent="0.1">
      <c r="AN1123" s="35">
        <v>33105</v>
      </c>
      <c r="AO1123" s="4" t="s">
        <v>109</v>
      </c>
    </row>
    <row r="1124" spans="40:41" x14ac:dyDescent="0.1">
      <c r="AN1124" s="35">
        <v>33135</v>
      </c>
      <c r="AO1124" s="4" t="s">
        <v>110</v>
      </c>
    </row>
    <row r="1125" spans="40:41" x14ac:dyDescent="0.1">
      <c r="AN1125" s="35">
        <v>33164</v>
      </c>
      <c r="AO1125" s="4" t="s">
        <v>111</v>
      </c>
    </row>
    <row r="1126" spans="40:41" x14ac:dyDescent="0.1">
      <c r="AN1126" s="35">
        <v>33194</v>
      </c>
      <c r="AO1126" s="4" t="s">
        <v>112</v>
      </c>
    </row>
    <row r="1127" spans="40:41" x14ac:dyDescent="0.1">
      <c r="AN1127" s="35">
        <v>33224</v>
      </c>
      <c r="AO1127" s="4" t="s">
        <v>379</v>
      </c>
    </row>
    <row r="1128" spans="40:41" x14ac:dyDescent="0.1">
      <c r="AN1128" s="35">
        <v>33254</v>
      </c>
      <c r="AO1128" s="4" t="s">
        <v>113</v>
      </c>
    </row>
    <row r="1129" spans="40:41" x14ac:dyDescent="0.1">
      <c r="AN1129" s="35">
        <v>33284</v>
      </c>
      <c r="AO1129" s="4" t="s">
        <v>100</v>
      </c>
    </row>
    <row r="1130" spans="40:41" x14ac:dyDescent="0.1">
      <c r="AN1130" s="35">
        <v>33313</v>
      </c>
      <c r="AO1130" s="4" t="s">
        <v>104</v>
      </c>
    </row>
    <row r="1131" spans="40:41" x14ac:dyDescent="0.1">
      <c r="AN1131" s="35">
        <v>33343</v>
      </c>
      <c r="AO1131" s="4" t="s">
        <v>105</v>
      </c>
    </row>
    <row r="1132" spans="40:41" x14ac:dyDescent="0.1">
      <c r="AN1132" s="35">
        <v>33372</v>
      </c>
      <c r="AO1132" s="4" t="s">
        <v>106</v>
      </c>
    </row>
    <row r="1133" spans="40:41" x14ac:dyDescent="0.1">
      <c r="AN1133" s="35">
        <v>33401</v>
      </c>
      <c r="AO1133" s="4" t="s">
        <v>107</v>
      </c>
    </row>
    <row r="1134" spans="40:41" x14ac:dyDescent="0.1">
      <c r="AN1134" s="35">
        <v>33431</v>
      </c>
      <c r="AO1134" s="4" t="s">
        <v>108</v>
      </c>
    </row>
    <row r="1135" spans="40:41" x14ac:dyDescent="0.1">
      <c r="AN1135" s="35">
        <v>33460</v>
      </c>
      <c r="AO1135" s="4" t="s">
        <v>109</v>
      </c>
    </row>
    <row r="1136" spans="40:41" x14ac:dyDescent="0.1">
      <c r="AN1136" s="35">
        <v>33489</v>
      </c>
      <c r="AO1136" s="4" t="s">
        <v>110</v>
      </c>
    </row>
    <row r="1137" spans="40:41" x14ac:dyDescent="0.1">
      <c r="AN1137" s="35">
        <v>33519</v>
      </c>
      <c r="AO1137" s="4" t="s">
        <v>111</v>
      </c>
    </row>
    <row r="1138" spans="40:41" x14ac:dyDescent="0.1">
      <c r="AN1138" s="35">
        <v>33548</v>
      </c>
      <c r="AO1138" s="4" t="s">
        <v>112</v>
      </c>
    </row>
    <row r="1139" spans="40:41" x14ac:dyDescent="0.1">
      <c r="AN1139" s="35">
        <v>33578</v>
      </c>
      <c r="AO1139" s="4" t="s">
        <v>379</v>
      </c>
    </row>
    <row r="1140" spans="40:41" x14ac:dyDescent="0.1">
      <c r="AN1140" s="35">
        <v>33608</v>
      </c>
      <c r="AO1140" s="4" t="s">
        <v>113</v>
      </c>
    </row>
    <row r="1141" spans="40:41" x14ac:dyDescent="0.1">
      <c r="AN1141" s="35">
        <v>33638</v>
      </c>
      <c r="AO1141" s="4" t="s">
        <v>100</v>
      </c>
    </row>
    <row r="1142" spans="40:41" x14ac:dyDescent="0.1">
      <c r="AN1142" s="35">
        <v>33667</v>
      </c>
      <c r="AO1142" s="4" t="s">
        <v>104</v>
      </c>
    </row>
    <row r="1143" spans="40:41" x14ac:dyDescent="0.1">
      <c r="AN1143" s="35">
        <v>33697</v>
      </c>
      <c r="AO1143" s="4" t="s">
        <v>105</v>
      </c>
    </row>
    <row r="1144" spans="40:41" x14ac:dyDescent="0.1">
      <c r="AN1144" s="35">
        <v>33727</v>
      </c>
      <c r="AO1144" s="4" t="s">
        <v>106</v>
      </c>
    </row>
    <row r="1145" spans="40:41" x14ac:dyDescent="0.1">
      <c r="AN1145" s="35">
        <v>33756</v>
      </c>
      <c r="AO1145" s="4" t="s">
        <v>107</v>
      </c>
    </row>
    <row r="1146" spans="40:41" x14ac:dyDescent="0.1">
      <c r="AN1146" s="35">
        <v>33785</v>
      </c>
      <c r="AO1146" s="4" t="s">
        <v>108</v>
      </c>
    </row>
    <row r="1147" spans="40:41" x14ac:dyDescent="0.1">
      <c r="AN1147" s="35">
        <v>33815</v>
      </c>
      <c r="AO1147" s="4" t="s">
        <v>109</v>
      </c>
    </row>
    <row r="1148" spans="40:41" x14ac:dyDescent="0.1">
      <c r="AN1148" s="35">
        <v>33844</v>
      </c>
      <c r="AO1148" s="4" t="s">
        <v>110</v>
      </c>
    </row>
    <row r="1149" spans="40:41" x14ac:dyDescent="0.1">
      <c r="AN1149" s="35">
        <v>33873</v>
      </c>
      <c r="AO1149" s="4" t="s">
        <v>111</v>
      </c>
    </row>
    <row r="1150" spans="40:41" x14ac:dyDescent="0.1">
      <c r="AN1150" s="35">
        <v>33903</v>
      </c>
      <c r="AO1150" s="4" t="s">
        <v>112</v>
      </c>
    </row>
    <row r="1151" spans="40:41" x14ac:dyDescent="0.1">
      <c r="AN1151" s="35">
        <v>33932</v>
      </c>
      <c r="AO1151" s="4" t="s">
        <v>379</v>
      </c>
    </row>
    <row r="1152" spans="40:41" x14ac:dyDescent="0.1">
      <c r="AN1152" s="35">
        <v>33962</v>
      </c>
      <c r="AO1152" s="4" t="s">
        <v>113</v>
      </c>
    </row>
    <row r="1153" spans="40:41" x14ac:dyDescent="0.1">
      <c r="AN1153" s="35">
        <v>33992</v>
      </c>
      <c r="AO1153" s="4" t="s">
        <v>100</v>
      </c>
    </row>
    <row r="1154" spans="40:41" x14ac:dyDescent="0.1">
      <c r="AN1154" s="35">
        <v>34021</v>
      </c>
      <c r="AO1154" s="4" t="s">
        <v>104</v>
      </c>
    </row>
    <row r="1155" spans="40:41" x14ac:dyDescent="0.1">
      <c r="AN1155" s="35">
        <v>34051</v>
      </c>
      <c r="AO1155" s="4" t="s">
        <v>105</v>
      </c>
    </row>
    <row r="1156" spans="40:41" x14ac:dyDescent="0.1">
      <c r="AN1156" s="35">
        <v>34081</v>
      </c>
      <c r="AO1156" s="4" t="s">
        <v>147</v>
      </c>
    </row>
    <row r="1157" spans="40:41" x14ac:dyDescent="0.1">
      <c r="AN1157" s="35">
        <v>34110</v>
      </c>
      <c r="AO1157" s="4" t="s">
        <v>106</v>
      </c>
    </row>
    <row r="1158" spans="40:41" x14ac:dyDescent="0.1">
      <c r="AN1158" s="35">
        <v>34140</v>
      </c>
      <c r="AO1158" s="4" t="s">
        <v>107</v>
      </c>
    </row>
    <row r="1159" spans="40:41" x14ac:dyDescent="0.1">
      <c r="AN1159" s="35">
        <v>34169</v>
      </c>
      <c r="AO1159" s="4" t="s">
        <v>108</v>
      </c>
    </row>
    <row r="1160" spans="40:41" x14ac:dyDescent="0.1">
      <c r="AN1160" s="35">
        <v>34199</v>
      </c>
      <c r="AO1160" s="4" t="s">
        <v>109</v>
      </c>
    </row>
    <row r="1161" spans="40:41" x14ac:dyDescent="0.1">
      <c r="AN1161" s="35">
        <v>34228</v>
      </c>
      <c r="AO1161" s="4" t="s">
        <v>110</v>
      </c>
    </row>
    <row r="1162" spans="40:41" x14ac:dyDescent="0.1">
      <c r="AN1162" s="35">
        <v>34257</v>
      </c>
      <c r="AO1162" s="4" t="s">
        <v>111</v>
      </c>
    </row>
    <row r="1163" spans="40:41" x14ac:dyDescent="0.1">
      <c r="AN1163" s="35">
        <v>34287</v>
      </c>
      <c r="AO1163" s="4" t="s">
        <v>112</v>
      </c>
    </row>
    <row r="1164" spans="40:41" x14ac:dyDescent="0.1">
      <c r="AN1164" s="35">
        <v>34316</v>
      </c>
      <c r="AO1164" s="4" t="s">
        <v>379</v>
      </c>
    </row>
    <row r="1165" spans="40:41" x14ac:dyDescent="0.1">
      <c r="AN1165" s="35">
        <v>34346</v>
      </c>
      <c r="AO1165" s="4" t="s">
        <v>113</v>
      </c>
    </row>
    <row r="1166" spans="40:41" x14ac:dyDescent="0.1">
      <c r="AN1166" s="35">
        <v>34375</v>
      </c>
      <c r="AO1166" s="4" t="s">
        <v>100</v>
      </c>
    </row>
    <row r="1167" spans="40:41" x14ac:dyDescent="0.1">
      <c r="AN1167" s="35">
        <v>34405</v>
      </c>
      <c r="AO1167" s="4" t="s">
        <v>104</v>
      </c>
    </row>
    <row r="1168" spans="40:41" x14ac:dyDescent="0.1">
      <c r="AN1168" s="35">
        <v>34435</v>
      </c>
      <c r="AO1168" s="4" t="s">
        <v>105</v>
      </c>
    </row>
    <row r="1169" spans="40:41" x14ac:dyDescent="0.1">
      <c r="AN1169" s="35">
        <v>34465</v>
      </c>
      <c r="AO1169" s="4" t="s">
        <v>106</v>
      </c>
    </row>
    <row r="1170" spans="40:41" x14ac:dyDescent="0.1">
      <c r="AN1170" s="35">
        <v>34494</v>
      </c>
      <c r="AO1170" s="4" t="s">
        <v>107</v>
      </c>
    </row>
    <row r="1171" spans="40:41" x14ac:dyDescent="0.1">
      <c r="AN1171" s="35">
        <v>34524</v>
      </c>
      <c r="AO1171" s="4" t="s">
        <v>108</v>
      </c>
    </row>
    <row r="1172" spans="40:41" x14ac:dyDescent="0.1">
      <c r="AN1172" s="35">
        <v>34553</v>
      </c>
      <c r="AO1172" s="4" t="s">
        <v>109</v>
      </c>
    </row>
    <row r="1173" spans="40:41" x14ac:dyDescent="0.1">
      <c r="AN1173" s="35">
        <v>34583</v>
      </c>
      <c r="AO1173" s="4" t="s">
        <v>110</v>
      </c>
    </row>
    <row r="1174" spans="40:41" x14ac:dyDescent="0.1">
      <c r="AN1174" s="35">
        <v>34612</v>
      </c>
      <c r="AO1174" s="4" t="s">
        <v>111</v>
      </c>
    </row>
    <row r="1175" spans="40:41" x14ac:dyDescent="0.1">
      <c r="AN1175" s="35">
        <v>34641</v>
      </c>
      <c r="AO1175" s="4" t="s">
        <v>112</v>
      </c>
    </row>
    <row r="1176" spans="40:41" x14ac:dyDescent="0.1">
      <c r="AN1176" s="35">
        <v>34671</v>
      </c>
      <c r="AO1176" s="4" t="s">
        <v>379</v>
      </c>
    </row>
    <row r="1177" spans="40:41" x14ac:dyDescent="0.1">
      <c r="AN1177" s="35">
        <v>34700</v>
      </c>
      <c r="AO1177" s="4" t="s">
        <v>113</v>
      </c>
    </row>
    <row r="1178" spans="40:41" x14ac:dyDescent="0.1">
      <c r="AN1178" s="35">
        <v>34730</v>
      </c>
      <c r="AO1178" s="4" t="s">
        <v>100</v>
      </c>
    </row>
    <row r="1179" spans="40:41" x14ac:dyDescent="0.1">
      <c r="AN1179" s="35">
        <v>34759</v>
      </c>
      <c r="AO1179" s="4" t="s">
        <v>104</v>
      </c>
    </row>
    <row r="1180" spans="40:41" x14ac:dyDescent="0.1">
      <c r="AN1180" s="35">
        <v>34789</v>
      </c>
      <c r="AO1180" s="4" t="s">
        <v>105</v>
      </c>
    </row>
    <row r="1181" spans="40:41" x14ac:dyDescent="0.1">
      <c r="AN1181" s="35">
        <v>34819</v>
      </c>
      <c r="AO1181" s="4" t="s">
        <v>106</v>
      </c>
    </row>
    <row r="1182" spans="40:41" x14ac:dyDescent="0.1">
      <c r="AN1182" s="35">
        <v>34848</v>
      </c>
      <c r="AO1182" s="4" t="s">
        <v>107</v>
      </c>
    </row>
    <row r="1183" spans="40:41" x14ac:dyDescent="0.1">
      <c r="AN1183" s="35">
        <v>34878</v>
      </c>
      <c r="AO1183" s="4" t="s">
        <v>108</v>
      </c>
    </row>
    <row r="1184" spans="40:41" x14ac:dyDescent="0.1">
      <c r="AN1184" s="35">
        <v>34907</v>
      </c>
      <c r="AO1184" s="4" t="s">
        <v>109</v>
      </c>
    </row>
    <row r="1185" spans="40:41" x14ac:dyDescent="0.1">
      <c r="AN1185" s="35">
        <v>34937</v>
      </c>
      <c r="AO1185" s="4" t="s">
        <v>110</v>
      </c>
    </row>
    <row r="1186" spans="40:41" x14ac:dyDescent="0.1">
      <c r="AN1186" s="35">
        <v>34967</v>
      </c>
      <c r="AO1186" s="4" t="s">
        <v>141</v>
      </c>
    </row>
    <row r="1187" spans="40:41" x14ac:dyDescent="0.1">
      <c r="AN1187" s="35">
        <v>34996</v>
      </c>
      <c r="AO1187" s="4" t="s">
        <v>111</v>
      </c>
    </row>
    <row r="1188" spans="40:41" x14ac:dyDescent="0.1">
      <c r="AN1188" s="35">
        <v>35025</v>
      </c>
      <c r="AO1188" s="4" t="s">
        <v>112</v>
      </c>
    </row>
    <row r="1189" spans="40:41" x14ac:dyDescent="0.1">
      <c r="AN1189" s="35">
        <v>35055</v>
      </c>
      <c r="AO1189" s="4" t="s">
        <v>379</v>
      </c>
    </row>
    <row r="1190" spans="40:41" x14ac:dyDescent="0.1">
      <c r="AN1190" s="35">
        <v>35084</v>
      </c>
      <c r="AO1190" s="4" t="s">
        <v>113</v>
      </c>
    </row>
    <row r="1191" spans="40:41" x14ac:dyDescent="0.1">
      <c r="AN1191" s="35">
        <v>35114</v>
      </c>
      <c r="AO1191" s="4" t="s">
        <v>100</v>
      </c>
    </row>
    <row r="1192" spans="40:41" x14ac:dyDescent="0.1">
      <c r="AN1192" s="35">
        <v>35143</v>
      </c>
      <c r="AO1192" s="4" t="s">
        <v>104</v>
      </c>
    </row>
    <row r="1193" spans="40:41" x14ac:dyDescent="0.1">
      <c r="AN1193" s="35">
        <v>35173</v>
      </c>
      <c r="AO1193" s="4" t="s">
        <v>105</v>
      </c>
    </row>
    <row r="1194" spans="40:41" x14ac:dyDescent="0.1">
      <c r="AN1194" s="35">
        <v>35202</v>
      </c>
      <c r="AO1194" s="4" t="s">
        <v>106</v>
      </c>
    </row>
    <row r="1195" spans="40:41" x14ac:dyDescent="0.1">
      <c r="AN1195" s="35">
        <v>35232</v>
      </c>
      <c r="AO1195" s="4" t="s">
        <v>107</v>
      </c>
    </row>
    <row r="1196" spans="40:41" x14ac:dyDescent="0.1">
      <c r="AN1196" s="35">
        <v>35262</v>
      </c>
      <c r="AO1196" s="4" t="s">
        <v>108</v>
      </c>
    </row>
    <row r="1197" spans="40:41" x14ac:dyDescent="0.1">
      <c r="AN1197" s="35">
        <v>35291</v>
      </c>
      <c r="AO1197" s="4" t="s">
        <v>109</v>
      </c>
    </row>
    <row r="1198" spans="40:41" x14ac:dyDescent="0.1">
      <c r="AN1198" s="35">
        <v>35321</v>
      </c>
      <c r="AO1198" s="4" t="s">
        <v>110</v>
      </c>
    </row>
    <row r="1199" spans="40:41" x14ac:dyDescent="0.1">
      <c r="AN1199" s="35">
        <v>35350</v>
      </c>
      <c r="AO1199" s="4" t="s">
        <v>111</v>
      </c>
    </row>
    <row r="1200" spans="40:41" x14ac:dyDescent="0.1">
      <c r="AN1200" s="35">
        <v>35380</v>
      </c>
      <c r="AO1200" s="4" t="s">
        <v>112</v>
      </c>
    </row>
    <row r="1201" spans="40:41" x14ac:dyDescent="0.1">
      <c r="AN1201" s="35">
        <v>35410</v>
      </c>
      <c r="AO1201" s="4" t="s">
        <v>379</v>
      </c>
    </row>
    <row r="1202" spans="40:41" x14ac:dyDescent="0.1">
      <c r="AN1202" s="35">
        <v>35439</v>
      </c>
      <c r="AO1202" s="4" t="s">
        <v>113</v>
      </c>
    </row>
    <row r="1203" spans="40:41" x14ac:dyDescent="0.1">
      <c r="AN1203" s="35">
        <v>35468</v>
      </c>
      <c r="AO1203" s="4" t="s">
        <v>100</v>
      </c>
    </row>
    <row r="1204" spans="40:41" x14ac:dyDescent="0.1">
      <c r="AN1204" s="35">
        <v>35498</v>
      </c>
      <c r="AO1204" s="4" t="s">
        <v>104</v>
      </c>
    </row>
    <row r="1205" spans="40:41" x14ac:dyDescent="0.1">
      <c r="AN1205" s="35">
        <v>35527</v>
      </c>
      <c r="AO1205" s="4" t="s">
        <v>105</v>
      </c>
    </row>
    <row r="1206" spans="40:41" x14ac:dyDescent="0.1">
      <c r="AN1206" s="35">
        <v>35557</v>
      </c>
      <c r="AO1206" s="4" t="s">
        <v>106</v>
      </c>
    </row>
    <row r="1207" spans="40:41" x14ac:dyDescent="0.1">
      <c r="AN1207" s="35">
        <v>35586</v>
      </c>
      <c r="AO1207" s="4" t="s">
        <v>107</v>
      </c>
    </row>
    <row r="1208" spans="40:41" x14ac:dyDescent="0.1">
      <c r="AN1208" s="35">
        <v>35616</v>
      </c>
      <c r="AO1208" s="4" t="s">
        <v>108</v>
      </c>
    </row>
    <row r="1209" spans="40:41" x14ac:dyDescent="0.1">
      <c r="AN1209" s="35">
        <v>35645</v>
      </c>
      <c r="AO1209" s="4" t="s">
        <v>109</v>
      </c>
    </row>
    <row r="1210" spans="40:41" x14ac:dyDescent="0.1">
      <c r="AN1210" s="35">
        <v>35675</v>
      </c>
      <c r="AO1210" s="4" t="s">
        <v>110</v>
      </c>
    </row>
    <row r="1211" spans="40:41" x14ac:dyDescent="0.1">
      <c r="AN1211" s="35">
        <v>35705</v>
      </c>
      <c r="AO1211" s="4" t="s">
        <v>111</v>
      </c>
    </row>
    <row r="1212" spans="40:41" x14ac:dyDescent="0.1">
      <c r="AN1212" s="35">
        <v>35734</v>
      </c>
      <c r="AO1212" s="4" t="s">
        <v>112</v>
      </c>
    </row>
    <row r="1213" spans="40:41" x14ac:dyDescent="0.1">
      <c r="AN1213" s="35">
        <v>35764</v>
      </c>
      <c r="AO1213" s="4" t="s">
        <v>379</v>
      </c>
    </row>
    <row r="1214" spans="40:41" x14ac:dyDescent="0.1">
      <c r="AN1214" s="35">
        <v>35794</v>
      </c>
      <c r="AO1214" s="4" t="s">
        <v>113</v>
      </c>
    </row>
    <row r="1215" spans="40:41" x14ac:dyDescent="0.1">
      <c r="AN1215" s="35">
        <v>35823</v>
      </c>
      <c r="AO1215" s="4" t="s">
        <v>100</v>
      </c>
    </row>
    <row r="1216" spans="40:41" x14ac:dyDescent="0.1">
      <c r="AN1216" s="35">
        <v>35853</v>
      </c>
      <c r="AO1216" s="4" t="s">
        <v>104</v>
      </c>
    </row>
    <row r="1217" spans="40:41" x14ac:dyDescent="0.1">
      <c r="AN1217" s="35">
        <v>35882</v>
      </c>
      <c r="AO1217" s="4" t="s">
        <v>105</v>
      </c>
    </row>
    <row r="1218" spans="40:41" x14ac:dyDescent="0.1">
      <c r="AN1218" s="35">
        <v>35911</v>
      </c>
      <c r="AO1218" s="4" t="s">
        <v>106</v>
      </c>
    </row>
    <row r="1219" spans="40:41" x14ac:dyDescent="0.1">
      <c r="AN1219" s="35">
        <v>35941</v>
      </c>
      <c r="AO1219" s="4" t="s">
        <v>107</v>
      </c>
    </row>
    <row r="1220" spans="40:41" x14ac:dyDescent="0.1">
      <c r="AN1220" s="35">
        <v>35970</v>
      </c>
      <c r="AO1220" s="4" t="s">
        <v>142</v>
      </c>
    </row>
    <row r="1221" spans="40:41" x14ac:dyDescent="0.1">
      <c r="AN1221" s="35">
        <v>35999</v>
      </c>
      <c r="AO1221" s="4" t="s">
        <v>108</v>
      </c>
    </row>
    <row r="1222" spans="40:41" x14ac:dyDescent="0.1">
      <c r="AN1222" s="35">
        <v>36029</v>
      </c>
      <c r="AO1222" s="4" t="s">
        <v>109</v>
      </c>
    </row>
    <row r="1223" spans="40:41" x14ac:dyDescent="0.1">
      <c r="AN1223" s="35">
        <v>36059</v>
      </c>
      <c r="AO1223" s="4" t="s">
        <v>110</v>
      </c>
    </row>
    <row r="1224" spans="40:41" x14ac:dyDescent="0.1">
      <c r="AN1224" s="35">
        <v>36088</v>
      </c>
      <c r="AO1224" s="4" t="s">
        <v>111</v>
      </c>
    </row>
    <row r="1225" spans="40:41" x14ac:dyDescent="0.1">
      <c r="AN1225" s="35">
        <v>36118</v>
      </c>
      <c r="AO1225" s="4" t="s">
        <v>112</v>
      </c>
    </row>
    <row r="1226" spans="40:41" x14ac:dyDescent="0.1">
      <c r="AN1226" s="35">
        <v>36148</v>
      </c>
      <c r="AO1226" s="4" t="s">
        <v>379</v>
      </c>
    </row>
    <row r="1227" spans="40:41" x14ac:dyDescent="0.1">
      <c r="AN1227" s="35">
        <v>36177</v>
      </c>
      <c r="AO1227" s="4" t="s">
        <v>113</v>
      </c>
    </row>
    <row r="1228" spans="40:41" x14ac:dyDescent="0.1">
      <c r="AN1228" s="35">
        <v>36207</v>
      </c>
      <c r="AO1228" s="4" t="s">
        <v>100</v>
      </c>
    </row>
    <row r="1229" spans="40:41" x14ac:dyDescent="0.1">
      <c r="AN1229" s="35">
        <v>36237</v>
      </c>
      <c r="AO1229" s="4" t="s">
        <v>104</v>
      </c>
    </row>
    <row r="1230" spans="40:41" x14ac:dyDescent="0.1">
      <c r="AN1230" s="35">
        <v>36266</v>
      </c>
      <c r="AO1230" s="4" t="s">
        <v>105</v>
      </c>
    </row>
    <row r="1231" spans="40:41" x14ac:dyDescent="0.1">
      <c r="AN1231" s="35">
        <v>36295</v>
      </c>
      <c r="AO1231" s="4" t="s">
        <v>106</v>
      </c>
    </row>
    <row r="1232" spans="40:41" x14ac:dyDescent="0.1">
      <c r="AN1232" s="35">
        <v>36325</v>
      </c>
      <c r="AO1232" s="4" t="s">
        <v>107</v>
      </c>
    </row>
    <row r="1233" spans="40:41" x14ac:dyDescent="0.1">
      <c r="AN1233" s="35">
        <v>36354</v>
      </c>
      <c r="AO1233" s="4" t="s">
        <v>108</v>
      </c>
    </row>
    <row r="1234" spans="40:41" x14ac:dyDescent="0.1">
      <c r="AN1234" s="35">
        <v>36383</v>
      </c>
      <c r="AO1234" s="4" t="s">
        <v>109</v>
      </c>
    </row>
    <row r="1235" spans="40:41" x14ac:dyDescent="0.1">
      <c r="AN1235" s="35">
        <v>36413</v>
      </c>
      <c r="AO1235" s="4" t="s">
        <v>110</v>
      </c>
    </row>
    <row r="1236" spans="40:41" x14ac:dyDescent="0.1">
      <c r="AN1236" s="35">
        <v>36442</v>
      </c>
      <c r="AO1236" s="4" t="s">
        <v>111</v>
      </c>
    </row>
    <row r="1237" spans="40:41" x14ac:dyDescent="0.1">
      <c r="AN1237" s="35">
        <v>36472</v>
      </c>
      <c r="AO1237" s="4" t="s">
        <v>112</v>
      </c>
    </row>
    <row r="1238" spans="40:41" x14ac:dyDescent="0.1">
      <c r="AN1238" s="35">
        <v>36502</v>
      </c>
      <c r="AO1238" s="4" t="s">
        <v>379</v>
      </c>
    </row>
    <row r="1239" spans="40:41" x14ac:dyDescent="0.1">
      <c r="AN1239" s="35">
        <v>36532</v>
      </c>
      <c r="AO1239" s="4" t="s">
        <v>113</v>
      </c>
    </row>
    <row r="1240" spans="40:41" x14ac:dyDescent="0.1">
      <c r="AN1240" s="35">
        <v>36561</v>
      </c>
      <c r="AO1240" s="4" t="s">
        <v>100</v>
      </c>
    </row>
    <row r="1241" spans="40:41" x14ac:dyDescent="0.1">
      <c r="AN1241" s="35">
        <v>36591</v>
      </c>
      <c r="AO1241" s="4" t="s">
        <v>104</v>
      </c>
    </row>
    <row r="1242" spans="40:41" x14ac:dyDescent="0.1">
      <c r="AN1242" s="35">
        <v>36621</v>
      </c>
      <c r="AO1242" s="4" t="s">
        <v>105</v>
      </c>
    </row>
    <row r="1243" spans="40:41" x14ac:dyDescent="0.1">
      <c r="AN1243" s="35">
        <v>36650</v>
      </c>
      <c r="AO1243" s="4" t="s">
        <v>106</v>
      </c>
    </row>
    <row r="1244" spans="40:41" x14ac:dyDescent="0.1">
      <c r="AN1244" s="35">
        <v>36679</v>
      </c>
      <c r="AO1244" s="4" t="s">
        <v>107</v>
      </c>
    </row>
    <row r="1245" spans="40:41" x14ac:dyDescent="0.1">
      <c r="AN1245" s="35">
        <v>36709</v>
      </c>
      <c r="AO1245" s="4" t="s">
        <v>108</v>
      </c>
    </row>
    <row r="1246" spans="40:41" x14ac:dyDescent="0.1">
      <c r="AN1246" s="35">
        <v>36738</v>
      </c>
      <c r="AO1246" s="4" t="s">
        <v>109</v>
      </c>
    </row>
    <row r="1247" spans="40:41" x14ac:dyDescent="0.1">
      <c r="AN1247" s="35">
        <v>36767</v>
      </c>
      <c r="AO1247" s="4" t="s">
        <v>110</v>
      </c>
    </row>
    <row r="1248" spans="40:41" x14ac:dyDescent="0.1">
      <c r="AN1248" s="35">
        <v>36797</v>
      </c>
      <c r="AO1248" s="4" t="s">
        <v>111</v>
      </c>
    </row>
    <row r="1249" spans="40:41" x14ac:dyDescent="0.1">
      <c r="AN1249" s="35">
        <v>36826</v>
      </c>
      <c r="AO1249" s="4" t="s">
        <v>112</v>
      </c>
    </row>
    <row r="1250" spans="40:41" x14ac:dyDescent="0.1">
      <c r="AN1250" s="35">
        <v>36856</v>
      </c>
      <c r="AO1250" s="4" t="s">
        <v>379</v>
      </c>
    </row>
    <row r="1251" spans="40:41" x14ac:dyDescent="0.1">
      <c r="AN1251" s="35">
        <v>36886</v>
      </c>
      <c r="AO1251" s="4" t="s">
        <v>113</v>
      </c>
    </row>
    <row r="1252" spans="40:41" x14ac:dyDescent="0.1">
      <c r="AN1252" s="35">
        <v>36915</v>
      </c>
      <c r="AO1252" s="4" t="s">
        <v>100</v>
      </c>
    </row>
    <row r="1253" spans="40:41" x14ac:dyDescent="0.1">
      <c r="AN1253" s="35">
        <v>36945</v>
      </c>
      <c r="AO1253" s="4" t="s">
        <v>104</v>
      </c>
    </row>
    <row r="1254" spans="40:41" x14ac:dyDescent="0.1">
      <c r="AN1254" s="35">
        <v>36975</v>
      </c>
      <c r="AO1254" s="4" t="s">
        <v>105</v>
      </c>
    </row>
    <row r="1255" spans="40:41" x14ac:dyDescent="0.1">
      <c r="AN1255" s="35">
        <v>37004</v>
      </c>
      <c r="AO1255" s="4" t="s">
        <v>106</v>
      </c>
    </row>
    <row r="1256" spans="40:41" x14ac:dyDescent="0.1">
      <c r="AN1256" s="35">
        <v>37034</v>
      </c>
      <c r="AO1256" s="4" t="s">
        <v>143</v>
      </c>
    </row>
    <row r="1257" spans="40:41" x14ac:dyDescent="0.1">
      <c r="AN1257" s="35">
        <v>37063</v>
      </c>
      <c r="AO1257" s="4" t="s">
        <v>107</v>
      </c>
    </row>
    <row r="1258" spans="40:41" x14ac:dyDescent="0.1">
      <c r="AN1258" s="35">
        <v>37093</v>
      </c>
      <c r="AO1258" s="4" t="s">
        <v>108</v>
      </c>
    </row>
    <row r="1259" spans="40:41" x14ac:dyDescent="0.1">
      <c r="AN1259" s="35">
        <v>37122</v>
      </c>
      <c r="AO1259" s="4" t="s">
        <v>109</v>
      </c>
    </row>
    <row r="1260" spans="40:41" x14ac:dyDescent="0.1">
      <c r="AN1260" s="35">
        <v>37151</v>
      </c>
      <c r="AO1260" s="4" t="s">
        <v>110</v>
      </c>
    </row>
    <row r="1261" spans="40:41" x14ac:dyDescent="0.1">
      <c r="AN1261" s="35">
        <v>37181</v>
      </c>
      <c r="AO1261" s="4" t="s">
        <v>111</v>
      </c>
    </row>
    <row r="1262" spans="40:41" x14ac:dyDescent="0.1">
      <c r="AN1262" s="35">
        <v>37210</v>
      </c>
      <c r="AO1262" s="4" t="s">
        <v>112</v>
      </c>
    </row>
    <row r="1263" spans="40:41" x14ac:dyDescent="0.1">
      <c r="AN1263" s="35">
        <v>37240</v>
      </c>
      <c r="AO1263" s="4" t="s">
        <v>379</v>
      </c>
    </row>
    <row r="1264" spans="40:41" x14ac:dyDescent="0.1">
      <c r="AN1264" s="35">
        <v>37269</v>
      </c>
      <c r="AO1264" s="4" t="s">
        <v>113</v>
      </c>
    </row>
    <row r="1265" spans="40:41" x14ac:dyDescent="0.1">
      <c r="AN1265" s="35">
        <v>37299</v>
      </c>
      <c r="AO1265" s="4" t="s">
        <v>100</v>
      </c>
    </row>
    <row r="1266" spans="40:41" x14ac:dyDescent="0.1">
      <c r="AN1266" s="35">
        <v>37329</v>
      </c>
      <c r="AO1266" s="4" t="s">
        <v>104</v>
      </c>
    </row>
    <row r="1267" spans="40:41" x14ac:dyDescent="0.1">
      <c r="AN1267" s="35">
        <v>37359</v>
      </c>
      <c r="AO1267" s="4" t="s">
        <v>105</v>
      </c>
    </row>
    <row r="1268" spans="40:41" x14ac:dyDescent="0.1">
      <c r="AN1268" s="35">
        <v>37388</v>
      </c>
      <c r="AO1268" s="4" t="s">
        <v>106</v>
      </c>
    </row>
    <row r="1269" spans="40:41" x14ac:dyDescent="0.1">
      <c r="AN1269" s="35">
        <v>37418</v>
      </c>
      <c r="AO1269" s="4" t="s">
        <v>107</v>
      </c>
    </row>
    <row r="1270" spans="40:41" x14ac:dyDescent="0.1">
      <c r="AN1270" s="35">
        <v>37447</v>
      </c>
      <c r="AO1270" s="4" t="s">
        <v>108</v>
      </c>
    </row>
    <row r="1271" spans="40:41" x14ac:dyDescent="0.1">
      <c r="AN1271" s="35">
        <v>37477</v>
      </c>
      <c r="AO1271" s="4" t="s">
        <v>109</v>
      </c>
    </row>
    <row r="1272" spans="40:41" x14ac:dyDescent="0.1">
      <c r="AN1272" s="35">
        <v>37506</v>
      </c>
      <c r="AO1272" s="4" t="s">
        <v>110</v>
      </c>
    </row>
    <row r="1273" spans="40:41" x14ac:dyDescent="0.1">
      <c r="AN1273" s="35">
        <v>37535</v>
      </c>
      <c r="AO1273" s="4" t="s">
        <v>111</v>
      </c>
    </row>
    <row r="1274" spans="40:41" x14ac:dyDescent="0.1">
      <c r="AN1274" s="35">
        <v>37565</v>
      </c>
      <c r="AO1274" s="4" t="s">
        <v>112</v>
      </c>
    </row>
    <row r="1275" spans="40:41" x14ac:dyDescent="0.1">
      <c r="AN1275" s="35">
        <v>37594</v>
      </c>
      <c r="AO1275" s="4" t="s">
        <v>379</v>
      </c>
    </row>
    <row r="1276" spans="40:41" x14ac:dyDescent="0.1">
      <c r="AN1276" s="35">
        <v>37624</v>
      </c>
      <c r="AO1276" s="4" t="s">
        <v>113</v>
      </c>
    </row>
    <row r="1277" spans="40:41" x14ac:dyDescent="0.1">
      <c r="AN1277" s="35">
        <v>37653</v>
      </c>
      <c r="AO1277" s="4" t="s">
        <v>100</v>
      </c>
    </row>
    <row r="1278" spans="40:41" x14ac:dyDescent="0.1">
      <c r="AN1278" s="35">
        <v>37683</v>
      </c>
      <c r="AO1278" s="4" t="s">
        <v>104</v>
      </c>
    </row>
    <row r="1279" spans="40:41" x14ac:dyDescent="0.1">
      <c r="AN1279" s="35">
        <v>37713</v>
      </c>
      <c r="AO1279" s="4" t="s">
        <v>105</v>
      </c>
    </row>
    <row r="1280" spans="40:41" x14ac:dyDescent="0.1">
      <c r="AN1280" s="35">
        <v>37742</v>
      </c>
      <c r="AO1280" s="4" t="s">
        <v>106</v>
      </c>
    </row>
    <row r="1281" spans="40:41" x14ac:dyDescent="0.1">
      <c r="AN1281" s="35">
        <v>37772</v>
      </c>
      <c r="AO1281" s="4" t="s">
        <v>107</v>
      </c>
    </row>
    <row r="1282" spans="40:41" x14ac:dyDescent="0.1">
      <c r="AN1282" s="35">
        <v>37802</v>
      </c>
      <c r="AO1282" s="4" t="s">
        <v>108</v>
      </c>
    </row>
    <row r="1283" spans="40:41" x14ac:dyDescent="0.1">
      <c r="AN1283" s="35">
        <v>37831</v>
      </c>
      <c r="AO1283" s="4" t="s">
        <v>109</v>
      </c>
    </row>
    <row r="1284" spans="40:41" x14ac:dyDescent="0.1">
      <c r="AN1284" s="35">
        <v>37861</v>
      </c>
      <c r="AO1284" s="4" t="s">
        <v>110</v>
      </c>
    </row>
    <row r="1285" spans="40:41" x14ac:dyDescent="0.1">
      <c r="AN1285" s="35">
        <v>37890</v>
      </c>
      <c r="AO1285" s="4" t="s">
        <v>111</v>
      </c>
    </row>
    <row r="1286" spans="40:41" x14ac:dyDescent="0.1">
      <c r="AN1286" s="35">
        <v>37919</v>
      </c>
      <c r="AO1286" s="4" t="s">
        <v>112</v>
      </c>
    </row>
    <row r="1287" spans="40:41" x14ac:dyDescent="0.1">
      <c r="AN1287" s="35">
        <v>37949</v>
      </c>
      <c r="AO1287" s="4" t="s">
        <v>379</v>
      </c>
    </row>
    <row r="1288" spans="40:41" x14ac:dyDescent="0.1">
      <c r="AN1288" s="35">
        <v>37978</v>
      </c>
      <c r="AO1288" s="4" t="s">
        <v>113</v>
      </c>
    </row>
    <row r="1289" spans="40:41" x14ac:dyDescent="0.1">
      <c r="AN1289" s="35">
        <v>38008</v>
      </c>
      <c r="AO1289" s="4" t="s">
        <v>100</v>
      </c>
    </row>
    <row r="1290" spans="40:41" x14ac:dyDescent="0.1">
      <c r="AN1290" s="35">
        <v>38037</v>
      </c>
      <c r="AO1290" s="4" t="s">
        <v>104</v>
      </c>
    </row>
    <row r="1291" spans="40:41" x14ac:dyDescent="0.1">
      <c r="AN1291" s="35">
        <v>38067</v>
      </c>
      <c r="AO1291" s="4" t="s">
        <v>144</v>
      </c>
    </row>
    <row r="1292" spans="40:41" x14ac:dyDescent="0.1">
      <c r="AN1292" s="35">
        <v>38096</v>
      </c>
      <c r="AO1292" s="4" t="s">
        <v>105</v>
      </c>
    </row>
    <row r="1293" spans="40:41" x14ac:dyDescent="0.1">
      <c r="AN1293" s="35">
        <v>38126</v>
      </c>
      <c r="AO1293" s="4" t="s">
        <v>106</v>
      </c>
    </row>
    <row r="1294" spans="40:41" x14ac:dyDescent="0.1">
      <c r="AN1294" s="35">
        <v>38156</v>
      </c>
      <c r="AO1294" s="4" t="s">
        <v>107</v>
      </c>
    </row>
    <row r="1295" spans="40:41" x14ac:dyDescent="0.1">
      <c r="AN1295" s="35">
        <v>38185</v>
      </c>
      <c r="AO1295" s="4" t="s">
        <v>108</v>
      </c>
    </row>
    <row r="1296" spans="40:41" x14ac:dyDescent="0.1">
      <c r="AN1296" s="35">
        <v>38215</v>
      </c>
      <c r="AO1296" s="4" t="s">
        <v>109</v>
      </c>
    </row>
    <row r="1297" spans="40:41" x14ac:dyDescent="0.1">
      <c r="AN1297" s="35">
        <v>38244</v>
      </c>
      <c r="AO1297" s="4" t="s">
        <v>110</v>
      </c>
    </row>
    <row r="1298" spans="40:41" x14ac:dyDescent="0.1">
      <c r="AN1298" s="35">
        <v>38274</v>
      </c>
      <c r="AO1298" s="4" t="s">
        <v>111</v>
      </c>
    </row>
    <row r="1299" spans="40:41" x14ac:dyDescent="0.1">
      <c r="AN1299" s="35">
        <v>38303</v>
      </c>
      <c r="AO1299" s="4" t="s">
        <v>112</v>
      </c>
    </row>
    <row r="1300" spans="40:41" x14ac:dyDescent="0.1">
      <c r="AN1300" s="35">
        <v>38333</v>
      </c>
      <c r="AO1300" s="4" t="s">
        <v>379</v>
      </c>
    </row>
    <row r="1301" spans="40:41" x14ac:dyDescent="0.1">
      <c r="AN1301" s="35">
        <v>38362</v>
      </c>
      <c r="AO1301" s="4" t="s">
        <v>113</v>
      </c>
    </row>
    <row r="1302" spans="40:41" x14ac:dyDescent="0.1">
      <c r="AN1302" s="35">
        <v>38392</v>
      </c>
      <c r="AO1302" s="4" t="s">
        <v>100</v>
      </c>
    </row>
    <row r="1303" spans="40:41" x14ac:dyDescent="0.1">
      <c r="AN1303" s="35">
        <v>38421</v>
      </c>
      <c r="AO1303" s="4" t="s">
        <v>104</v>
      </c>
    </row>
    <row r="1304" spans="40:41" x14ac:dyDescent="0.1">
      <c r="AN1304" s="35">
        <v>38451</v>
      </c>
      <c r="AO1304" s="4" t="s">
        <v>105</v>
      </c>
    </row>
    <row r="1305" spans="40:41" x14ac:dyDescent="0.1">
      <c r="AN1305" s="35">
        <v>38480</v>
      </c>
      <c r="AO1305" s="4" t="s">
        <v>106</v>
      </c>
    </row>
    <row r="1306" spans="40:41" x14ac:dyDescent="0.1">
      <c r="AN1306" s="35">
        <v>38510</v>
      </c>
      <c r="AO1306" s="4" t="s">
        <v>107</v>
      </c>
    </row>
    <row r="1307" spans="40:41" x14ac:dyDescent="0.1">
      <c r="AN1307" s="35">
        <v>38539</v>
      </c>
      <c r="AO1307" s="4" t="s">
        <v>108</v>
      </c>
    </row>
    <row r="1308" spans="40:41" x14ac:dyDescent="0.1">
      <c r="AN1308" s="35">
        <v>38569</v>
      </c>
      <c r="AO1308" s="4" t="s">
        <v>109</v>
      </c>
    </row>
    <row r="1309" spans="40:41" x14ac:dyDescent="0.1">
      <c r="AN1309" s="35">
        <v>38599</v>
      </c>
      <c r="AO1309" s="4" t="s">
        <v>110</v>
      </c>
    </row>
    <row r="1310" spans="40:41" x14ac:dyDescent="0.1">
      <c r="AN1310" s="35">
        <v>38628</v>
      </c>
      <c r="AO1310" s="4" t="s">
        <v>111</v>
      </c>
    </row>
    <row r="1311" spans="40:41" x14ac:dyDescent="0.1">
      <c r="AN1311" s="35">
        <v>38658</v>
      </c>
      <c r="AO1311" s="4" t="s">
        <v>112</v>
      </c>
    </row>
    <row r="1312" spans="40:41" x14ac:dyDescent="0.1">
      <c r="AN1312" s="35">
        <v>38687</v>
      </c>
      <c r="AO1312" s="4" t="s">
        <v>379</v>
      </c>
    </row>
    <row r="1313" spans="40:41" x14ac:dyDescent="0.1">
      <c r="AN1313" s="35">
        <v>38717</v>
      </c>
      <c r="AO1313" s="4" t="s">
        <v>113</v>
      </c>
    </row>
    <row r="1314" spans="40:41" x14ac:dyDescent="0.1">
      <c r="AN1314" s="35">
        <v>38746</v>
      </c>
      <c r="AO1314" s="4" t="s">
        <v>100</v>
      </c>
    </row>
    <row r="1315" spans="40:41" x14ac:dyDescent="0.1">
      <c r="AN1315" s="35">
        <v>38776</v>
      </c>
      <c r="AO1315" s="4" t="s">
        <v>104</v>
      </c>
    </row>
    <row r="1316" spans="40:41" x14ac:dyDescent="0.1">
      <c r="AN1316" s="35">
        <v>38805</v>
      </c>
      <c r="AO1316" s="4" t="s">
        <v>105</v>
      </c>
    </row>
    <row r="1317" spans="40:41" x14ac:dyDescent="0.1">
      <c r="AN1317" s="35">
        <v>38835</v>
      </c>
      <c r="AO1317" s="4" t="s">
        <v>106</v>
      </c>
    </row>
    <row r="1318" spans="40:41" x14ac:dyDescent="0.1">
      <c r="AN1318" s="35">
        <v>38864</v>
      </c>
      <c r="AO1318" s="4" t="s">
        <v>107</v>
      </c>
    </row>
    <row r="1319" spans="40:41" x14ac:dyDescent="0.1">
      <c r="AN1319" s="35">
        <v>38894</v>
      </c>
      <c r="AO1319" s="4" t="s">
        <v>108</v>
      </c>
    </row>
    <row r="1320" spans="40:41" x14ac:dyDescent="0.1">
      <c r="AN1320" s="35">
        <v>38923</v>
      </c>
      <c r="AO1320" s="4" t="s">
        <v>109</v>
      </c>
    </row>
    <row r="1321" spans="40:41" x14ac:dyDescent="0.1">
      <c r="AN1321" s="35">
        <v>38953</v>
      </c>
      <c r="AO1321" s="4" t="s">
        <v>146</v>
      </c>
    </row>
    <row r="1322" spans="40:41" x14ac:dyDescent="0.1">
      <c r="AN1322" s="35">
        <v>38982</v>
      </c>
      <c r="AO1322" s="4" t="s">
        <v>110</v>
      </c>
    </row>
    <row r="1323" spans="40:41" x14ac:dyDescent="0.1">
      <c r="AN1323" s="35">
        <v>39012</v>
      </c>
      <c r="AO1323" s="4" t="s">
        <v>111</v>
      </c>
    </row>
    <row r="1324" spans="40:41" x14ac:dyDescent="0.1">
      <c r="AN1324" s="35">
        <v>39042</v>
      </c>
      <c r="AO1324" s="4" t="s">
        <v>112</v>
      </c>
    </row>
    <row r="1325" spans="40:41" x14ac:dyDescent="0.1">
      <c r="AN1325" s="35">
        <v>39071</v>
      </c>
      <c r="AO1325" s="4" t="s">
        <v>379</v>
      </c>
    </row>
    <row r="1326" spans="40:41" x14ac:dyDescent="0.1">
      <c r="AN1326" s="35">
        <v>39101</v>
      </c>
      <c r="AO1326" s="4" t="s">
        <v>113</v>
      </c>
    </row>
    <row r="1327" spans="40:41" x14ac:dyDescent="0.1">
      <c r="AN1327" s="35">
        <v>39131</v>
      </c>
      <c r="AO1327" s="4" t="s">
        <v>100</v>
      </c>
    </row>
    <row r="1328" spans="40:41" x14ac:dyDescent="0.1">
      <c r="AN1328" s="35">
        <v>39160</v>
      </c>
      <c r="AO1328" s="4" t="s">
        <v>104</v>
      </c>
    </row>
    <row r="1329" spans="40:41" x14ac:dyDescent="0.1">
      <c r="AN1329" s="35">
        <v>39189</v>
      </c>
      <c r="AO1329" s="4" t="s">
        <v>105</v>
      </c>
    </row>
    <row r="1330" spans="40:41" x14ac:dyDescent="0.1">
      <c r="AN1330" s="35">
        <v>39219</v>
      </c>
      <c r="AO1330" s="4" t="s">
        <v>106</v>
      </c>
    </row>
    <row r="1331" spans="40:41" x14ac:dyDescent="0.1">
      <c r="AN1331" s="35">
        <v>39248</v>
      </c>
      <c r="AO1331" s="4" t="s">
        <v>107</v>
      </c>
    </row>
    <row r="1332" spans="40:41" x14ac:dyDescent="0.1">
      <c r="AN1332" s="35">
        <v>39277</v>
      </c>
      <c r="AO1332" s="4" t="s">
        <v>108</v>
      </c>
    </row>
    <row r="1333" spans="40:41" x14ac:dyDescent="0.1">
      <c r="AN1333" s="35">
        <v>39307</v>
      </c>
      <c r="AO1333" s="4" t="s">
        <v>109</v>
      </c>
    </row>
    <row r="1334" spans="40:41" x14ac:dyDescent="0.1">
      <c r="AN1334" s="35">
        <v>39336</v>
      </c>
      <c r="AO1334" s="4" t="s">
        <v>110</v>
      </c>
    </row>
    <row r="1335" spans="40:41" x14ac:dyDescent="0.1">
      <c r="AN1335" s="35">
        <v>39366</v>
      </c>
      <c r="AO1335" s="4" t="s">
        <v>111</v>
      </c>
    </row>
    <row r="1336" spans="40:41" x14ac:dyDescent="0.1">
      <c r="AN1336" s="35">
        <v>39396</v>
      </c>
      <c r="AO1336" s="4" t="s">
        <v>112</v>
      </c>
    </row>
    <row r="1337" spans="40:41" x14ac:dyDescent="0.1">
      <c r="AN1337" s="35">
        <v>39426</v>
      </c>
      <c r="AO1337" s="4" t="s">
        <v>379</v>
      </c>
    </row>
    <row r="1338" spans="40:41" x14ac:dyDescent="0.1">
      <c r="AN1338" s="35">
        <v>39455</v>
      </c>
      <c r="AO1338" s="4" t="s">
        <v>113</v>
      </c>
    </row>
    <row r="1339" spans="40:41" x14ac:dyDescent="0.1">
      <c r="AN1339" s="35">
        <v>39485</v>
      </c>
      <c r="AO1339" s="4" t="s">
        <v>100</v>
      </c>
    </row>
    <row r="1340" spans="40:41" x14ac:dyDescent="0.1">
      <c r="AN1340" s="35">
        <v>39515</v>
      </c>
      <c r="AO1340" s="4" t="s">
        <v>104</v>
      </c>
    </row>
    <row r="1341" spans="40:41" x14ac:dyDescent="0.1">
      <c r="AN1341" s="35">
        <v>39544</v>
      </c>
      <c r="AO1341" s="4" t="s">
        <v>105</v>
      </c>
    </row>
    <row r="1342" spans="40:41" x14ac:dyDescent="0.1">
      <c r="AN1342" s="35">
        <v>39573</v>
      </c>
      <c r="AO1342" s="4" t="s">
        <v>106</v>
      </c>
    </row>
    <row r="1343" spans="40:41" x14ac:dyDescent="0.1">
      <c r="AN1343" s="35">
        <v>39603</v>
      </c>
      <c r="AO1343" s="4" t="s">
        <v>107</v>
      </c>
    </row>
    <row r="1344" spans="40:41" x14ac:dyDescent="0.1">
      <c r="AN1344" s="35">
        <v>39632</v>
      </c>
      <c r="AO1344" s="4" t="s">
        <v>108</v>
      </c>
    </row>
    <row r="1345" spans="40:41" x14ac:dyDescent="0.1">
      <c r="AN1345" s="35">
        <v>39661</v>
      </c>
      <c r="AO1345" s="4" t="s">
        <v>109</v>
      </c>
    </row>
    <row r="1346" spans="40:41" x14ac:dyDescent="0.1">
      <c r="AN1346" s="35">
        <v>39691</v>
      </c>
      <c r="AO1346" s="4" t="s">
        <v>110</v>
      </c>
    </row>
    <row r="1347" spans="40:41" x14ac:dyDescent="0.1">
      <c r="AN1347" s="35">
        <v>39720</v>
      </c>
      <c r="AO1347" s="4" t="s">
        <v>111</v>
      </c>
    </row>
    <row r="1348" spans="40:41" x14ac:dyDescent="0.1">
      <c r="AN1348" s="35">
        <v>39750</v>
      </c>
      <c r="AO1348" s="4" t="s">
        <v>112</v>
      </c>
    </row>
    <row r="1349" spans="40:41" x14ac:dyDescent="0.1">
      <c r="AN1349" s="35">
        <v>39780</v>
      </c>
      <c r="AO1349" s="4" t="s">
        <v>379</v>
      </c>
    </row>
    <row r="1350" spans="40:41" x14ac:dyDescent="0.1">
      <c r="AN1350" s="35">
        <v>39809</v>
      </c>
      <c r="AO1350" s="4" t="s">
        <v>113</v>
      </c>
    </row>
    <row r="1351" spans="40:41" x14ac:dyDescent="0.1">
      <c r="AN1351" s="35">
        <v>39839</v>
      </c>
      <c r="AO1351" s="4" t="s">
        <v>100</v>
      </c>
    </row>
    <row r="1352" spans="40:41" x14ac:dyDescent="0.1">
      <c r="AN1352" s="35">
        <v>39869</v>
      </c>
      <c r="AO1352" s="4" t="s">
        <v>104</v>
      </c>
    </row>
    <row r="1353" spans="40:41" x14ac:dyDescent="0.1">
      <c r="AN1353" s="35">
        <v>39899</v>
      </c>
      <c r="AO1353" s="4" t="s">
        <v>105</v>
      </c>
    </row>
    <row r="1354" spans="40:41" x14ac:dyDescent="0.1">
      <c r="AN1354" s="35">
        <v>39928</v>
      </c>
      <c r="AO1354" s="4" t="s">
        <v>106</v>
      </c>
    </row>
    <row r="1355" spans="40:41" x14ac:dyDescent="0.1">
      <c r="AN1355" s="35">
        <v>39957</v>
      </c>
      <c r="AO1355" s="4" t="s">
        <v>107</v>
      </c>
    </row>
    <row r="1356" spans="40:41" x14ac:dyDescent="0.1">
      <c r="AN1356" s="35">
        <v>39987</v>
      </c>
      <c r="AO1356" s="4" t="s">
        <v>142</v>
      </c>
    </row>
    <row r="1357" spans="40:41" x14ac:dyDescent="0.1">
      <c r="AN1357" s="35">
        <v>40016</v>
      </c>
      <c r="AO1357" s="4" t="s">
        <v>108</v>
      </c>
    </row>
    <row r="1358" spans="40:41" x14ac:dyDescent="0.1">
      <c r="AN1358" s="35">
        <v>40045</v>
      </c>
      <c r="AO1358" s="4" t="s">
        <v>109</v>
      </c>
    </row>
    <row r="1359" spans="40:41" x14ac:dyDescent="0.1">
      <c r="AN1359" s="35">
        <v>40075</v>
      </c>
      <c r="AO1359" s="4" t="s">
        <v>110</v>
      </c>
    </row>
    <row r="1360" spans="40:41" x14ac:dyDescent="0.1">
      <c r="AN1360" s="35">
        <v>40104</v>
      </c>
      <c r="AO1360" s="4" t="s">
        <v>111</v>
      </c>
    </row>
    <row r="1361" spans="40:41" x14ac:dyDescent="0.1">
      <c r="AN1361" s="35">
        <v>40134</v>
      </c>
      <c r="AO1361" s="4" t="s">
        <v>112</v>
      </c>
    </row>
    <row r="1362" spans="40:41" x14ac:dyDescent="0.1">
      <c r="AN1362" s="35">
        <v>40163</v>
      </c>
      <c r="AO1362" s="4" t="s">
        <v>379</v>
      </c>
    </row>
    <row r="1363" spans="40:41" x14ac:dyDescent="0.1">
      <c r="AN1363" s="35">
        <v>40193</v>
      </c>
      <c r="AO1363" s="4" t="s">
        <v>113</v>
      </c>
    </row>
    <row r="1364" spans="40:41" x14ac:dyDescent="0.1">
      <c r="AN1364" s="35">
        <v>40223</v>
      </c>
      <c r="AO1364" s="4" t="s">
        <v>100</v>
      </c>
    </row>
    <row r="1365" spans="40:41" x14ac:dyDescent="0.1">
      <c r="AN1365" s="35">
        <v>40253</v>
      </c>
      <c r="AO1365" s="4" t="s">
        <v>104</v>
      </c>
    </row>
    <row r="1366" spans="40:41" x14ac:dyDescent="0.1">
      <c r="AN1366" s="35">
        <v>40282</v>
      </c>
      <c r="AO1366" s="4" t="s">
        <v>105</v>
      </c>
    </row>
    <row r="1367" spans="40:41" x14ac:dyDescent="0.1">
      <c r="AN1367" s="35">
        <v>40312</v>
      </c>
      <c r="AO1367" s="4" t="s">
        <v>106</v>
      </c>
    </row>
    <row r="1368" spans="40:41" x14ac:dyDescent="0.1">
      <c r="AN1368" s="35">
        <v>40341</v>
      </c>
      <c r="AO1368" s="4" t="s">
        <v>107</v>
      </c>
    </row>
    <row r="1369" spans="40:41" x14ac:dyDescent="0.1">
      <c r="AN1369" s="35">
        <v>40371</v>
      </c>
      <c r="AO1369" s="4" t="s">
        <v>108</v>
      </c>
    </row>
    <row r="1370" spans="40:41" x14ac:dyDescent="0.1">
      <c r="AN1370" s="35">
        <v>40400</v>
      </c>
      <c r="AO1370" s="4" t="s">
        <v>109</v>
      </c>
    </row>
    <row r="1371" spans="40:41" x14ac:dyDescent="0.1">
      <c r="AN1371" s="35">
        <v>40429</v>
      </c>
      <c r="AO1371" s="4" t="s">
        <v>110</v>
      </c>
    </row>
    <row r="1372" spans="40:41" x14ac:dyDescent="0.1">
      <c r="AN1372" s="35">
        <v>40459</v>
      </c>
      <c r="AO1372" s="4" t="s">
        <v>111</v>
      </c>
    </row>
    <row r="1373" spans="40:41" x14ac:dyDescent="0.1">
      <c r="AN1373" s="35">
        <v>40488</v>
      </c>
      <c r="AO1373" s="4" t="s">
        <v>112</v>
      </c>
    </row>
    <row r="1374" spans="40:41" x14ac:dyDescent="0.1">
      <c r="AN1374" s="35">
        <v>40518</v>
      </c>
      <c r="AO1374" s="4" t="s">
        <v>379</v>
      </c>
    </row>
    <row r="1375" spans="40:41" x14ac:dyDescent="0.1">
      <c r="AN1375" s="35">
        <v>40547</v>
      </c>
      <c r="AO1375" s="4" t="s">
        <v>113</v>
      </c>
    </row>
    <row r="1376" spans="40:41" x14ac:dyDescent="0.1">
      <c r="AN1376" s="35">
        <v>40577</v>
      </c>
      <c r="AO1376" s="4" t="s">
        <v>100</v>
      </c>
    </row>
    <row r="1377" spans="40:41" x14ac:dyDescent="0.1">
      <c r="AN1377" s="35">
        <v>40607</v>
      </c>
      <c r="AO1377" s="4" t="s">
        <v>104</v>
      </c>
    </row>
    <row r="1378" spans="40:41" x14ac:dyDescent="0.1">
      <c r="AN1378" s="35">
        <v>40636</v>
      </c>
      <c r="AO1378" s="4" t="s">
        <v>105</v>
      </c>
    </row>
    <row r="1379" spans="40:41" x14ac:dyDescent="0.1">
      <c r="AN1379" s="35">
        <v>40666</v>
      </c>
      <c r="AO1379" s="4" t="s">
        <v>106</v>
      </c>
    </row>
    <row r="1380" spans="40:41" x14ac:dyDescent="0.1">
      <c r="AN1380" s="35">
        <v>40696</v>
      </c>
      <c r="AO1380" s="4" t="s">
        <v>107</v>
      </c>
    </row>
    <row r="1381" spans="40:41" x14ac:dyDescent="0.1">
      <c r="AN1381" s="35">
        <v>40725</v>
      </c>
      <c r="AO1381" s="4" t="s">
        <v>108</v>
      </c>
    </row>
    <row r="1382" spans="40:41" x14ac:dyDescent="0.1">
      <c r="AN1382" s="35">
        <v>40755</v>
      </c>
      <c r="AO1382" s="4" t="s">
        <v>109</v>
      </c>
    </row>
    <row r="1383" spans="40:41" x14ac:dyDescent="0.1">
      <c r="AN1383" s="35">
        <v>40784</v>
      </c>
      <c r="AO1383" s="4" t="s">
        <v>110</v>
      </c>
    </row>
    <row r="1384" spans="40:41" x14ac:dyDescent="0.1">
      <c r="AN1384" s="35">
        <v>40813</v>
      </c>
      <c r="AO1384" s="4" t="s">
        <v>111</v>
      </c>
    </row>
    <row r="1385" spans="40:41" x14ac:dyDescent="0.1">
      <c r="AN1385" s="35">
        <v>40843</v>
      </c>
      <c r="AO1385" s="4" t="s">
        <v>112</v>
      </c>
    </row>
    <row r="1386" spans="40:41" x14ac:dyDescent="0.1">
      <c r="AN1386" s="35">
        <v>40872</v>
      </c>
      <c r="AO1386" s="4" t="s">
        <v>379</v>
      </c>
    </row>
    <row r="1387" spans="40:41" x14ac:dyDescent="0.1">
      <c r="AN1387" s="35">
        <v>40902</v>
      </c>
      <c r="AO1387" s="4" t="s">
        <v>113</v>
      </c>
    </row>
    <row r="1388" spans="40:41" x14ac:dyDescent="0.1">
      <c r="AN1388" s="35">
        <v>40931</v>
      </c>
      <c r="AO1388" s="4" t="s">
        <v>100</v>
      </c>
    </row>
    <row r="1389" spans="40:41" x14ac:dyDescent="0.1">
      <c r="AN1389" s="35">
        <v>40961</v>
      </c>
      <c r="AO1389" s="4" t="s">
        <v>104</v>
      </c>
    </row>
    <row r="1390" spans="40:41" x14ac:dyDescent="0.1">
      <c r="AN1390" s="35">
        <v>40990</v>
      </c>
      <c r="AO1390" s="4" t="s">
        <v>105</v>
      </c>
    </row>
    <row r="1391" spans="40:41" x14ac:dyDescent="0.1">
      <c r="AN1391" s="35">
        <v>41020</v>
      </c>
      <c r="AO1391" s="4" t="s">
        <v>106</v>
      </c>
    </row>
    <row r="1392" spans="40:41" x14ac:dyDescent="0.1">
      <c r="AN1392" s="35">
        <v>41050</v>
      </c>
      <c r="AO1392" s="4" t="s">
        <v>143</v>
      </c>
    </row>
    <row r="1393" spans="40:41" x14ac:dyDescent="0.1">
      <c r="AN1393" s="35">
        <v>41079</v>
      </c>
      <c r="AO1393" s="4" t="s">
        <v>107</v>
      </c>
    </row>
    <row r="1394" spans="40:41" x14ac:dyDescent="0.1">
      <c r="AN1394" s="35">
        <v>41109</v>
      </c>
      <c r="AO1394" s="4" t="s">
        <v>108</v>
      </c>
    </row>
    <row r="1395" spans="40:41" x14ac:dyDescent="0.1">
      <c r="AN1395" s="35">
        <v>41138</v>
      </c>
      <c r="AO1395" s="4" t="s">
        <v>109</v>
      </c>
    </row>
    <row r="1396" spans="40:41" x14ac:dyDescent="0.1">
      <c r="AN1396" s="35">
        <v>41168</v>
      </c>
      <c r="AO1396" s="4" t="s">
        <v>110</v>
      </c>
    </row>
    <row r="1397" spans="40:41" x14ac:dyDescent="0.1">
      <c r="AN1397" s="35">
        <v>41197</v>
      </c>
      <c r="AO1397" s="4" t="s">
        <v>111</v>
      </c>
    </row>
    <row r="1398" spans="40:41" x14ac:dyDescent="0.1">
      <c r="AN1398" s="35">
        <v>41227</v>
      </c>
      <c r="AO1398" s="4" t="s">
        <v>112</v>
      </c>
    </row>
    <row r="1399" spans="40:41" x14ac:dyDescent="0.1">
      <c r="AN1399" s="35">
        <v>41256</v>
      </c>
      <c r="AO1399" s="4" t="s">
        <v>379</v>
      </c>
    </row>
    <row r="1400" spans="40:41" x14ac:dyDescent="0.1">
      <c r="AN1400" s="35">
        <v>41286</v>
      </c>
      <c r="AO1400" s="4" t="s">
        <v>113</v>
      </c>
    </row>
    <row r="1401" spans="40:41" x14ac:dyDescent="0.1">
      <c r="AN1401" s="35">
        <v>41315</v>
      </c>
      <c r="AO1401" s="4" t="s">
        <v>100</v>
      </c>
    </row>
    <row r="1402" spans="40:41" x14ac:dyDescent="0.1">
      <c r="AN1402" s="35">
        <v>41345</v>
      </c>
      <c r="AO1402" s="4" t="s">
        <v>104</v>
      </c>
    </row>
    <row r="1403" spans="40:41" x14ac:dyDescent="0.1">
      <c r="AN1403" s="35">
        <v>41374</v>
      </c>
      <c r="AO1403" s="4" t="s">
        <v>105</v>
      </c>
    </row>
    <row r="1404" spans="40:41" x14ac:dyDescent="0.1">
      <c r="AN1404" s="35">
        <v>41404</v>
      </c>
      <c r="AO1404" s="4" t="s">
        <v>106</v>
      </c>
    </row>
    <row r="1405" spans="40:41" x14ac:dyDescent="0.1">
      <c r="AN1405" s="35">
        <v>41434</v>
      </c>
      <c r="AO1405" s="4" t="s">
        <v>107</v>
      </c>
    </row>
    <row r="1406" spans="40:41" x14ac:dyDescent="0.1">
      <c r="AN1406" s="35">
        <v>41463</v>
      </c>
      <c r="AO1406" s="4" t="s">
        <v>108</v>
      </c>
    </row>
    <row r="1407" spans="40:41" x14ac:dyDescent="0.1">
      <c r="AN1407" s="35">
        <v>41493</v>
      </c>
      <c r="AO1407" s="4" t="s">
        <v>109</v>
      </c>
    </row>
    <row r="1408" spans="40:41" x14ac:dyDescent="0.1">
      <c r="AN1408" s="35">
        <v>41522</v>
      </c>
      <c r="AO1408" s="4" t="s">
        <v>110</v>
      </c>
    </row>
    <row r="1409" spans="40:41" x14ac:dyDescent="0.1">
      <c r="AN1409" s="35">
        <v>41552</v>
      </c>
      <c r="AO1409" s="4" t="s">
        <v>111</v>
      </c>
    </row>
    <row r="1410" spans="40:41" x14ac:dyDescent="0.1">
      <c r="AN1410" s="35">
        <v>41581</v>
      </c>
      <c r="AO1410" s="4" t="s">
        <v>112</v>
      </c>
    </row>
    <row r="1411" spans="40:41" x14ac:dyDescent="0.1">
      <c r="AN1411" s="35">
        <v>41611</v>
      </c>
      <c r="AO1411" s="4" t="s">
        <v>379</v>
      </c>
    </row>
    <row r="1412" spans="40:41" x14ac:dyDescent="0.1">
      <c r="AN1412" s="35">
        <v>41640</v>
      </c>
      <c r="AO1412" s="4" t="s">
        <v>113</v>
      </c>
    </row>
    <row r="1413" spans="40:41" x14ac:dyDescent="0.1">
      <c r="AN1413" s="35">
        <v>41670</v>
      </c>
      <c r="AO1413" s="4" t="s">
        <v>100</v>
      </c>
    </row>
    <row r="1414" spans="40:41" x14ac:dyDescent="0.1">
      <c r="AN1414" s="35">
        <v>41699</v>
      </c>
      <c r="AO1414" s="4" t="s">
        <v>104</v>
      </c>
    </row>
    <row r="1415" spans="40:41" x14ac:dyDescent="0.1">
      <c r="AN1415" s="35">
        <v>41729</v>
      </c>
      <c r="AO1415" s="4" t="s">
        <v>105</v>
      </c>
    </row>
    <row r="1416" spans="40:41" x14ac:dyDescent="0.1">
      <c r="AN1416" s="35">
        <v>41758</v>
      </c>
      <c r="AO1416" s="4" t="s">
        <v>106</v>
      </c>
    </row>
    <row r="1417" spans="40:41" x14ac:dyDescent="0.1">
      <c r="AN1417" s="35">
        <v>41788</v>
      </c>
      <c r="AO1417" s="4" t="s">
        <v>107</v>
      </c>
    </row>
    <row r="1418" spans="40:41" x14ac:dyDescent="0.1">
      <c r="AN1418" s="35">
        <v>41817</v>
      </c>
      <c r="AO1418" s="4" t="s">
        <v>108</v>
      </c>
    </row>
    <row r="1419" spans="40:41" x14ac:dyDescent="0.1">
      <c r="AN1419" s="35">
        <v>41847</v>
      </c>
      <c r="AO1419" s="4" t="s">
        <v>109</v>
      </c>
    </row>
    <row r="1420" spans="40:41" x14ac:dyDescent="0.1">
      <c r="AN1420" s="35">
        <v>41876</v>
      </c>
      <c r="AO1420" s="4" t="s">
        <v>110</v>
      </c>
    </row>
    <row r="1421" spans="40:41" x14ac:dyDescent="0.1">
      <c r="AN1421" s="35">
        <v>41906</v>
      </c>
      <c r="AO1421" s="4" t="s">
        <v>111</v>
      </c>
    </row>
    <row r="1422" spans="40:41" x14ac:dyDescent="0.1">
      <c r="AN1422" s="35">
        <v>41936</v>
      </c>
      <c r="AO1422" s="4" t="s">
        <v>149</v>
      </c>
    </row>
    <row r="1423" spans="40:41" x14ac:dyDescent="0.1">
      <c r="AN1423" s="35">
        <v>41965</v>
      </c>
      <c r="AO1423" s="4" t="s">
        <v>112</v>
      </c>
    </row>
    <row r="1424" spans="40:41" x14ac:dyDescent="0.1">
      <c r="AN1424" s="35">
        <v>41995</v>
      </c>
      <c r="AO1424" s="4" t="s">
        <v>379</v>
      </c>
    </row>
    <row r="1425" spans="40:41" x14ac:dyDescent="0.1">
      <c r="AN1425" s="35">
        <v>42024</v>
      </c>
      <c r="AO1425" s="4" t="s">
        <v>113</v>
      </c>
    </row>
    <row r="1426" spans="40:41" x14ac:dyDescent="0.1">
      <c r="AN1426" s="35">
        <v>42054</v>
      </c>
      <c r="AO1426" s="4" t="s">
        <v>100</v>
      </c>
    </row>
    <row r="1427" spans="40:41" x14ac:dyDescent="0.1">
      <c r="AN1427" s="35">
        <v>42083</v>
      </c>
      <c r="AO1427" s="4" t="s">
        <v>104</v>
      </c>
    </row>
    <row r="1428" spans="40:41" x14ac:dyDescent="0.1">
      <c r="AN1428" s="35">
        <v>42113</v>
      </c>
      <c r="AO1428" s="4" t="s">
        <v>105</v>
      </c>
    </row>
    <row r="1429" spans="40:41" x14ac:dyDescent="0.1">
      <c r="AN1429" s="35">
        <v>42142</v>
      </c>
      <c r="AO1429" s="4" t="s">
        <v>106</v>
      </c>
    </row>
    <row r="1430" spans="40:41" x14ac:dyDescent="0.1">
      <c r="AN1430" s="35">
        <v>42171</v>
      </c>
      <c r="AO1430" s="4" t="s">
        <v>107</v>
      </c>
    </row>
    <row r="1431" spans="40:41" x14ac:dyDescent="0.1">
      <c r="AN1431" s="35">
        <v>42201</v>
      </c>
      <c r="AO1431" s="4" t="s">
        <v>108</v>
      </c>
    </row>
    <row r="1432" spans="40:41" x14ac:dyDescent="0.1">
      <c r="AN1432" s="35">
        <v>42230</v>
      </c>
      <c r="AO1432" s="4" t="s">
        <v>109</v>
      </c>
    </row>
    <row r="1433" spans="40:41" x14ac:dyDescent="0.1">
      <c r="AN1433" s="35">
        <v>42260</v>
      </c>
      <c r="AO1433" s="4" t="s">
        <v>110</v>
      </c>
    </row>
    <row r="1434" spans="40:41" x14ac:dyDescent="0.1">
      <c r="AN1434" s="35">
        <v>42290</v>
      </c>
      <c r="AO1434" s="4" t="s">
        <v>111</v>
      </c>
    </row>
    <row r="1435" spans="40:41" x14ac:dyDescent="0.1">
      <c r="AN1435" s="35">
        <v>42320</v>
      </c>
      <c r="AO1435" s="4" t="s">
        <v>112</v>
      </c>
    </row>
    <row r="1436" spans="40:41" x14ac:dyDescent="0.1">
      <c r="AN1436" s="35">
        <v>42349</v>
      </c>
      <c r="AO1436" s="4" t="s">
        <v>379</v>
      </c>
    </row>
    <row r="1437" spans="40:41" x14ac:dyDescent="0.1">
      <c r="AN1437" s="35">
        <v>42379</v>
      </c>
      <c r="AO1437" s="4" t="s">
        <v>113</v>
      </c>
    </row>
    <row r="1438" spans="40:41" x14ac:dyDescent="0.1">
      <c r="AN1438" s="35">
        <v>42408</v>
      </c>
      <c r="AO1438" s="4" t="s">
        <v>100</v>
      </c>
    </row>
    <row r="1439" spans="40:41" x14ac:dyDescent="0.1">
      <c r="AN1439" s="35">
        <v>42438</v>
      </c>
      <c r="AO1439" s="4" t="s">
        <v>104</v>
      </c>
    </row>
    <row r="1440" spans="40:41" x14ac:dyDescent="0.1">
      <c r="AN1440" s="35">
        <v>42467</v>
      </c>
      <c r="AO1440" s="4" t="s">
        <v>105</v>
      </c>
    </row>
    <row r="1441" spans="40:41" x14ac:dyDescent="0.1">
      <c r="AN1441" s="35">
        <v>42497</v>
      </c>
      <c r="AO1441" s="4" t="s">
        <v>106</v>
      </c>
    </row>
    <row r="1442" spans="40:41" x14ac:dyDescent="0.1">
      <c r="AN1442" s="35">
        <v>42526</v>
      </c>
      <c r="AO1442" s="4" t="s">
        <v>107</v>
      </c>
    </row>
    <row r="1443" spans="40:41" x14ac:dyDescent="0.1">
      <c r="AN1443" s="35">
        <v>42555</v>
      </c>
      <c r="AO1443" s="4" t="s">
        <v>108</v>
      </c>
    </row>
    <row r="1444" spans="40:41" x14ac:dyDescent="0.1">
      <c r="AN1444" s="35">
        <v>42585</v>
      </c>
      <c r="AO1444" s="4" t="s">
        <v>109</v>
      </c>
    </row>
    <row r="1445" spans="40:41" x14ac:dyDescent="0.1">
      <c r="AN1445" s="35">
        <v>42614</v>
      </c>
      <c r="AO1445" s="4" t="s">
        <v>110</v>
      </c>
    </row>
    <row r="1446" spans="40:41" x14ac:dyDescent="0.1">
      <c r="AN1446" s="35">
        <v>42644</v>
      </c>
      <c r="AO1446" s="4" t="s">
        <v>111</v>
      </c>
    </row>
    <row r="1447" spans="40:41" x14ac:dyDescent="0.1">
      <c r="AN1447" s="35">
        <v>42674</v>
      </c>
      <c r="AO1447" s="4" t="s">
        <v>112</v>
      </c>
    </row>
    <row r="1448" spans="40:41" x14ac:dyDescent="0.1">
      <c r="AN1448" s="35">
        <v>42703</v>
      </c>
      <c r="AO1448" s="4" t="s">
        <v>379</v>
      </c>
    </row>
    <row r="1449" spans="40:41" x14ac:dyDescent="0.1">
      <c r="AN1449" s="35">
        <v>42733</v>
      </c>
      <c r="AO1449" s="4" t="s">
        <v>113</v>
      </c>
    </row>
    <row r="1450" spans="40:41" x14ac:dyDescent="0.1">
      <c r="AN1450" s="35">
        <v>42763</v>
      </c>
      <c r="AO1450" s="4" t="s">
        <v>100</v>
      </c>
    </row>
    <row r="1451" spans="40:41" x14ac:dyDescent="0.1">
      <c r="AN1451" s="35">
        <v>42792</v>
      </c>
      <c r="AO1451" s="4" t="s">
        <v>104</v>
      </c>
    </row>
    <row r="1452" spans="40:41" x14ac:dyDescent="0.1">
      <c r="AN1452" s="35">
        <v>42822</v>
      </c>
      <c r="AO1452" s="4" t="s">
        <v>105</v>
      </c>
    </row>
    <row r="1453" spans="40:41" x14ac:dyDescent="0.1">
      <c r="AN1453" s="35">
        <v>42851</v>
      </c>
      <c r="AO1453" s="4" t="s">
        <v>106</v>
      </c>
    </row>
    <row r="1454" spans="40:41" x14ac:dyDescent="0.1">
      <c r="AN1454" s="35">
        <v>42881</v>
      </c>
      <c r="AO1454" s="4" t="s">
        <v>107</v>
      </c>
    </row>
    <row r="1455" spans="40:41" x14ac:dyDescent="0.1">
      <c r="AN1455" s="35">
        <v>42910</v>
      </c>
      <c r="AO1455" s="4" t="s">
        <v>108</v>
      </c>
    </row>
    <row r="1456" spans="40:41" x14ac:dyDescent="0.1">
      <c r="AN1456" s="35">
        <v>42939</v>
      </c>
      <c r="AO1456" s="4" t="s">
        <v>145</v>
      </c>
    </row>
    <row r="1457" spans="40:41" x14ac:dyDescent="0.1">
      <c r="AN1457" s="35">
        <v>42969</v>
      </c>
      <c r="AO1457" s="4" t="s">
        <v>109</v>
      </c>
    </row>
    <row r="1458" spans="40:41" x14ac:dyDescent="0.1">
      <c r="AN1458" s="35">
        <v>42998</v>
      </c>
      <c r="AO1458" s="4" t="s">
        <v>110</v>
      </c>
    </row>
    <row r="1459" spans="40:41" x14ac:dyDescent="0.1">
      <c r="AN1459" s="35">
        <v>43028</v>
      </c>
      <c r="AO1459" s="4" t="s">
        <v>111</v>
      </c>
    </row>
    <row r="1460" spans="40:41" x14ac:dyDescent="0.1">
      <c r="AN1460" s="35">
        <v>43057</v>
      </c>
      <c r="AO1460" s="4" t="s">
        <v>112</v>
      </c>
    </row>
    <row r="1461" spans="40:41" x14ac:dyDescent="0.1">
      <c r="AN1461" s="35">
        <v>43087</v>
      </c>
      <c r="AO1461" s="4" t="s">
        <v>379</v>
      </c>
    </row>
    <row r="1462" spans="40:41" x14ac:dyDescent="0.1">
      <c r="AN1462" s="35">
        <v>43117</v>
      </c>
      <c r="AO1462" s="4" t="s">
        <v>113</v>
      </c>
    </row>
    <row r="1463" spans="40:41" x14ac:dyDescent="0.1">
      <c r="AN1463" s="35">
        <v>43147</v>
      </c>
      <c r="AO1463" s="4" t="s">
        <v>100</v>
      </c>
    </row>
    <row r="1464" spans="40:41" x14ac:dyDescent="0.1">
      <c r="AN1464" s="35">
        <v>43176</v>
      </c>
      <c r="AO1464" s="4" t="s">
        <v>104</v>
      </c>
    </row>
    <row r="1465" spans="40:41" x14ac:dyDescent="0.1">
      <c r="AN1465" s="35">
        <v>43206</v>
      </c>
      <c r="AO1465" s="4" t="s">
        <v>105</v>
      </c>
    </row>
    <row r="1466" spans="40:41" x14ac:dyDescent="0.1">
      <c r="AN1466" s="35">
        <v>43235</v>
      </c>
      <c r="AO1466" s="4" t="s">
        <v>106</v>
      </c>
    </row>
    <row r="1467" spans="40:41" x14ac:dyDescent="0.1">
      <c r="AN1467" s="35">
        <v>43265</v>
      </c>
      <c r="AO1467" s="4" t="s">
        <v>107</v>
      </c>
    </row>
    <row r="1468" spans="40:41" x14ac:dyDescent="0.1">
      <c r="AN1468" s="35">
        <v>43294</v>
      </c>
      <c r="AO1468" s="4" t="s">
        <v>108</v>
      </c>
    </row>
    <row r="1469" spans="40:41" x14ac:dyDescent="0.1">
      <c r="AN1469" s="35">
        <v>43323</v>
      </c>
      <c r="AO1469" s="4" t="s">
        <v>109</v>
      </c>
    </row>
    <row r="1470" spans="40:41" x14ac:dyDescent="0.1">
      <c r="AN1470" s="35">
        <v>43353</v>
      </c>
      <c r="AO1470" s="4" t="s">
        <v>110</v>
      </c>
    </row>
    <row r="1471" spans="40:41" x14ac:dyDescent="0.1">
      <c r="AN1471" s="35">
        <v>43382</v>
      </c>
      <c r="AO1471" s="4" t="s">
        <v>111</v>
      </c>
    </row>
    <row r="1472" spans="40:41" x14ac:dyDescent="0.1">
      <c r="AN1472" s="35">
        <v>43412</v>
      </c>
      <c r="AO1472" s="4" t="s">
        <v>112</v>
      </c>
    </row>
    <row r="1473" spans="40:41" x14ac:dyDescent="0.1">
      <c r="AN1473" s="35">
        <v>43441</v>
      </c>
      <c r="AO1473" s="4" t="s">
        <v>379</v>
      </c>
    </row>
    <row r="1474" spans="40:41" x14ac:dyDescent="0.1">
      <c r="AN1474" s="35">
        <v>43471</v>
      </c>
      <c r="AO1474" s="4" t="s">
        <v>113</v>
      </c>
    </row>
    <row r="1475" spans="40:41" x14ac:dyDescent="0.1">
      <c r="AN1475" s="35">
        <v>43501</v>
      </c>
      <c r="AO1475" s="4" t="s">
        <v>100</v>
      </c>
    </row>
    <row r="1476" spans="40:41" x14ac:dyDescent="0.1">
      <c r="AN1476" s="35">
        <v>43531</v>
      </c>
      <c r="AO1476" s="4" t="s">
        <v>104</v>
      </c>
    </row>
    <row r="1477" spans="40:41" x14ac:dyDescent="0.1">
      <c r="AN1477" s="35">
        <v>43560</v>
      </c>
      <c r="AO1477" s="4" t="s">
        <v>105</v>
      </c>
    </row>
    <row r="1478" spans="40:41" x14ac:dyDescent="0.1">
      <c r="AN1478" s="35">
        <v>43590</v>
      </c>
      <c r="AO1478" s="4" t="s">
        <v>106</v>
      </c>
    </row>
    <row r="1479" spans="40:41" x14ac:dyDescent="0.1">
      <c r="AN1479" s="35">
        <v>43619</v>
      </c>
      <c r="AO1479" s="4" t="s">
        <v>107</v>
      </c>
    </row>
    <row r="1480" spans="40:41" x14ac:dyDescent="0.1">
      <c r="AN1480" s="35">
        <v>43649</v>
      </c>
      <c r="AO1480" s="4" t="s">
        <v>108</v>
      </c>
    </row>
    <row r="1481" spans="40:41" x14ac:dyDescent="0.1">
      <c r="AN1481" s="35">
        <v>43678</v>
      </c>
      <c r="AO1481" s="4" t="s">
        <v>109</v>
      </c>
    </row>
    <row r="1482" spans="40:41" x14ac:dyDescent="0.1">
      <c r="AN1482" s="35">
        <v>43707</v>
      </c>
      <c r="AO1482" s="4" t="s">
        <v>110</v>
      </c>
    </row>
    <row r="1483" spans="40:41" x14ac:dyDescent="0.1">
      <c r="AN1483" s="35">
        <v>43737</v>
      </c>
      <c r="AO1483" s="4" t="s">
        <v>111</v>
      </c>
    </row>
    <row r="1484" spans="40:41" x14ac:dyDescent="0.1">
      <c r="AN1484" s="35">
        <v>43766</v>
      </c>
      <c r="AO1484" s="4" t="s">
        <v>112</v>
      </c>
    </row>
    <row r="1485" spans="40:41" x14ac:dyDescent="0.1">
      <c r="AN1485" s="35">
        <v>43795</v>
      </c>
      <c r="AO1485" s="4" t="s">
        <v>379</v>
      </c>
    </row>
    <row r="1486" spans="40:41" x14ac:dyDescent="0.1">
      <c r="AN1486" s="35">
        <v>43825</v>
      </c>
      <c r="AO1486" s="4" t="s">
        <v>113</v>
      </c>
    </row>
    <row r="1487" spans="40:41" x14ac:dyDescent="0.1">
      <c r="AN1487" s="35">
        <v>43855</v>
      </c>
      <c r="AO1487" s="4" t="s">
        <v>100</v>
      </c>
    </row>
    <row r="1488" spans="40:41" x14ac:dyDescent="0.1">
      <c r="AN1488" s="35">
        <v>43884</v>
      </c>
      <c r="AO1488" s="4" t="s">
        <v>104</v>
      </c>
    </row>
    <row r="1489" spans="38:41" x14ac:dyDescent="0.1">
      <c r="AN1489" s="35">
        <v>43914</v>
      </c>
      <c r="AO1489" s="4" t="s">
        <v>105</v>
      </c>
    </row>
    <row r="1490" spans="38:41" x14ac:dyDescent="0.1">
      <c r="AN1490" s="35">
        <v>43944</v>
      </c>
      <c r="AO1490" s="4" t="s">
        <v>106</v>
      </c>
    </row>
    <row r="1491" spans="38:41" x14ac:dyDescent="0.1">
      <c r="AN1491" s="35">
        <v>43974</v>
      </c>
      <c r="AO1491" s="4" t="s">
        <v>143</v>
      </c>
    </row>
    <row r="1492" spans="38:41" x14ac:dyDescent="0.1">
      <c r="AN1492" s="35">
        <v>44003</v>
      </c>
      <c r="AO1492" s="4" t="s">
        <v>107</v>
      </c>
    </row>
    <row r="1493" spans="38:41" x14ac:dyDescent="0.1">
      <c r="AN1493" s="35">
        <v>44033</v>
      </c>
      <c r="AO1493" s="4" t="s">
        <v>108</v>
      </c>
    </row>
    <row r="1494" spans="38:41" x14ac:dyDescent="0.1">
      <c r="AN1494" s="35">
        <v>44062</v>
      </c>
      <c r="AO1494" s="4" t="s">
        <v>109</v>
      </c>
    </row>
    <row r="1495" spans="38:41" x14ac:dyDescent="0.1">
      <c r="AN1495" s="35">
        <v>44091</v>
      </c>
      <c r="AO1495" s="4" t="s">
        <v>110</v>
      </c>
    </row>
    <row r="1496" spans="38:41" x14ac:dyDescent="0.1">
      <c r="AN1496" s="35">
        <v>44121</v>
      </c>
      <c r="AO1496" s="4" t="s">
        <v>111</v>
      </c>
    </row>
    <row r="1497" spans="38:41" x14ac:dyDescent="0.1">
      <c r="AN1497" s="35">
        <v>44150</v>
      </c>
      <c r="AO1497" s="4" t="s">
        <v>112</v>
      </c>
    </row>
    <row r="1498" spans="38:41" x14ac:dyDescent="0.1">
      <c r="AL1498" s="13"/>
      <c r="AN1498" s="35">
        <v>44180</v>
      </c>
      <c r="AO1498" s="4" t="s">
        <v>379</v>
      </c>
    </row>
    <row r="1499" spans="38:41" x14ac:dyDescent="0.1">
      <c r="AL1499" s="13"/>
      <c r="AN1499" s="23">
        <v>44209</v>
      </c>
      <c r="AO1499" s="4" t="s">
        <v>113</v>
      </c>
    </row>
    <row r="1500" spans="38:41" x14ac:dyDescent="0.1">
      <c r="AL1500" s="13"/>
      <c r="AN1500" s="23">
        <v>44239</v>
      </c>
      <c r="AO1500" s="4" t="s">
        <v>100</v>
      </c>
    </row>
    <row r="1501" spans="38:41" x14ac:dyDescent="0.1">
      <c r="AL1501" s="13"/>
      <c r="AN1501" s="23">
        <v>44268</v>
      </c>
      <c r="AO1501" s="4" t="s">
        <v>104</v>
      </c>
    </row>
    <row r="1502" spans="38:41" x14ac:dyDescent="0.1">
      <c r="AL1502" s="13"/>
      <c r="AN1502" s="23">
        <v>44298</v>
      </c>
      <c r="AO1502" s="4" t="s">
        <v>105</v>
      </c>
    </row>
    <row r="1503" spans="38:41" x14ac:dyDescent="0.1">
      <c r="AL1503" s="13"/>
      <c r="AN1503" s="23">
        <v>44328</v>
      </c>
      <c r="AO1503" s="4" t="s">
        <v>106</v>
      </c>
    </row>
    <row r="1504" spans="38:41" x14ac:dyDescent="0.1">
      <c r="AL1504" s="13"/>
      <c r="AN1504" s="23">
        <v>44357</v>
      </c>
      <c r="AO1504" s="4" t="s">
        <v>107</v>
      </c>
    </row>
    <row r="1505" spans="38:41" x14ac:dyDescent="0.1">
      <c r="AL1505" s="13"/>
      <c r="AN1505" s="23">
        <v>44387</v>
      </c>
      <c r="AO1505" s="4" t="s">
        <v>108</v>
      </c>
    </row>
    <row r="1506" spans="38:41" x14ac:dyDescent="0.1">
      <c r="AL1506" s="13"/>
      <c r="AN1506" s="23">
        <v>44416</v>
      </c>
      <c r="AO1506" s="4" t="s">
        <v>109</v>
      </c>
    </row>
    <row r="1507" spans="38:41" x14ac:dyDescent="0.1">
      <c r="AL1507" s="13"/>
      <c r="AN1507" s="23">
        <v>44446</v>
      </c>
      <c r="AO1507" s="4" t="s">
        <v>110</v>
      </c>
    </row>
    <row r="1508" spans="38:41" x14ac:dyDescent="0.1">
      <c r="AL1508" s="13"/>
      <c r="AN1508" s="23">
        <v>44475</v>
      </c>
      <c r="AO1508" s="4" t="s">
        <v>111</v>
      </c>
    </row>
    <row r="1509" spans="38:41" x14ac:dyDescent="0.1">
      <c r="AL1509" s="13"/>
      <c r="AN1509" s="23">
        <v>44505</v>
      </c>
      <c r="AO1509" s="4" t="s">
        <v>112</v>
      </c>
    </row>
    <row r="1510" spans="38:41" x14ac:dyDescent="0.1">
      <c r="AL1510" s="13"/>
      <c r="AN1510" s="23">
        <v>44534</v>
      </c>
      <c r="AO1510" s="4" t="s">
        <v>379</v>
      </c>
    </row>
    <row r="1511" spans="38:41" x14ac:dyDescent="0.1">
      <c r="AL1511" s="13"/>
      <c r="AN1511" s="23">
        <v>44564</v>
      </c>
      <c r="AO1511" s="4" t="s">
        <v>113</v>
      </c>
    </row>
    <row r="1512" spans="38:41" x14ac:dyDescent="0.1">
      <c r="AL1512" s="13"/>
      <c r="AN1512" s="23">
        <v>44593</v>
      </c>
      <c r="AO1512" s="4" t="s">
        <v>100</v>
      </c>
    </row>
    <row r="1513" spans="38:41" x14ac:dyDescent="0.1">
      <c r="AL1513" s="13"/>
      <c r="AN1513" s="23">
        <v>44623</v>
      </c>
      <c r="AO1513" s="4" t="s">
        <v>104</v>
      </c>
    </row>
    <row r="1514" spans="38:41" x14ac:dyDescent="0.1">
      <c r="AL1514" s="13"/>
      <c r="AN1514" s="23">
        <v>44652</v>
      </c>
      <c r="AO1514" s="4" t="s">
        <v>105</v>
      </c>
    </row>
    <row r="1515" spans="38:41" x14ac:dyDescent="0.1">
      <c r="AL1515" s="13"/>
      <c r="AN1515" s="23">
        <v>44682</v>
      </c>
      <c r="AO1515" s="4" t="s">
        <v>106</v>
      </c>
    </row>
    <row r="1516" spans="38:41" x14ac:dyDescent="0.1">
      <c r="AL1516" s="13"/>
      <c r="AN1516" s="23">
        <v>44711</v>
      </c>
      <c r="AO1516" s="4" t="s">
        <v>107</v>
      </c>
    </row>
    <row r="1517" spans="38:41" x14ac:dyDescent="0.1">
      <c r="AL1517" s="13"/>
      <c r="AN1517" s="23">
        <v>44741</v>
      </c>
      <c r="AO1517" s="4" t="s">
        <v>108</v>
      </c>
    </row>
    <row r="1518" spans="38:41" x14ac:dyDescent="0.1">
      <c r="AL1518" s="13"/>
      <c r="AN1518" s="23">
        <v>44771</v>
      </c>
      <c r="AO1518" s="4" t="s">
        <v>109</v>
      </c>
    </row>
    <row r="1519" spans="38:41" x14ac:dyDescent="0.1">
      <c r="AL1519" s="13"/>
      <c r="AN1519" s="23">
        <v>44800</v>
      </c>
      <c r="AO1519" s="4" t="s">
        <v>110</v>
      </c>
    </row>
    <row r="1520" spans="38:41" x14ac:dyDescent="0.1">
      <c r="AL1520" s="13"/>
      <c r="AN1520" s="23">
        <v>44830</v>
      </c>
      <c r="AO1520" s="4" t="s">
        <v>111</v>
      </c>
    </row>
    <row r="1521" spans="38:41" x14ac:dyDescent="0.1">
      <c r="AL1521" s="13"/>
      <c r="AN1521" s="23">
        <v>44859</v>
      </c>
      <c r="AO1521" s="4" t="s">
        <v>112</v>
      </c>
    </row>
    <row r="1522" spans="38:41" x14ac:dyDescent="0.1">
      <c r="AL1522" s="13"/>
      <c r="AN1522" s="23">
        <v>44889</v>
      </c>
      <c r="AO1522" s="4" t="s">
        <v>379</v>
      </c>
    </row>
    <row r="1523" spans="38:41" x14ac:dyDescent="0.1">
      <c r="AL1523" s="13"/>
      <c r="AN1523" s="23">
        <v>44918</v>
      </c>
      <c r="AO1523" s="4" t="s">
        <v>113</v>
      </c>
    </row>
    <row r="1524" spans="38:41" x14ac:dyDescent="0.1">
      <c r="AL1524" s="13"/>
      <c r="AN1524" s="23">
        <v>44948</v>
      </c>
      <c r="AO1524" s="4" t="s">
        <v>100</v>
      </c>
    </row>
    <row r="1525" spans="38:41" x14ac:dyDescent="0.1">
      <c r="AL1525" s="13"/>
      <c r="AN1525" s="23">
        <v>44977</v>
      </c>
      <c r="AO1525" s="4" t="s">
        <v>104</v>
      </c>
    </row>
    <row r="1526" spans="38:41" x14ac:dyDescent="0.1">
      <c r="AL1526" s="13"/>
      <c r="AN1526" s="23">
        <v>45007</v>
      </c>
      <c r="AO1526" s="4" t="s">
        <v>147</v>
      </c>
    </row>
    <row r="1527" spans="38:41" x14ac:dyDescent="0.1">
      <c r="AL1527" s="13"/>
      <c r="AN1527" s="23">
        <v>45036</v>
      </c>
      <c r="AO1527" s="4" t="s">
        <v>105</v>
      </c>
    </row>
    <row r="1528" spans="38:41" x14ac:dyDescent="0.1">
      <c r="AL1528" s="13"/>
      <c r="AN1528" s="23">
        <v>45065</v>
      </c>
      <c r="AO1528" s="4" t="s">
        <v>106</v>
      </c>
    </row>
    <row r="1529" spans="38:41" x14ac:dyDescent="0.1">
      <c r="AL1529" s="13"/>
      <c r="AN1529" s="23">
        <v>45095</v>
      </c>
      <c r="AO1529" s="4" t="s">
        <v>107</v>
      </c>
    </row>
    <row r="1530" spans="38:41" x14ac:dyDescent="0.1">
      <c r="AL1530" s="13"/>
      <c r="AN1530" s="23">
        <v>45125</v>
      </c>
      <c r="AO1530" s="4" t="s">
        <v>108</v>
      </c>
    </row>
    <row r="1531" spans="38:41" x14ac:dyDescent="0.1">
      <c r="AL1531" s="13"/>
      <c r="AN1531" s="23">
        <v>45154</v>
      </c>
      <c r="AO1531" s="4" t="s">
        <v>109</v>
      </c>
    </row>
    <row r="1532" spans="38:41" x14ac:dyDescent="0.1">
      <c r="AL1532" s="13"/>
      <c r="AN1532" s="23">
        <v>45184</v>
      </c>
      <c r="AO1532" s="4" t="s">
        <v>110</v>
      </c>
    </row>
    <row r="1533" spans="38:41" x14ac:dyDescent="0.1">
      <c r="AL1533" s="13"/>
      <c r="AN1533" s="23">
        <v>45214</v>
      </c>
      <c r="AO1533" s="4" t="s">
        <v>111</v>
      </c>
    </row>
    <row r="1534" spans="38:41" x14ac:dyDescent="0.1">
      <c r="AL1534" s="13"/>
      <c r="AN1534" s="23">
        <v>45243</v>
      </c>
      <c r="AO1534" s="4" t="s">
        <v>112</v>
      </c>
    </row>
    <row r="1535" spans="38:41" x14ac:dyDescent="0.1">
      <c r="AL1535" s="13"/>
      <c r="AN1535" s="23">
        <v>45273</v>
      </c>
      <c r="AO1535" s="4" t="s">
        <v>379</v>
      </c>
    </row>
    <row r="1536" spans="38:41" x14ac:dyDescent="0.1">
      <c r="AL1536" s="13"/>
      <c r="AN1536" s="23">
        <v>45302</v>
      </c>
      <c r="AO1536" s="4" t="s">
        <v>113</v>
      </c>
    </row>
    <row r="1537" spans="38:41" x14ac:dyDescent="0.1">
      <c r="AL1537" s="13"/>
      <c r="AN1537" s="23">
        <v>45332</v>
      </c>
      <c r="AO1537" s="4" t="s">
        <v>100</v>
      </c>
    </row>
    <row r="1538" spans="38:41" x14ac:dyDescent="0.1">
      <c r="AL1538" s="13"/>
      <c r="AN1538" s="23">
        <v>45361</v>
      </c>
      <c r="AO1538" s="4" t="s">
        <v>104</v>
      </c>
    </row>
    <row r="1539" spans="38:41" x14ac:dyDescent="0.1">
      <c r="AL1539" s="13"/>
      <c r="AN1539" s="23">
        <v>45391</v>
      </c>
      <c r="AO1539" s="4" t="s">
        <v>105</v>
      </c>
    </row>
    <row r="1540" spans="38:41" x14ac:dyDescent="0.1">
      <c r="AL1540" s="13"/>
      <c r="AN1540" s="23">
        <v>45420</v>
      </c>
      <c r="AO1540" s="4" t="s">
        <v>106</v>
      </c>
    </row>
    <row r="1541" spans="38:41" x14ac:dyDescent="0.1">
      <c r="AL1541" s="13"/>
      <c r="AN1541" s="23">
        <v>45449</v>
      </c>
      <c r="AO1541" s="4" t="s">
        <v>107</v>
      </c>
    </row>
    <row r="1542" spans="38:41" x14ac:dyDescent="0.1">
      <c r="AL1542" s="13"/>
      <c r="AN1542" s="23">
        <v>45479</v>
      </c>
      <c r="AO1542" s="4" t="s">
        <v>108</v>
      </c>
    </row>
    <row r="1543" spans="38:41" x14ac:dyDescent="0.1">
      <c r="AL1543" s="13"/>
      <c r="AN1543" s="23">
        <v>45508</v>
      </c>
      <c r="AO1543" s="4" t="s">
        <v>109</v>
      </c>
    </row>
    <row r="1544" spans="38:41" x14ac:dyDescent="0.1">
      <c r="AL1544" s="13"/>
      <c r="AN1544" s="23">
        <v>45538</v>
      </c>
      <c r="AO1544" s="4" t="s">
        <v>110</v>
      </c>
    </row>
    <row r="1545" spans="38:41" x14ac:dyDescent="0.1">
      <c r="AL1545" s="13"/>
      <c r="AN1545" s="23">
        <v>45568</v>
      </c>
      <c r="AO1545" s="4" t="s">
        <v>111</v>
      </c>
    </row>
    <row r="1546" spans="38:41" x14ac:dyDescent="0.1">
      <c r="AL1546" s="13"/>
      <c r="AN1546" s="23">
        <v>45597</v>
      </c>
      <c r="AO1546" s="4" t="s">
        <v>112</v>
      </c>
    </row>
    <row r="1547" spans="38:41" x14ac:dyDescent="0.1">
      <c r="AL1547" s="13"/>
      <c r="AN1547" s="23">
        <v>45627</v>
      </c>
      <c r="AO1547" s="4" t="s">
        <v>379</v>
      </c>
    </row>
    <row r="1548" spans="38:41" x14ac:dyDescent="0.1">
      <c r="AL1548" s="13"/>
      <c r="AN1548" s="23">
        <v>45657</v>
      </c>
      <c r="AO1548" s="4" t="s">
        <v>113</v>
      </c>
    </row>
    <row r="1549" spans="38:41" x14ac:dyDescent="0.1">
      <c r="AL1549" s="13"/>
      <c r="AN1549" s="23">
        <v>45686</v>
      </c>
      <c r="AO1549" s="4" t="s">
        <v>100</v>
      </c>
    </row>
    <row r="1550" spans="38:41" x14ac:dyDescent="0.1">
      <c r="AL1550" s="13"/>
      <c r="AN1550" s="23">
        <v>45716</v>
      </c>
      <c r="AO1550" s="4" t="s">
        <v>104</v>
      </c>
    </row>
    <row r="1551" spans="38:41" x14ac:dyDescent="0.1">
      <c r="AL1551" s="13"/>
      <c r="AN1551" s="23">
        <v>45745</v>
      </c>
      <c r="AO1551" s="4" t="s">
        <v>105</v>
      </c>
    </row>
    <row r="1552" spans="38:41" x14ac:dyDescent="0.1">
      <c r="AL1552" s="13"/>
      <c r="AN1552" s="23">
        <v>45775</v>
      </c>
      <c r="AO1552" s="4" t="s">
        <v>106</v>
      </c>
    </row>
    <row r="1553" spans="38:41" x14ac:dyDescent="0.1">
      <c r="AL1553" s="13"/>
      <c r="AN1553" s="23">
        <v>45804</v>
      </c>
      <c r="AO1553" s="4" t="s">
        <v>107</v>
      </c>
    </row>
    <row r="1554" spans="38:41" x14ac:dyDescent="0.1">
      <c r="AL1554" s="13"/>
      <c r="AN1554" s="23">
        <v>45833</v>
      </c>
      <c r="AO1554" s="4" t="s">
        <v>108</v>
      </c>
    </row>
    <row r="1555" spans="38:41" x14ac:dyDescent="0.1">
      <c r="AL1555" s="13"/>
      <c r="AN1555" s="23">
        <v>45863</v>
      </c>
      <c r="AO1555" s="4" t="s">
        <v>145</v>
      </c>
    </row>
    <row r="1556" spans="38:41" x14ac:dyDescent="0.1">
      <c r="AL1556" s="13"/>
      <c r="AN1556" s="23">
        <v>45892</v>
      </c>
      <c r="AO1556" s="4" t="s">
        <v>109</v>
      </c>
    </row>
    <row r="1557" spans="38:41" x14ac:dyDescent="0.1">
      <c r="AL1557" s="13"/>
      <c r="AN1557" s="23">
        <v>45922</v>
      </c>
      <c r="AO1557" s="4" t="s">
        <v>110</v>
      </c>
    </row>
    <row r="1558" spans="38:41" x14ac:dyDescent="0.1">
      <c r="AL1558" s="13"/>
      <c r="AN1558" s="23">
        <v>45951</v>
      </c>
      <c r="AO1558" s="4" t="s">
        <v>111</v>
      </c>
    </row>
    <row r="1559" spans="38:41" x14ac:dyDescent="0.1">
      <c r="AL1559" s="13"/>
      <c r="AN1559" s="23">
        <v>45981</v>
      </c>
      <c r="AO1559" s="4" t="s">
        <v>112</v>
      </c>
    </row>
    <row r="1560" spans="38:41" x14ac:dyDescent="0.1">
      <c r="AL1560" s="13"/>
      <c r="AN1560" s="23">
        <v>46011</v>
      </c>
      <c r="AO1560" s="4" t="s">
        <v>379</v>
      </c>
    </row>
    <row r="1561" spans="38:41" x14ac:dyDescent="0.1">
      <c r="AL1561" s="13"/>
      <c r="AN1561" s="23">
        <v>46041</v>
      </c>
      <c r="AO1561" s="4" t="s">
        <v>113</v>
      </c>
    </row>
    <row r="1562" spans="38:41" x14ac:dyDescent="0.1">
      <c r="AL1562" s="13"/>
      <c r="AN1562" s="23">
        <v>46070</v>
      </c>
      <c r="AO1562" s="4" t="s">
        <v>100</v>
      </c>
    </row>
    <row r="1563" spans="38:41" x14ac:dyDescent="0.1">
      <c r="AL1563" s="13"/>
      <c r="AN1563" s="23">
        <v>46100</v>
      </c>
      <c r="AO1563" s="4" t="s">
        <v>104</v>
      </c>
    </row>
    <row r="1564" spans="38:41" x14ac:dyDescent="0.1">
      <c r="AL1564" s="13"/>
      <c r="AN1564" s="23">
        <v>46129</v>
      </c>
      <c r="AO1564" s="4" t="s">
        <v>105</v>
      </c>
    </row>
    <row r="1565" spans="38:41" x14ac:dyDescent="0.1">
      <c r="AL1565" s="13"/>
      <c r="AN1565" s="23">
        <v>46159</v>
      </c>
      <c r="AO1565" s="4" t="s">
        <v>106</v>
      </c>
    </row>
    <row r="1566" spans="38:41" x14ac:dyDescent="0.1">
      <c r="AL1566" s="13"/>
      <c r="AN1566" s="23">
        <v>46188</v>
      </c>
      <c r="AO1566" s="4" t="s">
        <v>107</v>
      </c>
    </row>
    <row r="1567" spans="38:41" x14ac:dyDescent="0.1">
      <c r="AL1567" s="13"/>
      <c r="AN1567" s="23">
        <v>46217</v>
      </c>
      <c r="AO1567" s="4" t="s">
        <v>108</v>
      </c>
    </row>
    <row r="1568" spans="38:41" x14ac:dyDescent="0.1">
      <c r="AL1568" s="13"/>
      <c r="AN1568" s="23">
        <v>46247</v>
      </c>
      <c r="AO1568" s="4" t="s">
        <v>109</v>
      </c>
    </row>
    <row r="1569" spans="38:41" x14ac:dyDescent="0.1">
      <c r="AL1569" s="13"/>
      <c r="AN1569" s="23">
        <v>46276</v>
      </c>
      <c r="AO1569" s="4" t="s">
        <v>110</v>
      </c>
    </row>
    <row r="1570" spans="38:41" x14ac:dyDescent="0.1">
      <c r="AL1570" s="13"/>
      <c r="AN1570" s="23">
        <v>46305</v>
      </c>
      <c r="AO1570" s="4" t="s">
        <v>111</v>
      </c>
    </row>
    <row r="1571" spans="38:41" x14ac:dyDescent="0.1">
      <c r="AL1571" s="13"/>
      <c r="AN1571" s="23">
        <v>46335</v>
      </c>
      <c r="AO1571" s="4" t="s">
        <v>112</v>
      </c>
    </row>
    <row r="1572" spans="38:41" x14ac:dyDescent="0.1">
      <c r="AL1572" s="13"/>
      <c r="AN1572" s="23">
        <v>46365</v>
      </c>
      <c r="AO1572" s="4" t="s">
        <v>379</v>
      </c>
    </row>
    <row r="1573" spans="38:41" x14ac:dyDescent="0.1">
      <c r="AL1573" s="13"/>
      <c r="AN1573" s="23">
        <v>46395</v>
      </c>
      <c r="AO1573" s="4" t="s">
        <v>113</v>
      </c>
    </row>
    <row r="1574" spans="38:41" x14ac:dyDescent="0.1">
      <c r="AL1574" s="13"/>
      <c r="AN1574" s="23">
        <v>46424</v>
      </c>
      <c r="AO1574" s="4" t="s">
        <v>100</v>
      </c>
    </row>
    <row r="1575" spans="38:41" x14ac:dyDescent="0.1">
      <c r="AL1575" s="13"/>
      <c r="AN1575" s="23">
        <v>46454</v>
      </c>
      <c r="AO1575" s="4" t="s">
        <v>104</v>
      </c>
    </row>
    <row r="1576" spans="38:41" x14ac:dyDescent="0.1">
      <c r="AL1576" s="13"/>
      <c r="AN1576" s="23">
        <v>46484</v>
      </c>
      <c r="AO1576" s="4" t="s">
        <v>105</v>
      </c>
    </row>
    <row r="1577" spans="38:41" x14ac:dyDescent="0.1">
      <c r="AL1577" s="13"/>
      <c r="AN1577" s="23">
        <v>46513</v>
      </c>
      <c r="AO1577" s="4" t="s">
        <v>106</v>
      </c>
    </row>
    <row r="1578" spans="38:41" x14ac:dyDescent="0.1">
      <c r="AL1578" s="13"/>
      <c r="AN1578" s="23">
        <v>46543</v>
      </c>
      <c r="AO1578" s="4" t="s">
        <v>107</v>
      </c>
    </row>
    <row r="1579" spans="38:41" x14ac:dyDescent="0.1">
      <c r="AL1579" s="13"/>
      <c r="AN1579" s="23">
        <v>46572</v>
      </c>
      <c r="AO1579" s="4" t="s">
        <v>108</v>
      </c>
    </row>
    <row r="1580" spans="38:41" x14ac:dyDescent="0.1">
      <c r="AL1580" s="13"/>
      <c r="AN1580" s="23">
        <v>46601</v>
      </c>
      <c r="AO1580" s="4" t="s">
        <v>109</v>
      </c>
    </row>
    <row r="1581" spans="38:41" x14ac:dyDescent="0.1">
      <c r="AL1581" s="13"/>
      <c r="AN1581" s="23">
        <v>46631</v>
      </c>
      <c r="AO1581" s="4" t="s">
        <v>110</v>
      </c>
    </row>
    <row r="1582" spans="38:41" x14ac:dyDescent="0.1">
      <c r="AL1582" s="13"/>
      <c r="AN1582" s="23">
        <v>46660</v>
      </c>
      <c r="AO1582" s="4" t="s">
        <v>111</v>
      </c>
    </row>
    <row r="1583" spans="38:41" x14ac:dyDescent="0.1">
      <c r="AL1583" s="13"/>
      <c r="AN1583" s="23">
        <v>46689</v>
      </c>
      <c r="AO1583" s="4" t="s">
        <v>112</v>
      </c>
    </row>
    <row r="1584" spans="38:41" x14ac:dyDescent="0.1">
      <c r="AL1584" s="13"/>
      <c r="AN1584" s="23">
        <v>46719</v>
      </c>
      <c r="AO1584" s="4" t="s">
        <v>379</v>
      </c>
    </row>
    <row r="1585" spans="38:41" x14ac:dyDescent="0.1">
      <c r="AL1585" s="13"/>
      <c r="AN1585" s="23">
        <v>46749</v>
      </c>
      <c r="AO1585" s="4" t="s">
        <v>113</v>
      </c>
    </row>
    <row r="1586" spans="38:41" x14ac:dyDescent="0.1">
      <c r="AL1586" s="13"/>
      <c r="AN1586" s="23">
        <v>46778</v>
      </c>
      <c r="AO1586" s="4" t="s">
        <v>100</v>
      </c>
    </row>
    <row r="1587" spans="38:41" x14ac:dyDescent="0.1">
      <c r="AL1587" s="13"/>
      <c r="AN1587" s="23">
        <v>46808</v>
      </c>
      <c r="AO1587" s="4" t="s">
        <v>104</v>
      </c>
    </row>
    <row r="1588" spans="38:41" x14ac:dyDescent="0.1">
      <c r="AL1588" s="13"/>
      <c r="AN1588" s="23">
        <v>46838</v>
      </c>
      <c r="AO1588" s="4" t="s">
        <v>105</v>
      </c>
    </row>
    <row r="1589" spans="38:41" x14ac:dyDescent="0.1">
      <c r="AL1589" s="13"/>
      <c r="AN1589" s="23">
        <v>46868</v>
      </c>
      <c r="AO1589" s="4" t="s">
        <v>106</v>
      </c>
    </row>
    <row r="1590" spans="38:41" x14ac:dyDescent="0.1">
      <c r="AL1590" s="13"/>
      <c r="AN1590" s="23">
        <v>46897</v>
      </c>
      <c r="AO1590" s="4" t="s">
        <v>107</v>
      </c>
    </row>
    <row r="1591" spans="38:41" x14ac:dyDescent="0.1">
      <c r="AL1591" s="13"/>
      <c r="AN1591" s="23">
        <v>46927</v>
      </c>
      <c r="AO1591" s="4" t="s">
        <v>142</v>
      </c>
    </row>
    <row r="1592" spans="38:41" x14ac:dyDescent="0.1">
      <c r="AL1592" s="13"/>
      <c r="AN1592" s="23">
        <v>46956</v>
      </c>
      <c r="AO1592" s="4" t="s">
        <v>108</v>
      </c>
    </row>
    <row r="1593" spans="38:41" x14ac:dyDescent="0.1">
      <c r="AL1593" s="13"/>
      <c r="AN1593" s="23">
        <v>46985</v>
      </c>
      <c r="AO1593" s="4" t="s">
        <v>109</v>
      </c>
    </row>
    <row r="1594" spans="38:41" x14ac:dyDescent="0.1">
      <c r="AL1594" s="13"/>
      <c r="AN1594" s="23">
        <v>47015</v>
      </c>
      <c r="AO1594" s="4" t="s">
        <v>110</v>
      </c>
    </row>
    <row r="1595" spans="38:41" x14ac:dyDescent="0.1">
      <c r="AL1595" s="13"/>
      <c r="AN1595" s="23">
        <v>47044</v>
      </c>
      <c r="AO1595" s="4" t="s">
        <v>111</v>
      </c>
    </row>
    <row r="1596" spans="38:41" x14ac:dyDescent="0.1">
      <c r="AL1596" s="13"/>
      <c r="AN1596" s="23">
        <v>47073</v>
      </c>
      <c r="AO1596" s="4" t="s">
        <v>112</v>
      </c>
    </row>
    <row r="1597" spans="38:41" x14ac:dyDescent="0.1">
      <c r="AL1597" s="13"/>
      <c r="AN1597" s="23">
        <v>47103</v>
      </c>
      <c r="AO1597" s="4" t="s">
        <v>379</v>
      </c>
    </row>
    <row r="1598" spans="38:41" x14ac:dyDescent="0.1">
      <c r="AL1598" s="13"/>
      <c r="AN1598" s="23">
        <v>47133</v>
      </c>
      <c r="AO1598" s="4" t="s">
        <v>113</v>
      </c>
    </row>
    <row r="1599" spans="38:41" x14ac:dyDescent="0.1">
      <c r="AL1599" s="13"/>
      <c r="AN1599" s="23">
        <v>47162</v>
      </c>
      <c r="AO1599" s="4" t="s">
        <v>100</v>
      </c>
    </row>
    <row r="1600" spans="38:41" x14ac:dyDescent="0.1">
      <c r="AL1600" s="13"/>
      <c r="AN1600" s="23">
        <v>47192</v>
      </c>
      <c r="AO1600" s="4" t="s">
        <v>104</v>
      </c>
    </row>
    <row r="1601" spans="38:41" x14ac:dyDescent="0.1">
      <c r="AL1601" s="13"/>
      <c r="AN1601" s="23">
        <v>47222</v>
      </c>
      <c r="AO1601" s="4" t="s">
        <v>105</v>
      </c>
    </row>
    <row r="1602" spans="38:41" x14ac:dyDescent="0.1">
      <c r="AL1602" s="13"/>
      <c r="AN1602" s="23">
        <v>47251</v>
      </c>
      <c r="AO1602" s="4" t="s">
        <v>106</v>
      </c>
    </row>
    <row r="1603" spans="38:41" x14ac:dyDescent="0.1">
      <c r="AL1603" s="13"/>
      <c r="AN1603" s="23">
        <v>47281</v>
      </c>
      <c r="AO1603" s="4" t="s">
        <v>107</v>
      </c>
    </row>
    <row r="1604" spans="38:41" x14ac:dyDescent="0.1">
      <c r="AL1604" s="13"/>
      <c r="AN1604" s="23">
        <v>47310</v>
      </c>
      <c r="AO1604" s="4" t="s">
        <v>108</v>
      </c>
    </row>
    <row r="1605" spans="38:41" x14ac:dyDescent="0.1">
      <c r="AL1605" s="13"/>
      <c r="AN1605" s="23">
        <v>47340</v>
      </c>
      <c r="AO1605" s="4" t="s">
        <v>109</v>
      </c>
    </row>
    <row r="1606" spans="38:41" x14ac:dyDescent="0.1">
      <c r="AL1606" s="13"/>
      <c r="AN1606" s="23">
        <v>47369</v>
      </c>
      <c r="AO1606" s="4" t="s">
        <v>110</v>
      </c>
    </row>
    <row r="1607" spans="38:41" x14ac:dyDescent="0.1">
      <c r="AL1607" s="13"/>
      <c r="AN1607" s="23">
        <v>47399</v>
      </c>
      <c r="AO1607" s="4" t="s">
        <v>111</v>
      </c>
    </row>
    <row r="1608" spans="38:41" x14ac:dyDescent="0.1">
      <c r="AL1608" s="13"/>
      <c r="AN1608" s="23">
        <v>47428</v>
      </c>
      <c r="AO1608" s="4" t="s">
        <v>112</v>
      </c>
    </row>
    <row r="1609" spans="38:41" x14ac:dyDescent="0.1">
      <c r="AL1609" s="13"/>
      <c r="AN1609" s="23">
        <v>47457</v>
      </c>
      <c r="AO1609" s="4" t="s">
        <v>379</v>
      </c>
    </row>
    <row r="1610" spans="38:41" x14ac:dyDescent="0.1">
      <c r="AL1610" s="13"/>
      <c r="AN1610" s="23">
        <v>47487</v>
      </c>
      <c r="AO1610" s="4" t="s">
        <v>113</v>
      </c>
    </row>
    <row r="1611" spans="38:41" x14ac:dyDescent="0.1">
      <c r="AL1611" s="13"/>
      <c r="AN1611" s="23">
        <v>47516</v>
      </c>
      <c r="AO1611" s="4" t="s">
        <v>100</v>
      </c>
    </row>
    <row r="1612" spans="38:41" x14ac:dyDescent="0.1">
      <c r="AL1612" s="13"/>
      <c r="AN1612" s="23">
        <v>47546</v>
      </c>
      <c r="AO1612" s="4" t="s">
        <v>104</v>
      </c>
    </row>
    <row r="1613" spans="38:41" x14ac:dyDescent="0.1">
      <c r="AL1613" s="13"/>
      <c r="AN1613" s="23">
        <v>47576</v>
      </c>
      <c r="AO1613" s="4" t="s">
        <v>105</v>
      </c>
    </row>
    <row r="1614" spans="38:41" x14ac:dyDescent="0.1">
      <c r="AL1614" s="13"/>
      <c r="AN1614" s="23">
        <v>47605</v>
      </c>
      <c r="AO1614" s="4" t="s">
        <v>106</v>
      </c>
    </row>
    <row r="1615" spans="38:41" x14ac:dyDescent="0.1">
      <c r="AL1615" s="13"/>
      <c r="AN1615" s="23">
        <v>47635</v>
      </c>
      <c r="AO1615" s="4" t="s">
        <v>107</v>
      </c>
    </row>
    <row r="1616" spans="38:41" x14ac:dyDescent="0.1">
      <c r="AL1616" s="13"/>
      <c r="AN1616" s="23">
        <v>47665</v>
      </c>
      <c r="AO1616" s="4" t="s">
        <v>108</v>
      </c>
    </row>
    <row r="1617" spans="38:41" x14ac:dyDescent="0.1">
      <c r="AL1617" s="13"/>
      <c r="AN1617" s="23">
        <v>47694</v>
      </c>
      <c r="AO1617" s="4" t="s">
        <v>109</v>
      </c>
    </row>
    <row r="1618" spans="38:41" x14ac:dyDescent="0.1">
      <c r="AL1618" s="13"/>
      <c r="AN1618" s="23">
        <v>47724</v>
      </c>
      <c r="AO1618" s="4" t="s">
        <v>110</v>
      </c>
    </row>
    <row r="1619" spans="38:41" x14ac:dyDescent="0.1">
      <c r="AL1619" s="13"/>
      <c r="AN1619" s="23">
        <v>47753</v>
      </c>
      <c r="AO1619" s="4" t="s">
        <v>111</v>
      </c>
    </row>
    <row r="1620" spans="38:41" x14ac:dyDescent="0.1">
      <c r="AL1620" s="13"/>
      <c r="AN1620" s="23">
        <v>47783</v>
      </c>
      <c r="AO1620" s="4" t="s">
        <v>112</v>
      </c>
    </row>
    <row r="1621" spans="38:41" x14ac:dyDescent="0.1">
      <c r="AL1621" s="13"/>
      <c r="AN1621" s="23">
        <v>47812</v>
      </c>
      <c r="AO1621" s="4" t="s">
        <v>379</v>
      </c>
    </row>
    <row r="1622" spans="38:41" x14ac:dyDescent="0.1">
      <c r="AL1622" s="13"/>
      <c r="AN1622" s="23">
        <v>47842</v>
      </c>
      <c r="AO1622" s="4" t="s">
        <v>113</v>
      </c>
    </row>
    <row r="1623" spans="38:41" x14ac:dyDescent="0.1">
      <c r="AL1623" s="13"/>
      <c r="AN1623" s="23">
        <v>47871</v>
      </c>
      <c r="AO1623" s="4" t="s">
        <v>100</v>
      </c>
    </row>
    <row r="1624" spans="38:41" x14ac:dyDescent="0.1">
      <c r="AL1624" s="13"/>
      <c r="AN1624" s="23">
        <v>47900</v>
      </c>
      <c r="AO1624" s="4" t="s">
        <v>104</v>
      </c>
    </row>
    <row r="1625" spans="38:41" x14ac:dyDescent="0.1">
      <c r="AL1625" s="13"/>
      <c r="AN1625" s="23">
        <v>47930</v>
      </c>
      <c r="AO1625" s="4" t="s">
        <v>105</v>
      </c>
    </row>
    <row r="1626" spans="38:41" x14ac:dyDescent="0.1">
      <c r="AL1626" s="13"/>
      <c r="AN1626" s="23">
        <v>47960</v>
      </c>
      <c r="AO1626" s="4" t="s">
        <v>147</v>
      </c>
    </row>
    <row r="1627" spans="38:41" x14ac:dyDescent="0.1">
      <c r="AL1627" s="13"/>
      <c r="AN1627" s="23">
        <v>47989</v>
      </c>
      <c r="AO1627" s="4" t="s">
        <v>106</v>
      </c>
    </row>
    <row r="1628" spans="38:41" x14ac:dyDescent="0.1">
      <c r="AL1628" s="13"/>
      <c r="AN1628" s="23">
        <v>48019</v>
      </c>
      <c r="AO1628" s="4" t="s">
        <v>107</v>
      </c>
    </row>
    <row r="1629" spans="38:41" x14ac:dyDescent="0.1">
      <c r="AL1629" s="13"/>
      <c r="AN1629" s="23">
        <v>48048</v>
      </c>
      <c r="AO1629" s="4" t="s">
        <v>108</v>
      </c>
    </row>
    <row r="1630" spans="38:41" x14ac:dyDescent="0.1">
      <c r="AL1630" s="13"/>
      <c r="AN1630" s="23">
        <v>48078</v>
      </c>
      <c r="AO1630" s="4" t="s">
        <v>109</v>
      </c>
    </row>
    <row r="1631" spans="38:41" x14ac:dyDescent="0.1">
      <c r="AL1631" s="13"/>
      <c r="AN1631" s="23">
        <v>48108</v>
      </c>
      <c r="AO1631" s="4" t="s">
        <v>110</v>
      </c>
    </row>
    <row r="1632" spans="38:41" x14ac:dyDescent="0.1">
      <c r="AL1632" s="13"/>
      <c r="AN1632" s="23">
        <v>48137</v>
      </c>
      <c r="AO1632" s="4" t="s">
        <v>111</v>
      </c>
    </row>
    <row r="1633" spans="38:41" x14ac:dyDescent="0.1">
      <c r="AL1633" s="13"/>
      <c r="AN1633" s="23">
        <v>48167</v>
      </c>
      <c r="AO1633" s="4" t="s">
        <v>112</v>
      </c>
    </row>
    <row r="1634" spans="38:41" x14ac:dyDescent="0.1">
      <c r="AL1634" s="13"/>
      <c r="AN1634" s="23">
        <v>48196</v>
      </c>
      <c r="AO1634" s="4" t="s">
        <v>379</v>
      </c>
    </row>
    <row r="1635" spans="38:41" x14ac:dyDescent="0.1">
      <c r="AL1635" s="13"/>
      <c r="AN1635" s="23">
        <v>48226</v>
      </c>
      <c r="AO1635" s="4" t="s">
        <v>113</v>
      </c>
    </row>
    <row r="1636" spans="38:41" x14ac:dyDescent="0.1">
      <c r="AL1636" s="13"/>
      <c r="AN1636" s="23">
        <v>48255</v>
      </c>
      <c r="AO1636" s="4" t="s">
        <v>100</v>
      </c>
    </row>
    <row r="1637" spans="38:41" x14ac:dyDescent="0.1">
      <c r="AL1637" s="13"/>
      <c r="AN1637" s="23">
        <v>48285</v>
      </c>
      <c r="AO1637" s="4" t="s">
        <v>104</v>
      </c>
    </row>
    <row r="1638" spans="38:41" x14ac:dyDescent="0.1">
      <c r="AL1638" s="13"/>
      <c r="AN1638" s="23">
        <v>48314</v>
      </c>
      <c r="AO1638" s="4" t="s">
        <v>105</v>
      </c>
    </row>
    <row r="1639" spans="38:41" x14ac:dyDescent="0.1">
      <c r="AL1639" s="13"/>
      <c r="AN1639" s="23">
        <v>48343</v>
      </c>
      <c r="AO1639" s="4" t="s">
        <v>106</v>
      </c>
    </row>
    <row r="1640" spans="38:41" x14ac:dyDescent="0.1">
      <c r="AL1640" s="13"/>
      <c r="AN1640" s="23">
        <v>48373</v>
      </c>
      <c r="AO1640" s="4" t="s">
        <v>107</v>
      </c>
    </row>
    <row r="1641" spans="38:41" x14ac:dyDescent="0.1">
      <c r="AL1641" s="13"/>
      <c r="AN1641" s="23">
        <v>48402</v>
      </c>
      <c r="AO1641" s="4" t="s">
        <v>108</v>
      </c>
    </row>
    <row r="1642" spans="38:41" x14ac:dyDescent="0.1">
      <c r="AL1642" s="13"/>
      <c r="AN1642" s="23">
        <v>48432</v>
      </c>
      <c r="AO1642" s="4" t="s">
        <v>109</v>
      </c>
    </row>
    <row r="1643" spans="38:41" x14ac:dyDescent="0.1">
      <c r="AL1643" s="13"/>
      <c r="AN1643" s="23">
        <v>48462</v>
      </c>
      <c r="AO1643" s="4" t="s">
        <v>110</v>
      </c>
    </row>
    <row r="1644" spans="38:41" x14ac:dyDescent="0.1">
      <c r="AL1644" s="13"/>
      <c r="AN1644" s="23">
        <v>48491</v>
      </c>
      <c r="AO1644" s="4" t="s">
        <v>111</v>
      </c>
    </row>
    <row r="1645" spans="38:41" x14ac:dyDescent="0.1">
      <c r="AL1645" s="13"/>
      <c r="AN1645" s="23">
        <v>48521</v>
      </c>
      <c r="AO1645" s="4" t="s">
        <v>112</v>
      </c>
    </row>
    <row r="1646" spans="38:41" x14ac:dyDescent="0.1">
      <c r="AL1646" s="13"/>
      <c r="AN1646" s="23">
        <v>48551</v>
      </c>
      <c r="AO1646" s="4" t="s">
        <v>379</v>
      </c>
    </row>
    <row r="1647" spans="38:41" x14ac:dyDescent="0.1">
      <c r="AL1647" s="13"/>
      <c r="AN1647" s="23">
        <v>48580</v>
      </c>
      <c r="AO1647" s="4" t="s">
        <v>113</v>
      </c>
    </row>
    <row r="1648" spans="38:41" x14ac:dyDescent="0.1">
      <c r="AL1648" s="13"/>
      <c r="AN1648" s="23">
        <v>48610</v>
      </c>
      <c r="AO1648" s="4" t="s">
        <v>100</v>
      </c>
    </row>
    <row r="1649" spans="38:41" x14ac:dyDescent="0.1">
      <c r="AL1649" s="13"/>
      <c r="AN1649" s="23">
        <v>48639</v>
      </c>
      <c r="AO1649" s="4" t="s">
        <v>104</v>
      </c>
    </row>
    <row r="1650" spans="38:41" x14ac:dyDescent="0.1">
      <c r="AL1650" s="13"/>
      <c r="AN1650" s="23">
        <v>48669</v>
      </c>
      <c r="AO1650" s="4" t="s">
        <v>105</v>
      </c>
    </row>
    <row r="1651" spans="38:41" x14ac:dyDescent="0.1">
      <c r="AL1651" s="13"/>
      <c r="AN1651" s="23">
        <v>48698</v>
      </c>
      <c r="AO1651" s="4" t="s">
        <v>106</v>
      </c>
    </row>
    <row r="1652" spans="38:41" x14ac:dyDescent="0.1">
      <c r="AL1652" s="13"/>
      <c r="AN1652" s="23">
        <v>48727</v>
      </c>
      <c r="AO1652" s="4" t="s">
        <v>107</v>
      </c>
    </row>
    <row r="1653" spans="38:41" x14ac:dyDescent="0.1">
      <c r="AL1653" s="13"/>
      <c r="AN1653" s="23">
        <v>48757</v>
      </c>
      <c r="AO1653" s="4" t="s">
        <v>108</v>
      </c>
    </row>
    <row r="1654" spans="38:41" x14ac:dyDescent="0.1">
      <c r="AL1654" s="13"/>
      <c r="AN1654" s="23">
        <v>48786</v>
      </c>
      <c r="AO1654" s="4" t="s">
        <v>109</v>
      </c>
    </row>
    <row r="1655" spans="38:41" x14ac:dyDescent="0.1">
      <c r="AL1655" s="13"/>
      <c r="AN1655" s="23">
        <v>48815</v>
      </c>
      <c r="AO1655" s="4" t="s">
        <v>146</v>
      </c>
    </row>
    <row r="1656" spans="38:41" x14ac:dyDescent="0.1">
      <c r="AL1656" s="13"/>
      <c r="AN1656" s="23">
        <v>48845</v>
      </c>
      <c r="AO1656" s="4" t="s">
        <v>110</v>
      </c>
    </row>
    <row r="1657" spans="38:41" x14ac:dyDescent="0.1">
      <c r="AL1657" s="13"/>
      <c r="AN1657" s="23">
        <v>48875</v>
      </c>
      <c r="AO1657" s="4" t="s">
        <v>111</v>
      </c>
    </row>
    <row r="1658" spans="38:41" x14ac:dyDescent="0.1">
      <c r="AL1658" s="13"/>
      <c r="AN1658" s="23">
        <v>48905</v>
      </c>
      <c r="AO1658" s="4" t="s">
        <v>112</v>
      </c>
    </row>
    <row r="1659" spans="38:41" x14ac:dyDescent="0.1">
      <c r="AL1659" s="13"/>
      <c r="AN1659" s="23">
        <v>48935</v>
      </c>
      <c r="AO1659" s="4" t="s">
        <v>379</v>
      </c>
    </row>
    <row r="1660" spans="38:41" x14ac:dyDescent="0.1">
      <c r="AL1660" s="13"/>
      <c r="AN1660" s="23">
        <v>48964</v>
      </c>
      <c r="AO1660" s="4" t="s">
        <v>113</v>
      </c>
    </row>
    <row r="1661" spans="38:41" x14ac:dyDescent="0.1">
      <c r="AL1661" s="13"/>
      <c r="AM1661" s="23"/>
      <c r="AN1661" s="23">
        <v>48994</v>
      </c>
      <c r="AO1661" s="4" t="s">
        <v>100</v>
      </c>
    </row>
    <row r="1662" spans="38:41" x14ac:dyDescent="0.1">
      <c r="AL1662" s="13"/>
      <c r="AM1662" s="23"/>
      <c r="AN1662" s="23">
        <v>49023</v>
      </c>
      <c r="AO1662" s="4" t="s">
        <v>104</v>
      </c>
    </row>
    <row r="1663" spans="38:41" x14ac:dyDescent="0.1">
      <c r="AL1663" s="13"/>
      <c r="AM1663" s="23"/>
      <c r="AN1663" s="23">
        <v>49053</v>
      </c>
      <c r="AO1663" s="4" t="s">
        <v>105</v>
      </c>
    </row>
    <row r="1664" spans="38:41" x14ac:dyDescent="0.1">
      <c r="AL1664" s="13"/>
      <c r="AM1664" s="23"/>
      <c r="AN1664" s="23">
        <v>49082</v>
      </c>
      <c r="AO1664" s="4" t="s">
        <v>106</v>
      </c>
    </row>
    <row r="1665" spans="38:41" x14ac:dyDescent="0.1">
      <c r="AL1665" s="13"/>
      <c r="AM1665" s="23"/>
      <c r="AN1665" s="23">
        <v>49111</v>
      </c>
      <c r="AO1665" s="4" t="s">
        <v>107</v>
      </c>
    </row>
    <row r="1666" spans="38:41" x14ac:dyDescent="0.1">
      <c r="AL1666" s="13"/>
      <c r="AM1666" s="23"/>
      <c r="AN1666" s="23">
        <v>49141</v>
      </c>
      <c r="AO1666" s="4" t="s">
        <v>108</v>
      </c>
    </row>
    <row r="1667" spans="38:41" x14ac:dyDescent="0.1">
      <c r="AL1667" s="13"/>
      <c r="AM1667" s="23"/>
      <c r="AN1667" s="23">
        <v>49170</v>
      </c>
      <c r="AO1667" s="4" t="s">
        <v>109</v>
      </c>
    </row>
    <row r="1668" spans="38:41" x14ac:dyDescent="0.1">
      <c r="AL1668" s="13"/>
      <c r="AM1668" s="23"/>
      <c r="AN1668" s="23">
        <v>49200</v>
      </c>
      <c r="AO1668" s="4" t="s">
        <v>110</v>
      </c>
    </row>
    <row r="1669" spans="38:41" x14ac:dyDescent="0.1">
      <c r="AL1669" s="13"/>
      <c r="AM1669" s="23"/>
      <c r="AN1669" s="23">
        <v>49229</v>
      </c>
      <c r="AO1669" s="4" t="s">
        <v>111</v>
      </c>
    </row>
    <row r="1670" spans="38:41" x14ac:dyDescent="0.1">
      <c r="AL1670" s="13"/>
      <c r="AM1670" s="23"/>
      <c r="AN1670" s="23">
        <v>49259</v>
      </c>
      <c r="AO1670" s="4" t="s">
        <v>112</v>
      </c>
    </row>
    <row r="1671" spans="38:41" x14ac:dyDescent="0.1">
      <c r="AL1671" s="13"/>
      <c r="AM1671" s="23"/>
      <c r="AN1671" s="23">
        <v>49289</v>
      </c>
      <c r="AO1671" s="4" t="s">
        <v>379</v>
      </c>
    </row>
    <row r="1672" spans="38:41" x14ac:dyDescent="0.1">
      <c r="AL1672" s="13"/>
      <c r="AM1672" s="23"/>
      <c r="AN1672" s="23">
        <v>49318</v>
      </c>
      <c r="AO1672" s="4" t="s">
        <v>113</v>
      </c>
    </row>
    <row r="1673" spans="38:41" x14ac:dyDescent="0.1">
      <c r="AL1673" s="13"/>
      <c r="AM1673" s="23"/>
      <c r="AN1673" s="23">
        <v>49348</v>
      </c>
      <c r="AO1673" s="4" t="s">
        <v>100</v>
      </c>
    </row>
    <row r="1674" spans="38:41" x14ac:dyDescent="0.1">
      <c r="AL1674" s="13"/>
      <c r="AM1674" s="23"/>
      <c r="AN1674" s="23">
        <v>49378</v>
      </c>
      <c r="AO1674" s="4" t="s">
        <v>104</v>
      </c>
    </row>
    <row r="1675" spans="38:41" x14ac:dyDescent="0.1">
      <c r="AL1675" s="13"/>
      <c r="AM1675" s="23"/>
      <c r="AN1675" s="23">
        <v>49407</v>
      </c>
      <c r="AO1675" s="4" t="s">
        <v>105</v>
      </c>
    </row>
    <row r="1676" spans="38:41" x14ac:dyDescent="0.1">
      <c r="AL1676" s="13"/>
      <c r="AM1676" s="23"/>
      <c r="AN1676" s="23">
        <v>49437</v>
      </c>
      <c r="AO1676" s="4" t="s">
        <v>106</v>
      </c>
    </row>
    <row r="1677" spans="38:41" x14ac:dyDescent="0.1">
      <c r="AL1677" s="13"/>
      <c r="AM1677" s="23"/>
      <c r="AN1677" s="23">
        <v>49466</v>
      </c>
      <c r="AO1677" s="4" t="s">
        <v>107</v>
      </c>
    </row>
    <row r="1678" spans="38:41" x14ac:dyDescent="0.1">
      <c r="AL1678" s="13"/>
      <c r="AM1678" s="23"/>
      <c r="AN1678" s="23">
        <v>49495</v>
      </c>
      <c r="AO1678" s="4" t="s">
        <v>108</v>
      </c>
    </row>
    <row r="1679" spans="38:41" x14ac:dyDescent="0.1">
      <c r="AL1679" s="13"/>
      <c r="AM1679" s="23"/>
      <c r="AN1679" s="23">
        <v>49525</v>
      </c>
      <c r="AO1679" s="4" t="s">
        <v>109</v>
      </c>
    </row>
    <row r="1680" spans="38:41" x14ac:dyDescent="0.1">
      <c r="AL1680" s="13"/>
      <c r="AM1680" s="23"/>
      <c r="AN1680" s="23">
        <v>49554</v>
      </c>
      <c r="AO1680" s="4" t="s">
        <v>110</v>
      </c>
    </row>
    <row r="1681" spans="38:41" x14ac:dyDescent="0.1">
      <c r="AL1681" s="13"/>
      <c r="AM1681" s="23"/>
      <c r="AN1681" s="23">
        <v>49583</v>
      </c>
      <c r="AO1681" s="4" t="s">
        <v>111</v>
      </c>
    </row>
    <row r="1682" spans="38:41" x14ac:dyDescent="0.1">
      <c r="AL1682" s="13"/>
      <c r="AM1682" s="23"/>
      <c r="AN1682" s="23">
        <v>49613</v>
      </c>
      <c r="AO1682" s="4" t="s">
        <v>112</v>
      </c>
    </row>
    <row r="1683" spans="38:41" x14ac:dyDescent="0.1">
      <c r="AL1683" s="13"/>
      <c r="AM1683" s="23"/>
      <c r="AN1683" s="23">
        <v>49643</v>
      </c>
      <c r="AO1683" s="4" t="s">
        <v>379</v>
      </c>
    </row>
    <row r="1684" spans="38:41" x14ac:dyDescent="0.1">
      <c r="AM1684" s="23"/>
      <c r="AN1684" s="23">
        <v>49672</v>
      </c>
      <c r="AO1684" s="4" t="s">
        <v>113</v>
      </c>
    </row>
    <row r="1685" spans="38:41" x14ac:dyDescent="0.1">
      <c r="AM1685" s="23"/>
      <c r="AN1685" s="23">
        <v>49702</v>
      </c>
      <c r="AO1685" s="4" t="s">
        <v>100</v>
      </c>
    </row>
    <row r="1686" spans="38:41" x14ac:dyDescent="0.1">
      <c r="AM1686" s="23"/>
      <c r="AN1686" s="23">
        <v>49732</v>
      </c>
      <c r="AO1686" s="4" t="s">
        <v>104</v>
      </c>
    </row>
    <row r="1687" spans="38:41" x14ac:dyDescent="0.1">
      <c r="AM1687" s="23"/>
      <c r="AN1687" s="23">
        <v>49762</v>
      </c>
      <c r="AO1687" s="4" t="s">
        <v>105</v>
      </c>
    </row>
    <row r="1688" spans="38:41" x14ac:dyDescent="0.1">
      <c r="AM1688" s="23"/>
      <c r="AN1688" s="23">
        <v>49791</v>
      </c>
      <c r="AO1688" s="4" t="s">
        <v>106</v>
      </c>
    </row>
    <row r="1689" spans="38:41" x14ac:dyDescent="0.1">
      <c r="AM1689" s="23"/>
      <c r="AN1689" s="23">
        <v>49821</v>
      </c>
      <c r="AO1689" s="4" t="s">
        <v>107</v>
      </c>
    </row>
    <row r="1690" spans="38:41" x14ac:dyDescent="0.1">
      <c r="AM1690" s="23"/>
      <c r="AN1690" s="23">
        <v>49850</v>
      </c>
      <c r="AO1690" s="4" t="s">
        <v>108</v>
      </c>
    </row>
    <row r="1691" spans="38:41" x14ac:dyDescent="0.1">
      <c r="AM1691" s="23"/>
      <c r="AN1691" s="23">
        <v>49879</v>
      </c>
      <c r="AO1691" s="4" t="s">
        <v>145</v>
      </c>
    </row>
    <row r="1692" spans="38:41" x14ac:dyDescent="0.1">
      <c r="AM1692" s="23"/>
      <c r="AN1692" s="23">
        <v>49909</v>
      </c>
      <c r="AO1692" s="4" t="s">
        <v>109</v>
      </c>
    </row>
    <row r="1693" spans="38:41" x14ac:dyDescent="0.1">
      <c r="AM1693" s="23"/>
      <c r="AN1693" s="23">
        <v>49938</v>
      </c>
      <c r="AO1693" s="4" t="s">
        <v>110</v>
      </c>
    </row>
    <row r="1694" spans="38:41" x14ac:dyDescent="0.1">
      <c r="AM1694" s="23"/>
      <c r="AN1694" s="23">
        <v>49967</v>
      </c>
      <c r="AO1694" s="4" t="s">
        <v>111</v>
      </c>
    </row>
    <row r="1695" spans="38:41" x14ac:dyDescent="0.1">
      <c r="AM1695" s="23"/>
      <c r="AN1695" s="23">
        <v>49997</v>
      </c>
      <c r="AO1695" s="4" t="s">
        <v>112</v>
      </c>
    </row>
    <row r="1696" spans="38:41" x14ac:dyDescent="0.1">
      <c r="AM1696" s="23"/>
      <c r="AN1696" s="23">
        <v>50026</v>
      </c>
      <c r="AO1696" s="4" t="s">
        <v>379</v>
      </c>
    </row>
    <row r="1697" spans="39:41" x14ac:dyDescent="0.1">
      <c r="AM1697" s="23"/>
      <c r="AN1697" s="23">
        <v>50056</v>
      </c>
      <c r="AO1697" s="4" t="s">
        <v>113</v>
      </c>
    </row>
    <row r="1698" spans="39:41" x14ac:dyDescent="0.1">
      <c r="AM1698" s="23"/>
      <c r="AN1698" s="23">
        <v>50086</v>
      </c>
      <c r="AO1698" s="4" t="s">
        <v>100</v>
      </c>
    </row>
    <row r="1699" spans="39:41" x14ac:dyDescent="0.1">
      <c r="AM1699" s="23"/>
      <c r="AN1699" s="23">
        <v>50116</v>
      </c>
      <c r="AO1699" s="4" t="s">
        <v>104</v>
      </c>
    </row>
    <row r="1700" spans="39:41" x14ac:dyDescent="0.1">
      <c r="AM1700" s="23"/>
      <c r="AN1700" s="23">
        <v>50146</v>
      </c>
      <c r="AO1700" s="4" t="s">
        <v>105</v>
      </c>
    </row>
    <row r="1701" spans="39:41" x14ac:dyDescent="0.1">
      <c r="AM1701" s="23"/>
      <c r="AN1701" s="23">
        <v>50175</v>
      </c>
      <c r="AO1701" s="4" t="s">
        <v>106</v>
      </c>
    </row>
    <row r="1702" spans="39:41" x14ac:dyDescent="0.1">
      <c r="AM1702" s="23"/>
      <c r="AN1702" s="23">
        <v>50205</v>
      </c>
      <c r="AO1702" s="4" t="s">
        <v>107</v>
      </c>
    </row>
    <row r="1703" spans="39:41" x14ac:dyDescent="0.1">
      <c r="AM1703" s="23"/>
      <c r="AN1703" s="23">
        <v>50234</v>
      </c>
      <c r="AO1703" s="4" t="s">
        <v>108</v>
      </c>
    </row>
    <row r="1704" spans="39:41" x14ac:dyDescent="0.1">
      <c r="AM1704" s="23"/>
      <c r="AN1704" s="23">
        <v>50263</v>
      </c>
      <c r="AO1704" s="4" t="s">
        <v>109</v>
      </c>
    </row>
    <row r="1705" spans="39:41" x14ac:dyDescent="0.1">
      <c r="AM1705" s="23"/>
      <c r="AN1705" s="23">
        <v>50293</v>
      </c>
      <c r="AO1705" s="4" t="s">
        <v>110</v>
      </c>
    </row>
    <row r="1706" spans="39:41" x14ac:dyDescent="0.1">
      <c r="AM1706" s="23"/>
      <c r="AN1706" s="23">
        <v>50322</v>
      </c>
      <c r="AO1706" s="4" t="s">
        <v>111</v>
      </c>
    </row>
    <row r="1707" spans="39:41" x14ac:dyDescent="0.1">
      <c r="AM1707" s="23"/>
      <c r="AN1707" s="23">
        <v>50351</v>
      </c>
      <c r="AO1707" s="4" t="s">
        <v>112</v>
      </c>
    </row>
    <row r="1708" spans="39:41" x14ac:dyDescent="0.1">
      <c r="AM1708" s="23"/>
      <c r="AN1708" s="23">
        <v>50381</v>
      </c>
      <c r="AO1708" s="4" t="s">
        <v>379</v>
      </c>
    </row>
    <row r="1709" spans="39:41" x14ac:dyDescent="0.1">
      <c r="AM1709" s="23"/>
      <c r="AN1709" s="23">
        <v>50410</v>
      </c>
      <c r="AO1709" s="4" t="s">
        <v>113</v>
      </c>
    </row>
    <row r="1710" spans="39:41" x14ac:dyDescent="0.1">
      <c r="AM1710" s="23"/>
      <c r="AN1710" s="23">
        <v>50440</v>
      </c>
      <c r="AO1710" s="4" t="s">
        <v>100</v>
      </c>
    </row>
    <row r="1711" spans="39:41" x14ac:dyDescent="0.1">
      <c r="AM1711" s="23"/>
      <c r="AN1711" s="23">
        <v>50470</v>
      </c>
      <c r="AO1711" s="4" t="s">
        <v>104</v>
      </c>
    </row>
    <row r="1712" spans="39:41" x14ac:dyDescent="0.1">
      <c r="AM1712" s="23"/>
      <c r="AN1712" s="23">
        <v>50500</v>
      </c>
      <c r="AO1712" s="4" t="s">
        <v>105</v>
      </c>
    </row>
    <row r="1713" spans="39:41" x14ac:dyDescent="0.1">
      <c r="AM1713" s="23"/>
      <c r="AN1713" s="23">
        <v>50529</v>
      </c>
      <c r="AO1713" s="4" t="s">
        <v>106</v>
      </c>
    </row>
    <row r="1714" spans="39:41" x14ac:dyDescent="0.1">
      <c r="AM1714" s="23"/>
      <c r="AN1714" s="23">
        <v>50559</v>
      </c>
      <c r="AO1714" s="4" t="s">
        <v>107</v>
      </c>
    </row>
    <row r="1715" spans="39:41" x14ac:dyDescent="0.1">
      <c r="AM1715" s="23"/>
      <c r="AN1715" s="23">
        <v>50588</v>
      </c>
      <c r="AO1715" s="4" t="s">
        <v>108</v>
      </c>
    </row>
    <row r="1716" spans="39:41" x14ac:dyDescent="0.1">
      <c r="AM1716" s="23"/>
      <c r="AN1716" s="23">
        <v>50618</v>
      </c>
      <c r="AO1716" s="4" t="s">
        <v>109</v>
      </c>
    </row>
    <row r="1717" spans="39:41" x14ac:dyDescent="0.1">
      <c r="AM1717" s="23"/>
      <c r="AN1717" s="23">
        <v>50647</v>
      </c>
      <c r="AO1717" s="4" t="s">
        <v>110</v>
      </c>
    </row>
    <row r="1718" spans="39:41" x14ac:dyDescent="0.1">
      <c r="AM1718" s="23"/>
      <c r="AN1718" s="23">
        <v>50677</v>
      </c>
      <c r="AO1718" s="4" t="s">
        <v>111</v>
      </c>
    </row>
    <row r="1719" spans="39:41" x14ac:dyDescent="0.1">
      <c r="AM1719" s="23"/>
      <c r="AN1719" s="23">
        <v>50706</v>
      </c>
      <c r="AO1719" s="4" t="s">
        <v>112</v>
      </c>
    </row>
    <row r="1720" spans="39:41" x14ac:dyDescent="0.1">
      <c r="AM1720" s="23"/>
      <c r="AN1720" s="23">
        <v>50735</v>
      </c>
      <c r="AO1720" s="4" t="s">
        <v>379</v>
      </c>
    </row>
    <row r="1721" spans="39:41" x14ac:dyDescent="0.1">
      <c r="AM1721" s="23"/>
      <c r="AN1721" s="23">
        <v>50765</v>
      </c>
      <c r="AO1721" s="4" t="s">
        <v>113</v>
      </c>
    </row>
    <row r="1722" spans="39:41" x14ac:dyDescent="0.1">
      <c r="AM1722" s="23"/>
      <c r="AN1722" s="23">
        <v>50794</v>
      </c>
      <c r="AO1722" s="4" t="s">
        <v>100</v>
      </c>
    </row>
    <row r="1723" spans="39:41" x14ac:dyDescent="0.1">
      <c r="AM1723" s="23"/>
      <c r="AN1723" s="23">
        <v>50824</v>
      </c>
      <c r="AO1723" s="4" t="s">
        <v>104</v>
      </c>
    </row>
    <row r="1724" spans="39:41" x14ac:dyDescent="0.1">
      <c r="AM1724" s="23"/>
      <c r="AN1724" s="23">
        <v>50854</v>
      </c>
      <c r="AO1724" s="4" t="s">
        <v>105</v>
      </c>
    </row>
    <row r="1725" spans="39:41" x14ac:dyDescent="0.1">
      <c r="AM1725" s="23"/>
      <c r="AN1725" s="23">
        <v>50883</v>
      </c>
      <c r="AO1725" s="4" t="s">
        <v>106</v>
      </c>
    </row>
    <row r="1726" spans="39:41" x14ac:dyDescent="0.1">
      <c r="AM1726" s="23"/>
      <c r="AN1726" s="23">
        <v>50913</v>
      </c>
      <c r="AO1726" s="4" t="s">
        <v>107</v>
      </c>
    </row>
    <row r="1727" spans="39:41" x14ac:dyDescent="0.1">
      <c r="AM1727" s="23"/>
      <c r="AN1727" s="23">
        <v>50943</v>
      </c>
      <c r="AO1727" s="4" t="s">
        <v>142</v>
      </c>
    </row>
    <row r="1728" spans="39:41" x14ac:dyDescent="0.1">
      <c r="AM1728" s="23"/>
      <c r="AN1728" s="23">
        <v>50972</v>
      </c>
      <c r="AO1728" s="4" t="s">
        <v>108</v>
      </c>
    </row>
    <row r="1729" spans="39:41" x14ac:dyDescent="0.1">
      <c r="AM1729" s="23"/>
      <c r="AN1729" s="23">
        <v>51002</v>
      </c>
      <c r="AO1729" s="4" t="s">
        <v>109</v>
      </c>
    </row>
    <row r="1730" spans="39:41" x14ac:dyDescent="0.1">
      <c r="AM1730" s="23"/>
      <c r="AN1730" s="23">
        <v>51031</v>
      </c>
      <c r="AO1730" s="4" t="s">
        <v>110</v>
      </c>
    </row>
    <row r="1731" spans="39:41" x14ac:dyDescent="0.1">
      <c r="AM1731" s="23"/>
      <c r="AN1731" s="23">
        <v>51061</v>
      </c>
      <c r="AO1731" s="4" t="s">
        <v>111</v>
      </c>
    </row>
    <row r="1732" spans="39:41" x14ac:dyDescent="0.1">
      <c r="AM1732" s="23"/>
      <c r="AN1732" s="23">
        <v>51090</v>
      </c>
      <c r="AO1732" s="4" t="s">
        <v>112</v>
      </c>
    </row>
    <row r="1733" spans="39:41" x14ac:dyDescent="0.1">
      <c r="AM1733" s="23"/>
      <c r="AN1733" s="23">
        <v>51120</v>
      </c>
      <c r="AO1733" s="4" t="s">
        <v>379</v>
      </c>
    </row>
    <row r="1734" spans="39:41" x14ac:dyDescent="0.1">
      <c r="AM1734" s="23"/>
      <c r="AN1734" s="23">
        <v>51149</v>
      </c>
      <c r="AO1734" s="4" t="s">
        <v>113</v>
      </c>
    </row>
    <row r="1735" spans="39:41" x14ac:dyDescent="0.1">
      <c r="AM1735" s="23"/>
      <c r="AN1735" s="23">
        <v>51178</v>
      </c>
      <c r="AO1735" s="4" t="s">
        <v>100</v>
      </c>
    </row>
    <row r="1736" spans="39:41" x14ac:dyDescent="0.1">
      <c r="AM1736" s="23"/>
      <c r="AN1736" s="23">
        <v>51208</v>
      </c>
      <c r="AO1736" s="4" t="s">
        <v>104</v>
      </c>
    </row>
    <row r="1737" spans="39:41" x14ac:dyDescent="0.1">
      <c r="AM1737" s="23"/>
      <c r="AN1737" s="23">
        <v>51237</v>
      </c>
      <c r="AO1737" s="4" t="s">
        <v>105</v>
      </c>
    </row>
    <row r="1738" spans="39:41" x14ac:dyDescent="0.1">
      <c r="AM1738" s="23"/>
      <c r="AN1738" s="23">
        <v>51267</v>
      </c>
      <c r="AO1738" s="4" t="s">
        <v>106</v>
      </c>
    </row>
    <row r="1739" spans="39:41" x14ac:dyDescent="0.1">
      <c r="AM1739" s="23"/>
      <c r="AN1739" s="23">
        <v>51297</v>
      </c>
      <c r="AO1739" s="4" t="s">
        <v>107</v>
      </c>
    </row>
    <row r="1740" spans="39:41" x14ac:dyDescent="0.1">
      <c r="AM1740" s="23"/>
      <c r="AN1740" s="23">
        <v>51326</v>
      </c>
      <c r="AO1740" s="4" t="s">
        <v>108</v>
      </c>
    </row>
    <row r="1741" spans="39:41" x14ac:dyDescent="0.1">
      <c r="AM1741" s="23"/>
      <c r="AN1741" s="23">
        <v>51356</v>
      </c>
      <c r="AO1741" s="4" t="s">
        <v>109</v>
      </c>
    </row>
    <row r="1742" spans="39:41" x14ac:dyDescent="0.1">
      <c r="AM1742" s="23"/>
      <c r="AN1742" s="23">
        <v>51385</v>
      </c>
      <c r="AO1742" s="4" t="s">
        <v>110</v>
      </c>
    </row>
    <row r="1743" spans="39:41" x14ac:dyDescent="0.1">
      <c r="AM1743" s="23"/>
      <c r="AN1743" s="23">
        <v>51415</v>
      </c>
      <c r="AO1743" s="4" t="s">
        <v>111</v>
      </c>
    </row>
    <row r="1744" spans="39:41" x14ac:dyDescent="0.1">
      <c r="AM1744" s="23"/>
      <c r="AN1744" s="23">
        <v>51445</v>
      </c>
      <c r="AO1744" s="4" t="s">
        <v>112</v>
      </c>
    </row>
    <row r="1745" spans="39:41" x14ac:dyDescent="0.1">
      <c r="AM1745" s="23"/>
      <c r="AN1745" s="23">
        <v>51474</v>
      </c>
      <c r="AO1745" s="4" t="s">
        <v>379</v>
      </c>
    </row>
    <row r="1746" spans="39:41" x14ac:dyDescent="0.1">
      <c r="AM1746" s="23"/>
      <c r="AN1746" s="23">
        <v>51504</v>
      </c>
      <c r="AO1746" s="4" t="s">
        <v>113</v>
      </c>
    </row>
    <row r="1747" spans="39:41" x14ac:dyDescent="0.1">
      <c r="AM1747" s="23"/>
      <c r="AN1747" s="23">
        <v>51533</v>
      </c>
      <c r="AO1747" s="4" t="s">
        <v>100</v>
      </c>
    </row>
    <row r="1748" spans="39:41" x14ac:dyDescent="0.1">
      <c r="AM1748" s="23"/>
      <c r="AN1748" s="23">
        <v>51562</v>
      </c>
      <c r="AO1748" s="4" t="s">
        <v>104</v>
      </c>
    </row>
    <row r="1749" spans="39:41" x14ac:dyDescent="0.1">
      <c r="AM1749" s="23"/>
      <c r="AN1749" s="23">
        <v>51592</v>
      </c>
      <c r="AO1749" s="4" t="s">
        <v>105</v>
      </c>
    </row>
    <row r="1750" spans="39:41" x14ac:dyDescent="0.1">
      <c r="AM1750" s="23"/>
      <c r="AN1750" s="23">
        <v>51621</v>
      </c>
      <c r="AO1750" s="4" t="s">
        <v>106</v>
      </c>
    </row>
    <row r="1751" spans="39:41" x14ac:dyDescent="0.1">
      <c r="AM1751" s="23"/>
      <c r="AN1751" s="23">
        <v>51651</v>
      </c>
      <c r="AO1751" s="4" t="s">
        <v>107</v>
      </c>
    </row>
    <row r="1752" spans="39:41" x14ac:dyDescent="0.1">
      <c r="AM1752" s="23"/>
      <c r="AN1752" s="23">
        <v>51680</v>
      </c>
      <c r="AO1752" s="4" t="s">
        <v>108</v>
      </c>
    </row>
    <row r="1753" spans="39:41" x14ac:dyDescent="0.1">
      <c r="AM1753" s="23"/>
      <c r="AN1753" s="23">
        <v>51710</v>
      </c>
      <c r="AO1753" s="4" t="s">
        <v>109</v>
      </c>
    </row>
    <row r="1754" spans="39:41" x14ac:dyDescent="0.1">
      <c r="AM1754" s="23"/>
      <c r="AN1754" s="23">
        <v>51740</v>
      </c>
      <c r="AO1754" s="4" t="s">
        <v>110</v>
      </c>
    </row>
    <row r="1755" spans="39:41" x14ac:dyDescent="0.1">
      <c r="AM1755" s="23"/>
      <c r="AN1755" s="23">
        <v>51769</v>
      </c>
      <c r="AO1755" s="4" t="s">
        <v>111</v>
      </c>
    </row>
    <row r="1756" spans="39:41" x14ac:dyDescent="0.1">
      <c r="AM1756" s="23"/>
      <c r="AN1756" s="23">
        <v>51799</v>
      </c>
      <c r="AO1756" s="4" t="s">
        <v>112</v>
      </c>
    </row>
    <row r="1757" spans="39:41" x14ac:dyDescent="0.1">
      <c r="AM1757" s="23"/>
      <c r="AN1757" s="23">
        <v>51829</v>
      </c>
      <c r="AO1757" s="4" t="s">
        <v>379</v>
      </c>
    </row>
    <row r="1758" spans="39:41" x14ac:dyDescent="0.1">
      <c r="AM1758" s="23"/>
      <c r="AN1758" s="23">
        <v>51858</v>
      </c>
      <c r="AO1758" s="4" t="s">
        <v>113</v>
      </c>
    </row>
    <row r="1759" spans="39:41" x14ac:dyDescent="0.1">
      <c r="AM1759" s="23"/>
      <c r="AN1759" s="23">
        <v>51888</v>
      </c>
      <c r="AO1759" s="4" t="s">
        <v>100</v>
      </c>
    </row>
    <row r="1760" spans="39:41" x14ac:dyDescent="0.1">
      <c r="AM1760" s="23"/>
      <c r="AN1760" s="23">
        <v>51917</v>
      </c>
      <c r="AO1760" s="4" t="s">
        <v>104</v>
      </c>
    </row>
    <row r="1761" spans="39:41" x14ac:dyDescent="0.1">
      <c r="AM1761" s="23"/>
      <c r="AN1761" s="23">
        <v>51947</v>
      </c>
      <c r="AO1761" s="4" t="s">
        <v>144</v>
      </c>
    </row>
    <row r="1762" spans="39:41" x14ac:dyDescent="0.1">
      <c r="AM1762" s="23"/>
      <c r="AN1762" s="23">
        <v>51976</v>
      </c>
      <c r="AO1762" s="4" t="s">
        <v>105</v>
      </c>
    </row>
    <row r="1763" spans="39:41" x14ac:dyDescent="0.1">
      <c r="AM1763" s="23"/>
      <c r="AN1763" s="23">
        <v>52005</v>
      </c>
      <c r="AO1763" s="4" t="s">
        <v>106</v>
      </c>
    </row>
    <row r="1764" spans="39:41" x14ac:dyDescent="0.1">
      <c r="AM1764" s="23"/>
      <c r="AN1764" s="23">
        <v>52035</v>
      </c>
      <c r="AO1764" s="4" t="s">
        <v>107</v>
      </c>
    </row>
    <row r="1765" spans="39:41" x14ac:dyDescent="0.1">
      <c r="AM1765" s="23"/>
      <c r="AN1765" s="23">
        <v>52064</v>
      </c>
      <c r="AO1765" s="4" t="s">
        <v>108</v>
      </c>
    </row>
    <row r="1766" spans="39:41" x14ac:dyDescent="0.1">
      <c r="AM1766" s="23"/>
      <c r="AN1766" s="23">
        <v>52094</v>
      </c>
      <c r="AO1766" s="4" t="s">
        <v>109</v>
      </c>
    </row>
    <row r="1767" spans="39:41" x14ac:dyDescent="0.1">
      <c r="AM1767" s="23"/>
      <c r="AN1767" s="23">
        <v>52123</v>
      </c>
      <c r="AO1767" s="4" t="s">
        <v>110</v>
      </c>
    </row>
    <row r="1768" spans="39:41" x14ac:dyDescent="0.1">
      <c r="AM1768" s="23"/>
      <c r="AN1768" s="23">
        <v>52153</v>
      </c>
      <c r="AO1768" s="4" t="s">
        <v>111</v>
      </c>
    </row>
    <row r="1769" spans="39:41" x14ac:dyDescent="0.1">
      <c r="AM1769" s="23"/>
      <c r="AN1769" s="23">
        <v>52183</v>
      </c>
      <c r="AO1769" s="4" t="s">
        <v>112</v>
      </c>
    </row>
    <row r="1770" spans="39:41" x14ac:dyDescent="0.1">
      <c r="AM1770" s="23"/>
      <c r="AN1770" s="23">
        <v>52212</v>
      </c>
      <c r="AO1770" s="4" t="s">
        <v>379</v>
      </c>
    </row>
    <row r="1771" spans="39:41" x14ac:dyDescent="0.1">
      <c r="AM1771" s="23"/>
      <c r="AN1771" s="23">
        <v>52242</v>
      </c>
      <c r="AO1771" s="4" t="s">
        <v>113</v>
      </c>
    </row>
    <row r="1772" spans="39:41" x14ac:dyDescent="0.1">
      <c r="AM1772" s="23"/>
      <c r="AN1772" s="23">
        <v>52272</v>
      </c>
      <c r="AO1772" s="4" t="s">
        <v>100</v>
      </c>
    </row>
    <row r="1773" spans="39:41" x14ac:dyDescent="0.1">
      <c r="AM1773" s="23"/>
      <c r="AN1773" s="23">
        <v>52301</v>
      </c>
      <c r="AO1773" s="4" t="s">
        <v>104</v>
      </c>
    </row>
    <row r="1774" spans="39:41" x14ac:dyDescent="0.1">
      <c r="AM1774" s="23"/>
      <c r="AN1774" s="23">
        <v>52331</v>
      </c>
      <c r="AO1774" s="4" t="s">
        <v>105</v>
      </c>
    </row>
    <row r="1775" spans="39:41" x14ac:dyDescent="0.1">
      <c r="AM1775" s="23"/>
      <c r="AN1775" s="23">
        <v>52360</v>
      </c>
      <c r="AO1775" s="4" t="s">
        <v>106</v>
      </c>
    </row>
    <row r="1776" spans="39:41" x14ac:dyDescent="0.1">
      <c r="AM1776" s="23"/>
      <c r="AN1776" s="23">
        <v>52389</v>
      </c>
      <c r="AO1776" s="4" t="s">
        <v>107</v>
      </c>
    </row>
    <row r="1777" spans="39:41" x14ac:dyDescent="0.1">
      <c r="AM1777" s="23"/>
      <c r="AN1777" s="23">
        <v>52419</v>
      </c>
      <c r="AO1777" s="4" t="s">
        <v>108</v>
      </c>
    </row>
    <row r="1778" spans="39:41" x14ac:dyDescent="0.1">
      <c r="AM1778" s="23"/>
      <c r="AN1778" s="23">
        <v>52448</v>
      </c>
      <c r="AO1778" s="4" t="s">
        <v>109</v>
      </c>
    </row>
    <row r="1779" spans="39:41" x14ac:dyDescent="0.1">
      <c r="AM1779" s="23"/>
      <c r="AN1779" s="23">
        <v>52477</v>
      </c>
      <c r="AO1779" s="4" t="s">
        <v>110</v>
      </c>
    </row>
    <row r="1780" spans="39:41" x14ac:dyDescent="0.1">
      <c r="AM1780" s="23"/>
      <c r="AN1780" s="23">
        <v>52507</v>
      </c>
      <c r="AO1780" s="4" t="s">
        <v>111</v>
      </c>
    </row>
    <row r="1781" spans="39:41" x14ac:dyDescent="0.1">
      <c r="AM1781" s="23"/>
      <c r="AN1781" s="23">
        <v>52537</v>
      </c>
      <c r="AO1781" s="4" t="s">
        <v>112</v>
      </c>
    </row>
    <row r="1782" spans="39:41" x14ac:dyDescent="0.1">
      <c r="AM1782" s="23"/>
      <c r="AN1782" s="23">
        <v>52566</v>
      </c>
      <c r="AO1782" s="4" t="s">
        <v>379</v>
      </c>
    </row>
    <row r="1783" spans="39:41" x14ac:dyDescent="0.1">
      <c r="AM1783" s="23"/>
      <c r="AN1783" s="23">
        <v>52596</v>
      </c>
      <c r="AO1783" s="4" t="s">
        <v>113</v>
      </c>
    </row>
    <row r="1784" spans="39:41" x14ac:dyDescent="0.1">
      <c r="AM1784" s="23"/>
      <c r="AN1784" s="23">
        <v>52626</v>
      </c>
      <c r="AO1784" s="4" t="s">
        <v>100</v>
      </c>
    </row>
    <row r="1785" spans="39:41" x14ac:dyDescent="0.1">
      <c r="AM1785" s="23"/>
      <c r="AN1785" s="23">
        <v>52656</v>
      </c>
      <c r="AO1785" s="4" t="s">
        <v>104</v>
      </c>
    </row>
    <row r="1786" spans="39:41" x14ac:dyDescent="0.1">
      <c r="AM1786" s="23"/>
      <c r="AN1786" s="23">
        <v>52685</v>
      </c>
      <c r="AO1786" s="4" t="s">
        <v>105</v>
      </c>
    </row>
    <row r="1787" spans="39:41" x14ac:dyDescent="0.1">
      <c r="AM1787" s="23"/>
      <c r="AN1787" s="23">
        <v>52715</v>
      </c>
      <c r="AO1787" s="4" t="s">
        <v>106</v>
      </c>
    </row>
    <row r="1788" spans="39:41" x14ac:dyDescent="0.1">
      <c r="AM1788" s="23"/>
      <c r="AN1788" s="23">
        <v>52744</v>
      </c>
      <c r="AO1788" s="4" t="s">
        <v>107</v>
      </c>
    </row>
    <row r="1789" spans="39:41" x14ac:dyDescent="0.1">
      <c r="AM1789" s="23"/>
      <c r="AN1789" s="23">
        <v>52773</v>
      </c>
      <c r="AO1789" s="4" t="s">
        <v>108</v>
      </c>
    </row>
    <row r="1790" spans="39:41" x14ac:dyDescent="0.1">
      <c r="AM1790" s="23"/>
      <c r="AN1790" s="23">
        <v>52803</v>
      </c>
      <c r="AO1790" s="4" t="s">
        <v>408</v>
      </c>
    </row>
    <row r="1791" spans="39:41" x14ac:dyDescent="0.1">
      <c r="AM1791" s="23"/>
      <c r="AN1791" s="23">
        <v>52832</v>
      </c>
      <c r="AO1791" s="4" t="s">
        <v>146</v>
      </c>
    </row>
    <row r="1792" spans="39:41" x14ac:dyDescent="0.1">
      <c r="AM1792" s="23"/>
      <c r="AN1792" s="23">
        <v>52861</v>
      </c>
      <c r="AO1792" s="4" t="s">
        <v>110</v>
      </c>
    </row>
    <row r="1793" spans="39:41" x14ac:dyDescent="0.1">
      <c r="AM1793" s="23"/>
      <c r="AN1793" s="23">
        <v>52891</v>
      </c>
      <c r="AO1793" s="4" t="s">
        <v>111</v>
      </c>
    </row>
    <row r="1794" spans="39:41" x14ac:dyDescent="0.1">
      <c r="AM1794" s="23"/>
      <c r="AN1794" s="23">
        <v>52920</v>
      </c>
      <c r="AO1794" s="4" t="s">
        <v>112</v>
      </c>
    </row>
    <row r="1795" spans="39:41" x14ac:dyDescent="0.1">
      <c r="AM1795" s="23"/>
      <c r="AN1795" s="23">
        <v>52950</v>
      </c>
      <c r="AO1795" s="4" t="s">
        <v>379</v>
      </c>
    </row>
    <row r="1796" spans="39:41" x14ac:dyDescent="0.1">
      <c r="AM1796" s="23"/>
      <c r="AN1796" s="23">
        <v>52980</v>
      </c>
      <c r="AO1796" s="4" t="s">
        <v>113</v>
      </c>
    </row>
    <row r="1797" spans="39:41" x14ac:dyDescent="0.1">
      <c r="AM1797" s="23"/>
      <c r="AN1797" s="23">
        <v>53010</v>
      </c>
      <c r="AO1797" s="4" t="s">
        <v>100</v>
      </c>
    </row>
    <row r="1798" spans="39:41" x14ac:dyDescent="0.1">
      <c r="AM1798" s="23"/>
      <c r="AN1798" s="23">
        <v>53040</v>
      </c>
      <c r="AO1798" s="4" t="s">
        <v>104</v>
      </c>
    </row>
    <row r="1799" spans="39:41" x14ac:dyDescent="0.1">
      <c r="AM1799" s="23"/>
      <c r="AN1799" s="23">
        <v>53069</v>
      </c>
      <c r="AO1799" s="4" t="s">
        <v>105</v>
      </c>
    </row>
    <row r="1800" spans="39:41" x14ac:dyDescent="0.1">
      <c r="AM1800" s="23"/>
      <c r="AN1800" s="23">
        <v>53099</v>
      </c>
      <c r="AO1800" s="4" t="s">
        <v>106</v>
      </c>
    </row>
    <row r="1801" spans="39:41" x14ac:dyDescent="0.1">
      <c r="AM1801" s="23"/>
      <c r="AN1801" s="23">
        <v>53128</v>
      </c>
      <c r="AO1801" s="4" t="s">
        <v>107</v>
      </c>
    </row>
    <row r="1802" spans="39:41" x14ac:dyDescent="0.1">
      <c r="AM1802" s="23"/>
      <c r="AN1802" s="23">
        <v>53157</v>
      </c>
      <c r="AO1802" s="4" t="s">
        <v>108</v>
      </c>
    </row>
    <row r="1803" spans="39:41" x14ac:dyDescent="0.1">
      <c r="AM1803" s="23"/>
      <c r="AN1803" s="23">
        <v>53187</v>
      </c>
      <c r="AO1803" s="4" t="s">
        <v>109</v>
      </c>
    </row>
    <row r="1804" spans="39:41" x14ac:dyDescent="0.1">
      <c r="AM1804" s="23"/>
      <c r="AN1804" s="23">
        <v>53216</v>
      </c>
      <c r="AO1804" s="4" t="s">
        <v>110</v>
      </c>
    </row>
    <row r="1805" spans="39:41" x14ac:dyDescent="0.1">
      <c r="AM1805" s="23"/>
      <c r="AN1805" s="23">
        <v>53245</v>
      </c>
      <c r="AO1805" s="4" t="s">
        <v>111</v>
      </c>
    </row>
    <row r="1806" spans="39:41" x14ac:dyDescent="0.1">
      <c r="AM1806" s="23"/>
      <c r="AN1806" s="23">
        <v>53275</v>
      </c>
      <c r="AO1806" s="4" t="s">
        <v>112</v>
      </c>
    </row>
    <row r="1807" spans="39:41" x14ac:dyDescent="0.1">
      <c r="AM1807" s="23"/>
      <c r="AN1807" s="23">
        <v>53304</v>
      </c>
      <c r="AO1807" s="4" t="s">
        <v>379</v>
      </c>
    </row>
    <row r="1808" spans="39:41" x14ac:dyDescent="0.1">
      <c r="AM1808" s="23"/>
      <c r="AN1808" s="23">
        <v>53334</v>
      </c>
      <c r="AO1808" s="4" t="s">
        <v>113</v>
      </c>
    </row>
    <row r="1809" spans="39:41" x14ac:dyDescent="0.1">
      <c r="AM1809" s="23"/>
      <c r="AN1809" s="23">
        <v>53364</v>
      </c>
      <c r="AO1809" s="4" t="s">
        <v>100</v>
      </c>
    </row>
    <row r="1810" spans="39:41" x14ac:dyDescent="0.1">
      <c r="AM1810" s="23"/>
      <c r="AN1810" s="23">
        <v>53394</v>
      </c>
      <c r="AO1810" s="4" t="s">
        <v>104</v>
      </c>
    </row>
    <row r="1811" spans="39:41" x14ac:dyDescent="0.1">
      <c r="AM1811" s="23"/>
      <c r="AN1811" s="23">
        <v>53423</v>
      </c>
      <c r="AO1811" s="4" t="s">
        <v>105</v>
      </c>
    </row>
    <row r="1812" spans="39:41" x14ac:dyDescent="0.1">
      <c r="AM1812" s="23"/>
      <c r="AN1812" s="23">
        <v>53453</v>
      </c>
      <c r="AO1812" s="4" t="s">
        <v>106</v>
      </c>
    </row>
    <row r="1813" spans="39:41" x14ac:dyDescent="0.1">
      <c r="AM1813" s="23"/>
      <c r="AN1813" s="23">
        <v>53482</v>
      </c>
      <c r="AO1813" s="4" t="s">
        <v>107</v>
      </c>
    </row>
    <row r="1814" spans="39:41" x14ac:dyDescent="0.1">
      <c r="AM1814" s="23"/>
      <c r="AN1814" s="23">
        <v>53512</v>
      </c>
      <c r="AO1814" s="4" t="s">
        <v>108</v>
      </c>
    </row>
    <row r="1815" spans="39:41" x14ac:dyDescent="0.1">
      <c r="AM1815" s="23"/>
      <c r="AN1815" s="23">
        <v>53541</v>
      </c>
      <c r="AO1815" s="4" t="s">
        <v>109</v>
      </c>
    </row>
    <row r="1816" spans="39:41" x14ac:dyDescent="0.1">
      <c r="AM1816" s="23"/>
      <c r="AN1816" s="23">
        <v>53571</v>
      </c>
      <c r="AO1816" s="4" t="s">
        <v>110</v>
      </c>
    </row>
    <row r="1817" spans="39:41" x14ac:dyDescent="0.1">
      <c r="AM1817" s="23"/>
      <c r="AN1817" s="23">
        <v>53600</v>
      </c>
      <c r="AO1817" s="4" t="s">
        <v>111</v>
      </c>
    </row>
    <row r="1818" spans="39:41" x14ac:dyDescent="0.1">
      <c r="AM1818" s="23"/>
      <c r="AN1818" s="23">
        <v>53629</v>
      </c>
      <c r="AO1818" s="4" t="s">
        <v>112</v>
      </c>
    </row>
    <row r="1819" spans="39:41" x14ac:dyDescent="0.1">
      <c r="AM1819" s="23"/>
      <c r="AN1819" s="23">
        <v>53659</v>
      </c>
      <c r="AO1819" s="4" t="s">
        <v>379</v>
      </c>
    </row>
    <row r="1820" spans="39:41" x14ac:dyDescent="0.1">
      <c r="AM1820" s="23"/>
      <c r="AN1820" s="23">
        <v>53688</v>
      </c>
      <c r="AO1820" s="4" t="s">
        <v>113</v>
      </c>
    </row>
    <row r="1821" spans="39:41" x14ac:dyDescent="0.1">
      <c r="AM1821" s="23"/>
      <c r="AN1821" s="23">
        <v>53718</v>
      </c>
      <c r="AO1821" s="4" t="s">
        <v>100</v>
      </c>
    </row>
    <row r="1822" spans="39:41" x14ac:dyDescent="0.1">
      <c r="AM1822" s="23"/>
      <c r="AN1822" s="23">
        <v>53748</v>
      </c>
      <c r="AO1822" s="4" t="s">
        <v>104</v>
      </c>
    </row>
    <row r="1823" spans="39:41" x14ac:dyDescent="0.1">
      <c r="AM1823" s="23"/>
      <c r="AN1823" s="23">
        <v>53777</v>
      </c>
      <c r="AO1823" s="4" t="s">
        <v>105</v>
      </c>
    </row>
    <row r="1824" spans="39:41" x14ac:dyDescent="0.1">
      <c r="AM1824" s="23"/>
      <c r="AN1824" s="23">
        <v>53807</v>
      </c>
      <c r="AO1824" s="4" t="s">
        <v>106</v>
      </c>
    </row>
    <row r="1825" spans="39:41" x14ac:dyDescent="0.1">
      <c r="AM1825" s="23"/>
      <c r="AN1825" s="23">
        <v>53837</v>
      </c>
      <c r="AO1825" s="4" t="s">
        <v>107</v>
      </c>
    </row>
    <row r="1826" spans="39:41" x14ac:dyDescent="0.1">
      <c r="AM1826" s="23"/>
      <c r="AN1826" s="23">
        <v>53866</v>
      </c>
      <c r="AO1826" s="4" t="s">
        <v>142</v>
      </c>
    </row>
    <row r="1827" spans="39:41" x14ac:dyDescent="0.1">
      <c r="AM1827" s="23"/>
      <c r="AN1827" s="23">
        <v>53896</v>
      </c>
      <c r="AO1827" s="4" t="s">
        <v>108</v>
      </c>
    </row>
    <row r="1828" spans="39:41" x14ac:dyDescent="0.1">
      <c r="AM1828" s="23"/>
      <c r="AN1828" s="23">
        <v>53925</v>
      </c>
      <c r="AO1828" s="4" t="s">
        <v>109</v>
      </c>
    </row>
    <row r="1829" spans="39:41" x14ac:dyDescent="0.1">
      <c r="AM1829" s="23"/>
      <c r="AN1829" s="23">
        <v>53955</v>
      </c>
      <c r="AO1829" s="4" t="s">
        <v>110</v>
      </c>
    </row>
    <row r="1830" spans="39:41" x14ac:dyDescent="0.1">
      <c r="AM1830" s="23"/>
      <c r="AN1830" s="23">
        <v>53984</v>
      </c>
      <c r="AO1830" s="4" t="s">
        <v>111</v>
      </c>
    </row>
    <row r="1831" spans="39:41" x14ac:dyDescent="0.1">
      <c r="AM1831" s="23"/>
      <c r="AN1831" s="23">
        <v>54013</v>
      </c>
      <c r="AO1831" s="4" t="s">
        <v>112</v>
      </c>
    </row>
    <row r="1832" spans="39:41" x14ac:dyDescent="0.1">
      <c r="AM1832" s="23"/>
      <c r="AN1832" s="23">
        <v>54043</v>
      </c>
      <c r="AO1832" s="4" t="s">
        <v>379</v>
      </c>
    </row>
    <row r="1833" spans="39:41" x14ac:dyDescent="0.1">
      <c r="AM1833" s="23"/>
      <c r="AN1833" s="23">
        <v>54072</v>
      </c>
      <c r="AO1833" s="4" t="s">
        <v>113</v>
      </c>
    </row>
    <row r="1834" spans="39:41" x14ac:dyDescent="0.1">
      <c r="AM1834" s="23"/>
      <c r="AN1834" s="23">
        <v>54102</v>
      </c>
      <c r="AO1834" s="4" t="s">
        <v>100</v>
      </c>
    </row>
    <row r="1835" spans="39:41" x14ac:dyDescent="0.1">
      <c r="AM1835" s="23"/>
      <c r="AN1835" s="23">
        <v>54131</v>
      </c>
      <c r="AO1835" s="4" t="s">
        <v>104</v>
      </c>
    </row>
    <row r="1836" spans="39:41" x14ac:dyDescent="0.1">
      <c r="AM1836" s="23"/>
      <c r="AN1836" s="23">
        <v>54161</v>
      </c>
      <c r="AO1836" s="4" t="s">
        <v>105</v>
      </c>
    </row>
    <row r="1837" spans="39:41" x14ac:dyDescent="0.1">
      <c r="AM1837" s="23"/>
      <c r="AN1837" s="23">
        <v>54191</v>
      </c>
      <c r="AO1837" s="4" t="s">
        <v>106</v>
      </c>
    </row>
    <row r="1838" spans="39:41" x14ac:dyDescent="0.1">
      <c r="AM1838" s="23"/>
      <c r="AN1838" s="23">
        <v>54220</v>
      </c>
      <c r="AO1838" s="4" t="s">
        <v>107</v>
      </c>
    </row>
    <row r="1839" spans="39:41" x14ac:dyDescent="0.1">
      <c r="AM1839" s="23"/>
      <c r="AN1839" s="23">
        <v>54250</v>
      </c>
      <c r="AO1839" s="4" t="s">
        <v>108</v>
      </c>
    </row>
    <row r="1840" spans="39:41" x14ac:dyDescent="0.1">
      <c r="AM1840" s="23"/>
      <c r="AN1840" s="23">
        <v>54280</v>
      </c>
      <c r="AO1840" s="4" t="s">
        <v>109</v>
      </c>
    </row>
    <row r="1841" spans="39:41" x14ac:dyDescent="0.1">
      <c r="AM1841" s="23"/>
      <c r="AN1841" s="23">
        <v>54309</v>
      </c>
      <c r="AO1841" s="4" t="s">
        <v>110</v>
      </c>
    </row>
    <row r="1842" spans="39:41" x14ac:dyDescent="0.1">
      <c r="AM1842" s="23"/>
      <c r="AN1842" s="23">
        <v>54339</v>
      </c>
      <c r="AO1842" s="4" t="s">
        <v>111</v>
      </c>
    </row>
    <row r="1843" spans="39:41" x14ac:dyDescent="0.1">
      <c r="AM1843" s="23"/>
      <c r="AN1843" s="23">
        <v>54368</v>
      </c>
      <c r="AO1843" s="4" t="s">
        <v>112</v>
      </c>
    </row>
    <row r="1844" spans="39:41" x14ac:dyDescent="0.1">
      <c r="AM1844" s="23"/>
      <c r="AN1844" s="23">
        <v>54397</v>
      </c>
      <c r="AO1844" s="4" t="s">
        <v>379</v>
      </c>
    </row>
    <row r="1845" spans="39:41" x14ac:dyDescent="0.1">
      <c r="AM1845" s="23"/>
      <c r="AN1845" s="23">
        <v>54427</v>
      </c>
      <c r="AO1845" s="4" t="s">
        <v>113</v>
      </c>
    </row>
    <row r="1846" spans="39:41" x14ac:dyDescent="0.1">
      <c r="AM1846" s="23"/>
      <c r="AN1846" s="23">
        <v>54456</v>
      </c>
      <c r="AO1846" s="4" t="s">
        <v>100</v>
      </c>
    </row>
    <row r="1847" spans="39:41" x14ac:dyDescent="0.1">
      <c r="AM1847" s="23"/>
      <c r="AN1847" s="23">
        <v>54486</v>
      </c>
      <c r="AO1847" s="4" t="s">
        <v>104</v>
      </c>
    </row>
    <row r="1848" spans="39:41" x14ac:dyDescent="0.1">
      <c r="AM1848" s="23"/>
      <c r="AN1848" s="23">
        <v>54515</v>
      </c>
      <c r="AO1848" s="4" t="s">
        <v>105</v>
      </c>
    </row>
    <row r="1849" spans="39:41" x14ac:dyDescent="0.1">
      <c r="AM1849" s="23"/>
      <c r="AN1849" s="23">
        <v>54545</v>
      </c>
      <c r="AO1849" s="4" t="s">
        <v>106</v>
      </c>
    </row>
    <row r="1850" spans="39:41" x14ac:dyDescent="0.1">
      <c r="AM1850" s="23"/>
      <c r="AN1850" s="23">
        <v>54574</v>
      </c>
      <c r="AO1850" s="4" t="s">
        <v>107</v>
      </c>
    </row>
    <row r="1851" spans="39:41" x14ac:dyDescent="0.1">
      <c r="AM1851" s="23"/>
      <c r="AN1851" s="23">
        <v>54604</v>
      </c>
      <c r="AO1851" s="4" t="s">
        <v>108</v>
      </c>
    </row>
    <row r="1852" spans="39:41" x14ac:dyDescent="0.1">
      <c r="AM1852" s="23"/>
      <c r="AN1852" s="23">
        <v>54634</v>
      </c>
      <c r="AO1852" s="4" t="s">
        <v>109</v>
      </c>
    </row>
    <row r="1853" spans="39:41" x14ac:dyDescent="0.1">
      <c r="AM1853" s="23"/>
      <c r="AN1853" s="23">
        <v>54663</v>
      </c>
      <c r="AO1853" s="4" t="s">
        <v>110</v>
      </c>
    </row>
    <row r="1854" spans="39:41" x14ac:dyDescent="0.1">
      <c r="AM1854" s="23"/>
      <c r="AN1854" s="23">
        <v>54693</v>
      </c>
      <c r="AO1854" s="4" t="s">
        <v>111</v>
      </c>
    </row>
    <row r="1855" spans="39:41" x14ac:dyDescent="0.1">
      <c r="AM1855" s="23"/>
      <c r="AN1855" s="23">
        <v>54723</v>
      </c>
      <c r="AO1855" s="4" t="s">
        <v>112</v>
      </c>
    </row>
    <row r="1856" spans="39:41" x14ac:dyDescent="0.1">
      <c r="AM1856" s="23"/>
      <c r="AN1856" s="23">
        <v>54752</v>
      </c>
      <c r="AO1856" s="4" t="s">
        <v>379</v>
      </c>
    </row>
    <row r="1857" spans="39:41" x14ac:dyDescent="0.1">
      <c r="AM1857" s="23"/>
      <c r="AN1857" s="23">
        <v>54782</v>
      </c>
      <c r="AO1857" s="4" t="s">
        <v>113</v>
      </c>
    </row>
    <row r="1858" spans="39:41" x14ac:dyDescent="0.1">
      <c r="AM1858" s="23"/>
      <c r="AN1858" s="23">
        <v>54811</v>
      </c>
      <c r="AO1858" s="4" t="s">
        <v>100</v>
      </c>
    </row>
    <row r="1859" spans="39:41" x14ac:dyDescent="0.1">
      <c r="AM1859" s="23"/>
      <c r="AN1859" s="23">
        <v>54840</v>
      </c>
      <c r="AO1859" s="4" t="s">
        <v>104</v>
      </c>
    </row>
    <row r="1860" spans="39:41" x14ac:dyDescent="0.1">
      <c r="AM1860" s="23"/>
      <c r="AN1860" s="23">
        <v>54870</v>
      </c>
      <c r="AO1860" s="4" t="s">
        <v>105</v>
      </c>
    </row>
    <row r="1861" spans="39:41" x14ac:dyDescent="0.1">
      <c r="AM1861" s="23"/>
      <c r="AN1861" s="23">
        <v>54899</v>
      </c>
      <c r="AO1861" s="4" t="s">
        <v>147</v>
      </c>
    </row>
    <row r="1862" spans="39:41" x14ac:dyDescent="0.1">
      <c r="AM1862" s="23"/>
      <c r="AN1862" s="23">
        <v>54929</v>
      </c>
      <c r="AO1862" s="4" t="s">
        <v>106</v>
      </c>
    </row>
    <row r="1863" spans="39:41" x14ac:dyDescent="0.1">
      <c r="AM1863" s="23"/>
      <c r="AN1863" s="23">
        <v>54958</v>
      </c>
      <c r="AO1863" s="4" t="s">
        <v>107</v>
      </c>
    </row>
    <row r="1864" spans="39:41" x14ac:dyDescent="0.1">
      <c r="AM1864" s="23"/>
      <c r="AN1864" s="23">
        <v>54988</v>
      </c>
      <c r="AO1864" s="4" t="s">
        <v>108</v>
      </c>
    </row>
    <row r="1865" spans="39:41" x14ac:dyDescent="0.1">
      <c r="AM1865" s="23"/>
      <c r="AN1865" s="23">
        <v>55017</v>
      </c>
      <c r="AO1865" s="4" t="s">
        <v>109</v>
      </c>
    </row>
    <row r="1866" spans="39:41" x14ac:dyDescent="0.1">
      <c r="AM1866" s="23"/>
      <c r="AN1866" s="23">
        <v>55047</v>
      </c>
      <c r="AO1866" s="4" t="s">
        <v>110</v>
      </c>
    </row>
    <row r="1867" spans="39:41" x14ac:dyDescent="0.1">
      <c r="AM1867" s="23"/>
      <c r="AN1867" s="23">
        <v>55077</v>
      </c>
      <c r="AO1867" s="4" t="s">
        <v>111</v>
      </c>
    </row>
    <row r="1868" spans="39:41" x14ac:dyDescent="0.1">
      <c r="AM1868" s="23"/>
      <c r="AN1868" s="23">
        <v>55106</v>
      </c>
      <c r="AO1868" s="4" t="s">
        <v>112</v>
      </c>
    </row>
    <row r="1869" spans="39:41" x14ac:dyDescent="0.1">
      <c r="AM1869" s="23"/>
      <c r="AN1869" s="23">
        <v>55136</v>
      </c>
      <c r="AO1869" s="4" t="s">
        <v>379</v>
      </c>
    </row>
    <row r="1870" spans="39:41" x14ac:dyDescent="0.1">
      <c r="AM1870" s="23"/>
      <c r="AN1870" s="23">
        <v>55166</v>
      </c>
      <c r="AO1870" s="4" t="s">
        <v>113</v>
      </c>
    </row>
    <row r="1871" spans="39:41" x14ac:dyDescent="0.1">
      <c r="AM1871" s="23"/>
      <c r="AN1871" s="23">
        <v>55195</v>
      </c>
      <c r="AO1871" s="4" t="s">
        <v>100</v>
      </c>
    </row>
    <row r="1872" spans="39:41" x14ac:dyDescent="0.1">
      <c r="AM1872" s="23"/>
      <c r="AN1872" s="23">
        <v>55225</v>
      </c>
      <c r="AO1872" s="4" t="s">
        <v>104</v>
      </c>
    </row>
    <row r="1873" spans="39:41" x14ac:dyDescent="0.1">
      <c r="AM1873" s="23"/>
      <c r="AN1873" s="23">
        <v>55254</v>
      </c>
      <c r="AO1873" s="4" t="s">
        <v>105</v>
      </c>
    </row>
    <row r="1874" spans="39:41" x14ac:dyDescent="0.1">
      <c r="AM1874" s="23"/>
      <c r="AN1874" s="17"/>
      <c r="AO1874" s="4"/>
    </row>
    <row r="1875" spans="39:41" x14ac:dyDescent="0.1">
      <c r="AM1875" s="23"/>
      <c r="AN1875" s="17"/>
      <c r="AO1875" s="4"/>
    </row>
    <row r="1876" spans="39:41" x14ac:dyDescent="0.1">
      <c r="AM1876" s="23"/>
      <c r="AN1876" s="17"/>
      <c r="AO1876" s="4"/>
    </row>
    <row r="1877" spans="39:41" x14ac:dyDescent="0.1">
      <c r="AM1877" s="23"/>
      <c r="AN1877" s="17"/>
      <c r="AO1877" s="4"/>
    </row>
    <row r="1878" spans="39:41" x14ac:dyDescent="0.1">
      <c r="AM1878" s="23"/>
      <c r="AN1878" s="17"/>
      <c r="AO1878" s="4"/>
    </row>
    <row r="1879" spans="39:41" x14ac:dyDescent="0.1">
      <c r="AM1879" s="23"/>
      <c r="AN1879" s="17"/>
      <c r="AO1879" s="4"/>
    </row>
    <row r="1880" spans="39:41" x14ac:dyDescent="0.1">
      <c r="AM1880" s="23"/>
      <c r="AN1880" s="17"/>
      <c r="AO1880" s="4"/>
    </row>
    <row r="1881" spans="39:41" x14ac:dyDescent="0.1">
      <c r="AM1881" s="23"/>
      <c r="AN1881" s="17"/>
      <c r="AO1881" s="4"/>
    </row>
    <row r="1882" spans="39:41" x14ac:dyDescent="0.1">
      <c r="AM1882" s="23"/>
      <c r="AN1882" s="17"/>
      <c r="AO1882" s="4"/>
    </row>
    <row r="1883" spans="39:41" x14ac:dyDescent="0.1">
      <c r="AM1883" s="23"/>
      <c r="AN1883" s="17"/>
      <c r="AO1883" s="4"/>
    </row>
    <row r="1884" spans="39:41" x14ac:dyDescent="0.1">
      <c r="AM1884" s="23"/>
      <c r="AN1884" s="17"/>
      <c r="AO1884" s="4"/>
    </row>
    <row r="1885" spans="39:41" x14ac:dyDescent="0.1">
      <c r="AM1885" s="23"/>
      <c r="AN1885" s="17"/>
      <c r="AO1885" s="4"/>
    </row>
    <row r="1886" spans="39:41" x14ac:dyDescent="0.1">
      <c r="AM1886" s="23"/>
      <c r="AN1886" s="17"/>
      <c r="AO1886" s="4"/>
    </row>
    <row r="1887" spans="39:41" x14ac:dyDescent="0.1">
      <c r="AM1887" s="23"/>
      <c r="AN1887" s="17"/>
      <c r="AO1887" s="4"/>
    </row>
    <row r="1888" spans="39:41" x14ac:dyDescent="0.1">
      <c r="AM1888" s="23"/>
      <c r="AN1888" s="17"/>
      <c r="AO1888" s="4"/>
    </row>
    <row r="1889" spans="39:41" x14ac:dyDescent="0.1">
      <c r="AM1889" s="23"/>
      <c r="AN1889" s="17"/>
      <c r="AO1889" s="4"/>
    </row>
    <row r="1890" spans="39:41" x14ac:dyDescent="0.1">
      <c r="AM1890" s="23"/>
      <c r="AN1890" s="17"/>
      <c r="AO1890" s="4"/>
    </row>
    <row r="1891" spans="39:41" x14ac:dyDescent="0.1">
      <c r="AM1891" s="23"/>
      <c r="AN1891" s="17"/>
      <c r="AO1891" s="4"/>
    </row>
    <row r="1892" spans="39:41" x14ac:dyDescent="0.1">
      <c r="AM1892" s="23"/>
      <c r="AN1892" s="17"/>
      <c r="AO1892" s="4"/>
    </row>
    <row r="1893" spans="39:41" x14ac:dyDescent="0.1">
      <c r="AM1893" s="23"/>
      <c r="AN1893" s="17"/>
      <c r="AO1893" s="4"/>
    </row>
    <row r="1894" spans="39:41" x14ac:dyDescent="0.1">
      <c r="AM1894" s="23"/>
      <c r="AN1894" s="17"/>
      <c r="AO1894" s="4"/>
    </row>
    <row r="1895" spans="39:41" x14ac:dyDescent="0.1">
      <c r="AM1895" s="23"/>
      <c r="AN1895" s="17"/>
      <c r="AO1895" s="4"/>
    </row>
    <row r="1896" spans="39:41" x14ac:dyDescent="0.1">
      <c r="AM1896" s="23"/>
      <c r="AN1896" s="17"/>
      <c r="AO1896" s="4"/>
    </row>
    <row r="1897" spans="39:41" x14ac:dyDescent="0.1">
      <c r="AM1897" s="23"/>
      <c r="AN1897" s="17"/>
      <c r="AO1897" s="4"/>
    </row>
    <row r="1898" spans="39:41" x14ac:dyDescent="0.1">
      <c r="AM1898" s="23"/>
      <c r="AN1898" s="17"/>
      <c r="AO1898" s="4"/>
    </row>
    <row r="1899" spans="39:41" x14ac:dyDescent="0.1">
      <c r="AM1899" s="23"/>
      <c r="AN1899" s="17"/>
      <c r="AO1899" s="4"/>
    </row>
    <row r="1900" spans="39:41" x14ac:dyDescent="0.1">
      <c r="AM1900" s="23"/>
      <c r="AN1900" s="17"/>
      <c r="AO1900" s="4"/>
    </row>
    <row r="1901" spans="39:41" x14ac:dyDescent="0.1">
      <c r="AM1901" s="23"/>
      <c r="AN1901" s="17"/>
      <c r="AO1901" s="4"/>
    </row>
    <row r="1902" spans="39:41" x14ac:dyDescent="0.1">
      <c r="AN1902" s="17"/>
      <c r="AO1902" s="4"/>
    </row>
    <row r="1903" spans="39:41" x14ac:dyDescent="0.1">
      <c r="AN1903" s="17"/>
      <c r="AO1903" s="4"/>
    </row>
    <row r="1904" spans="39:41" x14ac:dyDescent="0.1">
      <c r="AN1904" s="17"/>
      <c r="AO1904" s="4"/>
    </row>
    <row r="1905" spans="40:41" x14ac:dyDescent="0.1">
      <c r="AN1905" s="17"/>
      <c r="AO1905" s="4"/>
    </row>
    <row r="1906" spans="40:41" x14ac:dyDescent="0.1">
      <c r="AN1906" s="17"/>
      <c r="AO1906" s="4"/>
    </row>
    <row r="1907" spans="40:41" x14ac:dyDescent="0.1">
      <c r="AN1907" s="17"/>
      <c r="AO1907" s="4"/>
    </row>
    <row r="1908" spans="40:41" x14ac:dyDescent="0.1">
      <c r="AN1908" s="17"/>
      <c r="AO1908" s="4"/>
    </row>
    <row r="1909" spans="40:41" x14ac:dyDescent="0.1">
      <c r="AN1909" s="17"/>
      <c r="AO1909" s="4"/>
    </row>
    <row r="1910" spans="40:41" x14ac:dyDescent="0.1">
      <c r="AN1910" s="17"/>
      <c r="AO1910" s="4"/>
    </row>
    <row r="1911" spans="40:41" x14ac:dyDescent="0.1">
      <c r="AN1911" s="17"/>
      <c r="AO1911" s="4"/>
    </row>
    <row r="1912" spans="40:41" x14ac:dyDescent="0.1">
      <c r="AN1912" s="17"/>
      <c r="AO1912" s="4"/>
    </row>
    <row r="1913" spans="40:41" x14ac:dyDescent="0.1">
      <c r="AN1913" s="17"/>
      <c r="AO1913" s="4"/>
    </row>
    <row r="1914" spans="40:41" x14ac:dyDescent="0.1">
      <c r="AN1914" s="17"/>
      <c r="AO1914" s="4"/>
    </row>
    <row r="1915" spans="40:41" x14ac:dyDescent="0.1">
      <c r="AN1915" s="17"/>
      <c r="AO1915" s="4"/>
    </row>
    <row r="1916" spans="40:41" x14ac:dyDescent="0.1">
      <c r="AN1916" s="17"/>
      <c r="AO1916" s="4"/>
    </row>
    <row r="1917" spans="40:41" x14ac:dyDescent="0.1">
      <c r="AN1917" s="17"/>
      <c r="AO1917" s="4"/>
    </row>
    <row r="1918" spans="40:41" x14ac:dyDescent="0.1">
      <c r="AN1918" s="17"/>
      <c r="AO1918" s="4"/>
    </row>
    <row r="1919" spans="40:41" x14ac:dyDescent="0.1">
      <c r="AN1919" s="17"/>
      <c r="AO1919" s="4"/>
    </row>
    <row r="1920" spans="40:41" x14ac:dyDescent="0.1">
      <c r="AN1920" s="17"/>
      <c r="AO1920" s="4"/>
    </row>
    <row r="1921" spans="40:41" x14ac:dyDescent="0.1">
      <c r="AN1921" s="17"/>
      <c r="AO1921" s="4"/>
    </row>
    <row r="1922" spans="40:41" x14ac:dyDescent="0.1">
      <c r="AN1922" s="17"/>
      <c r="AO1922" s="4"/>
    </row>
    <row r="1923" spans="40:41" x14ac:dyDescent="0.1">
      <c r="AN1923" s="17"/>
      <c r="AO1923" s="4"/>
    </row>
    <row r="1924" spans="40:41" x14ac:dyDescent="0.1">
      <c r="AN1924" s="17"/>
      <c r="AO1924" s="4"/>
    </row>
    <row r="1925" spans="40:41" x14ac:dyDescent="0.1">
      <c r="AN1925" s="17"/>
      <c r="AO1925" s="4"/>
    </row>
    <row r="1926" spans="40:41" x14ac:dyDescent="0.1">
      <c r="AN1926" s="17"/>
      <c r="AO1926" s="4"/>
    </row>
    <row r="1927" spans="40:41" x14ac:dyDescent="0.1">
      <c r="AN1927" s="17"/>
      <c r="AO1927" s="4"/>
    </row>
    <row r="1928" spans="40:41" x14ac:dyDescent="0.1">
      <c r="AN1928" s="17"/>
      <c r="AO1928" s="4"/>
    </row>
    <row r="1929" spans="40:41" x14ac:dyDescent="0.1">
      <c r="AN1929" s="17"/>
      <c r="AO1929" s="4"/>
    </row>
    <row r="1930" spans="40:41" x14ac:dyDescent="0.1">
      <c r="AN1930" s="17"/>
      <c r="AO1930" s="4"/>
    </row>
    <row r="1931" spans="40:41" x14ac:dyDescent="0.1">
      <c r="AN1931" s="17"/>
      <c r="AO1931" s="4"/>
    </row>
    <row r="1932" spans="40:41" x14ac:dyDescent="0.1">
      <c r="AN1932" s="17"/>
      <c r="AO1932" s="4"/>
    </row>
    <row r="1933" spans="40:41" x14ac:dyDescent="0.1">
      <c r="AN1933" s="17"/>
      <c r="AO1933" s="4"/>
    </row>
    <row r="1934" spans="40:41" x14ac:dyDescent="0.1">
      <c r="AN1934" s="17"/>
      <c r="AO1934" s="4"/>
    </row>
    <row r="1935" spans="40:41" x14ac:dyDescent="0.1">
      <c r="AN1935" s="17"/>
      <c r="AO1935" s="4"/>
    </row>
    <row r="1936" spans="40:41" x14ac:dyDescent="0.1">
      <c r="AN1936" s="17"/>
      <c r="AO1936" s="4"/>
    </row>
    <row r="1937" spans="40:41" x14ac:dyDescent="0.1">
      <c r="AN1937" s="17"/>
      <c r="AO1937" s="4"/>
    </row>
    <row r="1938" spans="40:41" x14ac:dyDescent="0.1">
      <c r="AN1938" s="17"/>
      <c r="AO1938" s="4"/>
    </row>
    <row r="1939" spans="40:41" x14ac:dyDescent="0.1">
      <c r="AN1939" s="17"/>
      <c r="AO1939" s="4"/>
    </row>
    <row r="1940" spans="40:41" x14ac:dyDescent="0.1">
      <c r="AN1940" s="17"/>
      <c r="AO1940" s="4"/>
    </row>
    <row r="1941" spans="40:41" x14ac:dyDescent="0.1">
      <c r="AN1941" s="17"/>
      <c r="AO1941" s="4"/>
    </row>
    <row r="1942" spans="40:41" x14ac:dyDescent="0.1">
      <c r="AN1942" s="17"/>
      <c r="AO1942" s="4"/>
    </row>
    <row r="1943" spans="40:41" x14ac:dyDescent="0.1">
      <c r="AN1943" s="17"/>
      <c r="AO1943" s="4"/>
    </row>
    <row r="1944" spans="40:41" x14ac:dyDescent="0.1">
      <c r="AN1944" s="17"/>
      <c r="AO1944" s="4"/>
    </row>
    <row r="1945" spans="40:41" x14ac:dyDescent="0.1">
      <c r="AN1945" s="17"/>
      <c r="AO1945" s="4"/>
    </row>
    <row r="1946" spans="40:41" x14ac:dyDescent="0.1">
      <c r="AN1946" s="17"/>
      <c r="AO1946" s="4"/>
    </row>
    <row r="1947" spans="40:41" x14ac:dyDescent="0.1">
      <c r="AN1947" s="17"/>
      <c r="AO1947" s="4"/>
    </row>
    <row r="1948" spans="40:41" x14ac:dyDescent="0.1">
      <c r="AN1948" s="17"/>
      <c r="AO1948" s="4"/>
    </row>
    <row r="1949" spans="40:41" x14ac:dyDescent="0.1">
      <c r="AN1949" s="17"/>
      <c r="AO1949" s="4"/>
    </row>
    <row r="1950" spans="40:41" x14ac:dyDescent="0.1">
      <c r="AN1950" s="17"/>
      <c r="AO1950" s="4"/>
    </row>
    <row r="1951" spans="40:41" x14ac:dyDescent="0.1">
      <c r="AN1951" s="17"/>
      <c r="AO1951" s="4"/>
    </row>
    <row r="1952" spans="40:41" x14ac:dyDescent="0.1">
      <c r="AN1952" s="17"/>
      <c r="AO1952" s="4"/>
    </row>
    <row r="1953" spans="40:41" x14ac:dyDescent="0.1">
      <c r="AN1953" s="17"/>
      <c r="AO1953" s="4"/>
    </row>
    <row r="1954" spans="40:41" x14ac:dyDescent="0.1">
      <c r="AN1954" s="17"/>
      <c r="AO1954" s="4"/>
    </row>
    <row r="1955" spans="40:41" x14ac:dyDescent="0.1">
      <c r="AN1955" s="17"/>
      <c r="AO1955" s="4"/>
    </row>
    <row r="1956" spans="40:41" x14ac:dyDescent="0.1">
      <c r="AN1956" s="17"/>
      <c r="AO1956" s="4"/>
    </row>
    <row r="1957" spans="40:41" x14ac:dyDescent="0.1">
      <c r="AN1957" s="17"/>
      <c r="AO1957" s="4"/>
    </row>
    <row r="1958" spans="40:41" x14ac:dyDescent="0.1">
      <c r="AN1958" s="17"/>
      <c r="AO1958" s="4"/>
    </row>
    <row r="1959" spans="40:41" x14ac:dyDescent="0.1">
      <c r="AN1959" s="17"/>
      <c r="AO1959" s="4"/>
    </row>
    <row r="1960" spans="40:41" x14ac:dyDescent="0.1">
      <c r="AN1960" s="17"/>
      <c r="AO1960" s="4"/>
    </row>
    <row r="1961" spans="40:41" x14ac:dyDescent="0.1">
      <c r="AN1961" s="17"/>
      <c r="AO1961" s="4"/>
    </row>
    <row r="1962" spans="40:41" x14ac:dyDescent="0.1">
      <c r="AN1962" s="17"/>
      <c r="AO1962" s="4"/>
    </row>
    <row r="1963" spans="40:41" x14ac:dyDescent="0.1">
      <c r="AN1963" s="17"/>
      <c r="AO1963" s="4"/>
    </row>
    <row r="1964" spans="40:41" x14ac:dyDescent="0.1">
      <c r="AN1964" s="17"/>
      <c r="AO1964" s="4"/>
    </row>
    <row r="1965" spans="40:41" x14ac:dyDescent="0.1">
      <c r="AN1965" s="17"/>
      <c r="AO1965" s="4"/>
    </row>
    <row r="1966" spans="40:41" x14ac:dyDescent="0.1">
      <c r="AN1966" s="17"/>
      <c r="AO1966" s="4"/>
    </row>
    <row r="1967" spans="40:41" x14ac:dyDescent="0.1">
      <c r="AN1967" s="17"/>
      <c r="AO1967" s="4"/>
    </row>
    <row r="1968" spans="40:41" x14ac:dyDescent="0.1">
      <c r="AN1968" s="17"/>
      <c r="AO1968" s="4"/>
    </row>
    <row r="1969" spans="40:41" x14ac:dyDescent="0.1">
      <c r="AN1969" s="17"/>
      <c r="AO1969" s="4"/>
    </row>
    <row r="1970" spans="40:41" x14ac:dyDescent="0.1">
      <c r="AN1970" s="17"/>
      <c r="AO1970" s="4"/>
    </row>
    <row r="1971" spans="40:41" x14ac:dyDescent="0.1">
      <c r="AN1971" s="17"/>
      <c r="AO1971" s="4"/>
    </row>
    <row r="1972" spans="40:41" x14ac:dyDescent="0.1">
      <c r="AN1972" s="17"/>
      <c r="AO1972" s="4"/>
    </row>
    <row r="1973" spans="40:41" x14ac:dyDescent="0.1">
      <c r="AN1973" s="17"/>
      <c r="AO1973" s="4"/>
    </row>
    <row r="1974" spans="40:41" x14ac:dyDescent="0.1">
      <c r="AN1974" s="17"/>
      <c r="AO1974" s="4"/>
    </row>
    <row r="1975" spans="40:41" x14ac:dyDescent="0.1">
      <c r="AN1975" s="17"/>
      <c r="AO1975" s="4"/>
    </row>
    <row r="1976" spans="40:41" x14ac:dyDescent="0.1">
      <c r="AN1976" s="17"/>
      <c r="AO1976" s="4"/>
    </row>
    <row r="1977" spans="40:41" x14ac:dyDescent="0.1">
      <c r="AN1977" s="17"/>
      <c r="AO1977" s="4"/>
    </row>
    <row r="1978" spans="40:41" x14ac:dyDescent="0.1">
      <c r="AN1978" s="17"/>
      <c r="AO1978" s="4"/>
    </row>
    <row r="1979" spans="40:41" x14ac:dyDescent="0.1">
      <c r="AN1979" s="17"/>
    </row>
    <row r="1980" spans="40:41" x14ac:dyDescent="0.1">
      <c r="AN1980" s="17"/>
    </row>
    <row r="1981" spans="40:41" x14ac:dyDescent="0.1">
      <c r="AN1981" s="17"/>
    </row>
    <row r="1982" spans="40:41" x14ac:dyDescent="0.1">
      <c r="AN1982" s="17"/>
    </row>
    <row r="1983" spans="40:41" x14ac:dyDescent="0.1">
      <c r="AN1983" s="17"/>
    </row>
    <row r="1984" spans="40:41" x14ac:dyDescent="0.1">
      <c r="AN1984" s="17"/>
    </row>
    <row r="1985" spans="40:40" x14ac:dyDescent="0.1">
      <c r="AN1985" s="17"/>
    </row>
    <row r="1986" spans="40:40" x14ac:dyDescent="0.1">
      <c r="AN1986" s="17"/>
    </row>
    <row r="1987" spans="40:40" x14ac:dyDescent="0.1">
      <c r="AN1987" s="17"/>
    </row>
    <row r="1988" spans="40:40" x14ac:dyDescent="0.1">
      <c r="AN1988" s="17"/>
    </row>
    <row r="1989" spans="40:40" x14ac:dyDescent="0.1">
      <c r="AN1989" s="17"/>
    </row>
    <row r="1990" spans="40:40" x14ac:dyDescent="0.1">
      <c r="AN1990" s="17"/>
    </row>
    <row r="1991" spans="40:40" x14ac:dyDescent="0.1">
      <c r="AN1991" s="17"/>
    </row>
    <row r="1992" spans="40:40" x14ac:dyDescent="0.1">
      <c r="AN1992" s="17"/>
    </row>
    <row r="1993" spans="40:40" x14ac:dyDescent="0.1">
      <c r="AN1993" s="17"/>
    </row>
    <row r="1994" spans="40:40" x14ac:dyDescent="0.1">
      <c r="AN1994" s="17"/>
    </row>
    <row r="1995" spans="40:40" x14ac:dyDescent="0.1">
      <c r="AN1995" s="17"/>
    </row>
    <row r="1996" spans="40:40" x14ac:dyDescent="0.1">
      <c r="AN1996" s="17"/>
    </row>
    <row r="1997" spans="40:40" x14ac:dyDescent="0.1">
      <c r="AN1997" s="17"/>
    </row>
    <row r="1998" spans="40:40" x14ac:dyDescent="0.1">
      <c r="AN1998" s="17"/>
    </row>
    <row r="1999" spans="40:40" x14ac:dyDescent="0.1">
      <c r="AN1999" s="17"/>
    </row>
    <row r="2000" spans="40:40" x14ac:dyDescent="0.1">
      <c r="AN2000" s="17"/>
    </row>
    <row r="2001" spans="40:40" x14ac:dyDescent="0.1">
      <c r="AN2001" s="17"/>
    </row>
    <row r="2002" spans="40:40" x14ac:dyDescent="0.1">
      <c r="AN2002" s="17"/>
    </row>
    <row r="2003" spans="40:40" x14ac:dyDescent="0.1">
      <c r="AN2003" s="17"/>
    </row>
    <row r="2004" spans="40:40" x14ac:dyDescent="0.1">
      <c r="AN2004" s="17"/>
    </row>
    <row r="2005" spans="40:40" x14ac:dyDescent="0.1">
      <c r="AN2005" s="17"/>
    </row>
    <row r="2006" spans="40:40" x14ac:dyDescent="0.1">
      <c r="AN2006" s="17"/>
    </row>
    <row r="2007" spans="40:40" x14ac:dyDescent="0.1">
      <c r="AN2007" s="17"/>
    </row>
    <row r="2008" spans="40:40" x14ac:dyDescent="0.1">
      <c r="AN2008" s="17"/>
    </row>
    <row r="2009" spans="40:40" x14ac:dyDescent="0.1">
      <c r="AN2009" s="17"/>
    </row>
    <row r="2010" spans="40:40" x14ac:dyDescent="0.1">
      <c r="AN2010" s="17"/>
    </row>
    <row r="2011" spans="40:40" x14ac:dyDescent="0.1">
      <c r="AN2011" s="17"/>
    </row>
    <row r="2012" spans="40:40" x14ac:dyDescent="0.1">
      <c r="AN2012" s="17"/>
    </row>
    <row r="2013" spans="40:40" x14ac:dyDescent="0.1">
      <c r="AN2013" s="17"/>
    </row>
    <row r="2014" spans="40:40" x14ac:dyDescent="0.1">
      <c r="AN2014" s="17"/>
    </row>
    <row r="2015" spans="40:40" x14ac:dyDescent="0.1">
      <c r="AN2015" s="17"/>
    </row>
    <row r="2016" spans="40:40" x14ac:dyDescent="0.1">
      <c r="AN2016" s="17"/>
    </row>
    <row r="2017" spans="40:40" x14ac:dyDescent="0.1">
      <c r="AN2017" s="17"/>
    </row>
    <row r="2018" spans="40:40" x14ac:dyDescent="0.1">
      <c r="AN2018" s="17"/>
    </row>
    <row r="2019" spans="40:40" x14ac:dyDescent="0.1">
      <c r="AN2019" s="17"/>
    </row>
    <row r="2020" spans="40:40" x14ac:dyDescent="0.1">
      <c r="AN2020" s="17"/>
    </row>
    <row r="2021" spans="40:40" x14ac:dyDescent="0.1">
      <c r="AN2021" s="17"/>
    </row>
    <row r="2022" spans="40:40" x14ac:dyDescent="0.1">
      <c r="AN2022" s="17"/>
    </row>
    <row r="2023" spans="40:40" x14ac:dyDescent="0.1">
      <c r="AN2023" s="17"/>
    </row>
    <row r="2024" spans="40:40" x14ac:dyDescent="0.1">
      <c r="AN2024" s="17"/>
    </row>
    <row r="2025" spans="40:40" x14ac:dyDescent="0.1">
      <c r="AN2025" s="17"/>
    </row>
    <row r="2026" spans="40:40" x14ac:dyDescent="0.1">
      <c r="AN2026" s="17"/>
    </row>
    <row r="2027" spans="40:40" x14ac:dyDescent="0.1">
      <c r="AN2027" s="17"/>
    </row>
    <row r="2028" spans="40:40" x14ac:dyDescent="0.1">
      <c r="AN2028" s="17"/>
    </row>
    <row r="2029" spans="40:40" x14ac:dyDescent="0.1">
      <c r="AN2029" s="17"/>
    </row>
    <row r="2030" spans="40:40" x14ac:dyDescent="0.1">
      <c r="AN2030" s="17"/>
    </row>
    <row r="2031" spans="40:40" x14ac:dyDescent="0.1">
      <c r="AN2031" s="17"/>
    </row>
    <row r="2032" spans="40:40" x14ac:dyDescent="0.1">
      <c r="AN2032" s="17"/>
    </row>
    <row r="2033" spans="40:40" x14ac:dyDescent="0.1">
      <c r="AN2033" s="17"/>
    </row>
    <row r="2034" spans="40:40" x14ac:dyDescent="0.1">
      <c r="AN2034" s="17"/>
    </row>
    <row r="2035" spans="40:40" x14ac:dyDescent="0.1">
      <c r="AN2035" s="17"/>
    </row>
    <row r="2036" spans="40:40" x14ac:dyDescent="0.1">
      <c r="AN2036" s="17"/>
    </row>
    <row r="2037" spans="40:40" x14ac:dyDescent="0.1">
      <c r="AN2037" s="17"/>
    </row>
    <row r="2038" spans="40:40" x14ac:dyDescent="0.1">
      <c r="AN2038" s="17"/>
    </row>
    <row r="2039" spans="40:40" x14ac:dyDescent="0.1">
      <c r="AN2039" s="17"/>
    </row>
    <row r="2040" spans="40:40" x14ac:dyDescent="0.1">
      <c r="AN2040" s="17"/>
    </row>
    <row r="2041" spans="40:40" x14ac:dyDescent="0.1">
      <c r="AN2041" s="17"/>
    </row>
    <row r="2042" spans="40:40" x14ac:dyDescent="0.1">
      <c r="AN2042" s="17"/>
    </row>
    <row r="2043" spans="40:40" x14ac:dyDescent="0.1">
      <c r="AN2043" s="17"/>
    </row>
    <row r="2044" spans="40:40" x14ac:dyDescent="0.1">
      <c r="AN2044" s="17"/>
    </row>
    <row r="2045" spans="40:40" x14ac:dyDescent="0.1">
      <c r="AN2045" s="17"/>
    </row>
    <row r="2046" spans="40:40" x14ac:dyDescent="0.1">
      <c r="AN2046" s="17"/>
    </row>
    <row r="2047" spans="40:40" x14ac:dyDescent="0.1">
      <c r="AN2047" s="17"/>
    </row>
    <row r="2048" spans="40:40" x14ac:dyDescent="0.1">
      <c r="AN2048" s="17"/>
    </row>
    <row r="2049" spans="40:40" x14ac:dyDescent="0.1">
      <c r="AN2049" s="17"/>
    </row>
    <row r="2050" spans="40:40" x14ac:dyDescent="0.1">
      <c r="AN2050" s="17"/>
    </row>
    <row r="2051" spans="40:40" x14ac:dyDescent="0.1">
      <c r="AN2051" s="17"/>
    </row>
    <row r="2052" spans="40:40" x14ac:dyDescent="0.1">
      <c r="AN2052" s="17"/>
    </row>
    <row r="2053" spans="40:40" x14ac:dyDescent="0.1">
      <c r="AN2053" s="17"/>
    </row>
    <row r="2054" spans="40:40" x14ac:dyDescent="0.1">
      <c r="AN2054" s="17"/>
    </row>
    <row r="2055" spans="40:40" x14ac:dyDescent="0.1">
      <c r="AN2055" s="17"/>
    </row>
  </sheetData>
  <sheetProtection selectLockedCells="1" selectUnlockedCells="1"/>
  <mergeCells count="5">
    <mergeCell ref="B1:C1"/>
    <mergeCell ref="D1:E1"/>
    <mergeCell ref="F1:H1"/>
    <mergeCell ref="I1:K1"/>
    <mergeCell ref="AC1:AD1"/>
  </mergeCells>
  <phoneticPr fontId="86" type="noConversion"/>
  <pageMargins left="0.75" right="0.75" top="1" bottom="1" header="0.5" footer="0.5"/>
  <pageSetup paperSize="9" orientation="portrait" verticalDpi="0"/>
  <headerFooter alignWithMargins="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P26"/>
  <sheetViews>
    <sheetView tabSelected="1" zoomScale="387" zoomScaleNormal="230" zoomScaleSheetLayoutView="100" zoomScalePageLayoutView="205" workbookViewId="0"/>
  </sheetViews>
  <sheetFormatPr defaultColWidth="9" defaultRowHeight="7.5" x14ac:dyDescent="0.1"/>
  <cols>
    <col min="1" max="1" width="0.375" style="324" customWidth="1"/>
    <col min="2" max="19" width="1.125" style="324" customWidth="1"/>
    <col min="20" max="20" width="5.625" style="324" customWidth="1"/>
    <col min="21" max="21" width="7.125" style="325" bestFit="1" customWidth="1"/>
    <col min="22" max="22" width="3.125" style="326" customWidth="1"/>
    <col min="23" max="23" width="1.125" style="326" customWidth="1"/>
    <col min="24" max="24" width="1.5" style="326" customWidth="1"/>
    <col min="25" max="25" width="3.125" style="324" customWidth="1"/>
    <col min="26" max="26" width="1.125" style="324" customWidth="1"/>
    <col min="27" max="27" width="2.125" style="324" bestFit="1" customWidth="1"/>
    <col min="28" max="31" width="1.375" style="324" customWidth="1"/>
    <col min="32" max="32" width="1.5" style="324" customWidth="1"/>
    <col min="33" max="33" width="1.5" style="326" customWidth="1"/>
    <col min="34" max="37" width="1.125" style="326" customWidth="1"/>
    <col min="38" max="40" width="1.125" style="326" hidden="1" customWidth="1"/>
    <col min="41" max="41" width="1.5" style="326" hidden="1" customWidth="1"/>
    <col min="42" max="42" width="2.375" style="326" hidden="1" customWidth="1"/>
    <col min="43" max="43" width="0" style="326" hidden="1" customWidth="1"/>
    <col min="44" max="16384" width="9" style="326"/>
  </cols>
  <sheetData>
    <row r="1" spans="1:42" ht="3" customHeight="1" x14ac:dyDescent="0.1">
      <c r="A1" s="322"/>
      <c r="B1" s="322"/>
      <c r="C1" s="322"/>
      <c r="D1" s="322"/>
      <c r="E1" s="322"/>
      <c r="F1" s="322"/>
      <c r="G1" s="322"/>
      <c r="H1" s="322"/>
      <c r="I1" s="322"/>
      <c r="J1" s="323" t="str">
        <f>Mirror!J1</f>
        <v/>
      </c>
      <c r="K1" s="323" t="str">
        <f>Mirror!K1</f>
        <v/>
      </c>
      <c r="L1" s="323" t="str">
        <f>Mirror!L1</f>
        <v/>
      </c>
      <c r="M1" s="323" t="str">
        <f>Mirror!M1</f>
        <v/>
      </c>
      <c r="N1" s="323" t="str">
        <f>Mirror!N1</f>
        <v/>
      </c>
      <c r="O1" s="323" t="str">
        <f>Mirror!O1</f>
        <v/>
      </c>
      <c r="P1" s="323" t="str">
        <f>Mirror!P1</f>
        <v/>
      </c>
      <c r="Q1" s="323" t="str">
        <f>Mirror!Q1</f>
        <v/>
      </c>
      <c r="R1" s="323" t="str">
        <f>Mirror!R1</f>
        <v/>
      </c>
      <c r="S1" s="323" t="str">
        <f>Mirror!S1</f>
        <v/>
      </c>
      <c r="T1" s="324" t="str">
        <f>Mirror!T1</f>
        <v/>
      </c>
    </row>
    <row r="2" spans="1:42" ht="6.75" customHeight="1" x14ac:dyDescent="0.1">
      <c r="A2" s="327" t="str">
        <f>Mirror!A2</f>
        <v/>
      </c>
      <c r="B2" s="478">
        <f ca="1">YEAR(NOW())</f>
        <v>2024</v>
      </c>
      <c r="C2" s="478"/>
      <c r="D2" s="328" t="str">
        <f>Mirror!D2</f>
        <v>年</v>
      </c>
      <c r="E2" s="329">
        <f ca="1">MONTH(NOW())</f>
        <v>8</v>
      </c>
      <c r="F2" s="328" t="s">
        <v>805</v>
      </c>
      <c r="G2" s="329">
        <f ca="1">DAY(NOW())</f>
        <v>27</v>
      </c>
      <c r="H2" s="427" t="s">
        <v>632</v>
      </c>
      <c r="I2" s="330">
        <f ca="1">HOUR(NOW())</f>
        <v>15</v>
      </c>
      <c r="J2" s="331" t="str">
        <f>Mirror!J2</f>
        <v>:</v>
      </c>
      <c r="K2" s="329">
        <f ca="1">MINUTE(NOW())</f>
        <v>5</v>
      </c>
      <c r="L2" s="331"/>
      <c r="M2" s="332" t="str">
        <f ca="1">Mirror!M2</f>
        <v>星期二</v>
      </c>
      <c r="N2" s="333"/>
      <c r="O2" s="333"/>
      <c r="P2" s="333" t="str">
        <f>Mirror!P2</f>
        <v/>
      </c>
      <c r="Q2" s="334" t="str">
        <f>Mirror!Q2</f>
        <v>年</v>
      </c>
      <c r="R2" s="475" t="str">
        <f ca="1">Mirror!R2</f>
        <v>甲辰</v>
      </c>
      <c r="S2" s="475"/>
      <c r="T2" s="335" t="str">
        <f>Mirror!T2</f>
        <v/>
      </c>
      <c r="Y2" s="335"/>
      <c r="Z2" s="335"/>
      <c r="AA2" s="335"/>
      <c r="AB2" s="335"/>
      <c r="AC2" s="335"/>
      <c r="AD2" s="335"/>
      <c r="AE2" s="335"/>
      <c r="AF2" s="335"/>
    </row>
    <row r="3" spans="1:42" ht="6.75" customHeight="1" x14ac:dyDescent="0.1">
      <c r="A3" s="327" t="str">
        <f>Mirror!A3</f>
        <v/>
      </c>
      <c r="B3" s="476" t="str">
        <f>Mirror!B3</f>
        <v>農曆</v>
      </c>
      <c r="C3" s="476" t="e">
        <f>#REF!</f>
        <v>#REF!</v>
      </c>
      <c r="D3" s="477" t="str">
        <f ca="1">Mirror!D3</f>
        <v>七月廿四</v>
      </c>
      <c r="E3" s="477"/>
      <c r="F3" s="477"/>
      <c r="G3" s="477"/>
      <c r="H3" s="328" t="str">
        <f>Mirror!H3</f>
        <v/>
      </c>
      <c r="I3" s="328" t="str">
        <f>Mirror!I3</f>
        <v/>
      </c>
      <c r="J3" s="328"/>
      <c r="K3" s="328"/>
      <c r="L3" s="328" t="str">
        <f>Mirror!L3</f>
        <v/>
      </c>
      <c r="M3" s="333" t="str">
        <f>Mirror!M3</f>
        <v/>
      </c>
      <c r="N3" s="333" t="str">
        <f>Mirror!N3</f>
        <v/>
      </c>
      <c r="O3" s="333" t="str">
        <f>Mirror!O3</f>
        <v/>
      </c>
      <c r="P3" s="333" t="str">
        <f>Mirror!P3</f>
        <v/>
      </c>
      <c r="Q3" s="333" t="str">
        <f>Mirror!Q3</f>
        <v>月</v>
      </c>
      <c r="R3" s="475" t="str">
        <f ca="1">Mirror!R3</f>
        <v>壬申</v>
      </c>
      <c r="S3" s="475"/>
      <c r="T3" s="324" t="str">
        <f>Mirror!T3</f>
        <v/>
      </c>
    </row>
    <row r="4" spans="1:42" ht="6.75" customHeight="1" x14ac:dyDescent="0.1">
      <c r="A4" s="327" t="str">
        <f>Mirror!A4</f>
        <v/>
      </c>
      <c r="B4" s="476" t="str">
        <f>Mirror!B4</f>
        <v>節氣</v>
      </c>
      <c r="C4" s="476" t="e">
        <f>#REF!</f>
        <v>#REF!</v>
      </c>
      <c r="D4" s="476" t="str">
        <f ca="1">Mirror!D4</f>
        <v>處暑</v>
      </c>
      <c r="E4" s="476" t="e">
        <f>#REF!</f>
        <v>#REF!</v>
      </c>
      <c r="F4" s="479">
        <f ca="1">Mirror!F4</f>
        <v>45526.955251828302</v>
      </c>
      <c r="G4" s="479" t="e">
        <f>#REF!</f>
        <v>#REF!</v>
      </c>
      <c r="H4" s="479" t="e">
        <f>#REF!</f>
        <v>#REF!</v>
      </c>
      <c r="I4" s="479" t="e">
        <f>#REF!</f>
        <v>#REF!</v>
      </c>
      <c r="J4" s="479"/>
      <c r="K4" s="479"/>
      <c r="L4" s="479" t="e">
        <f>#REF!</f>
        <v>#REF!</v>
      </c>
      <c r="M4" s="479" t="e">
        <f>#REF!</f>
        <v>#REF!</v>
      </c>
      <c r="N4" s="479" t="e">
        <f>#REF!</f>
        <v>#REF!</v>
      </c>
      <c r="O4" s="336" t="str">
        <f>Mirror!O4</f>
        <v/>
      </c>
      <c r="P4" s="333" t="str">
        <f>Mirror!P4</f>
        <v/>
      </c>
      <c r="Q4" s="333" t="str">
        <f>Mirror!Q4</f>
        <v>日</v>
      </c>
      <c r="R4" s="475" t="str">
        <f ca="1">Mirror!R4</f>
        <v>癸亥</v>
      </c>
      <c r="S4" s="475"/>
      <c r="T4" s="327" t="str">
        <f>Mirror!T4</f>
        <v/>
      </c>
      <c r="U4" s="333"/>
      <c r="Y4" s="327"/>
      <c r="Z4" s="327"/>
      <c r="AA4" s="327"/>
      <c r="AB4" s="327"/>
      <c r="AC4" s="327"/>
      <c r="AD4" s="327"/>
      <c r="AE4" s="327"/>
      <c r="AF4" s="327"/>
      <c r="AO4" s="337"/>
    </row>
    <row r="5" spans="1:42" ht="6.75" customHeight="1" x14ac:dyDescent="0.1">
      <c r="A5" s="327" t="str">
        <f>Mirror!A5</f>
        <v/>
      </c>
      <c r="B5" s="323"/>
      <c r="C5" s="323"/>
      <c r="D5" s="476" t="str">
        <f ca="1">Mirror!D5</f>
        <v>白露</v>
      </c>
      <c r="E5" s="476" t="e">
        <f>#REF!</f>
        <v>#REF!</v>
      </c>
      <c r="F5" s="479">
        <f ca="1">Mirror!F5</f>
        <v>45542.466490612831</v>
      </c>
      <c r="G5" s="479" t="e">
        <f>Mirror!G5</f>
        <v>#REF!</v>
      </c>
      <c r="H5" s="479" t="e">
        <f>Mirror!H5</f>
        <v>#REF!</v>
      </c>
      <c r="I5" s="479"/>
      <c r="J5" s="479">
        <v>0</v>
      </c>
      <c r="K5" s="479" t="e">
        <f>Mirror!K5</f>
        <v>#REF!</v>
      </c>
      <c r="L5" s="479" t="e">
        <f>Mirror!L5</f>
        <v>#REF!</v>
      </c>
      <c r="M5" s="479"/>
      <c r="N5" s="479">
        <v>0</v>
      </c>
      <c r="O5" s="323" t="str">
        <f>Mirror!O5</f>
        <v/>
      </c>
      <c r="P5" s="323" t="str">
        <f>Mirror!P5</f>
        <v/>
      </c>
      <c r="Q5" s="334" t="str">
        <f>Mirror!Q5</f>
        <v>時</v>
      </c>
      <c r="R5" s="475" t="str">
        <f ca="1">Mirror!R5</f>
        <v>庚申</v>
      </c>
      <c r="S5" s="475"/>
      <c r="T5" s="324" t="str">
        <f>Mirror!T5</f>
        <v/>
      </c>
      <c r="U5" s="333"/>
      <c r="Y5" s="327"/>
      <c r="Z5" s="327"/>
      <c r="AA5" s="327"/>
      <c r="AB5" s="327"/>
      <c r="AC5" s="327"/>
      <c r="AD5" s="327"/>
      <c r="AE5" s="327"/>
      <c r="AF5" s="327"/>
    </row>
    <row r="6" spans="1:42" ht="6.75" customHeight="1" x14ac:dyDescent="0.1">
      <c r="A6" s="327" t="str">
        <f>Mirror!A6</f>
        <v/>
      </c>
      <c r="B6" s="476" t="str">
        <f>Mirror!B6</f>
        <v>旬首入中宮</v>
      </c>
      <c r="C6" s="476" t="str">
        <f>Mirror!C6</f>
        <v/>
      </c>
      <c r="D6" s="476" t="str">
        <f>Mirror!D6</f>
        <v/>
      </c>
      <c r="E6" s="476" t="str">
        <f>Mirror!E6</f>
        <v/>
      </c>
      <c r="F6" s="328" t="str">
        <f ca="1">Mirror!F6</f>
        <v>否</v>
      </c>
      <c r="G6" s="338" t="str">
        <f>Mirror!G6</f>
        <v/>
      </c>
      <c r="H6" s="480" t="str">
        <f>Mirror!H6</f>
        <v>順轉:</v>
      </c>
      <c r="I6" s="480" t="str">
        <f>Mirror!I6</f>
        <v/>
      </c>
      <c r="J6" s="339">
        <v>0</v>
      </c>
      <c r="K6" s="338" t="str">
        <f>Mirror!K6</f>
        <v/>
      </c>
      <c r="L6" s="480" t="str">
        <f>Mirror!L6</f>
        <v>逆轉:</v>
      </c>
      <c r="M6" s="480" t="str">
        <f>Mirror!M6</f>
        <v/>
      </c>
      <c r="N6" s="339">
        <v>0</v>
      </c>
      <c r="O6" s="336" t="str">
        <f>Mirror!O6</f>
        <v/>
      </c>
      <c r="P6" s="333" t="str">
        <f>Mirror!P6</f>
        <v/>
      </c>
      <c r="Q6" s="323" t="str">
        <f>Mirror!Q6</f>
        <v/>
      </c>
      <c r="R6" s="323" t="str">
        <f>Mirror!R6</f>
        <v/>
      </c>
      <c r="S6" s="323" t="str">
        <f>Mirror!S6</f>
        <v/>
      </c>
      <c r="T6" s="327" t="str">
        <f>Mirror!T6</f>
        <v/>
      </c>
      <c r="U6" s="333"/>
      <c r="Y6" s="327"/>
      <c r="Z6" s="327"/>
      <c r="AA6" s="327"/>
      <c r="AB6" s="327"/>
      <c r="AC6" s="327"/>
      <c r="AD6" s="327"/>
      <c r="AE6" s="327"/>
      <c r="AF6" s="327"/>
    </row>
    <row r="7" spans="1:42" ht="6.75" customHeight="1" x14ac:dyDescent="0.1">
      <c r="A7" s="327" t="str">
        <f>Mirror!A7</f>
        <v/>
      </c>
      <c r="B7" s="327" t="str">
        <f>Mirror!B7</f>
        <v/>
      </c>
      <c r="C7" s="327"/>
      <c r="D7" s="327" t="str">
        <f>Mirror!D7</f>
        <v/>
      </c>
      <c r="E7" s="327" t="str">
        <f>Mirror!E7</f>
        <v/>
      </c>
      <c r="F7" s="327" t="str">
        <f>Mirror!F7</f>
        <v/>
      </c>
      <c r="G7" s="327" t="str">
        <f>Mirror!G7</f>
        <v/>
      </c>
      <c r="H7" s="327" t="str">
        <f>Mirror!H7</f>
        <v/>
      </c>
      <c r="I7" s="327" t="str">
        <f>Mirror!I7</f>
        <v/>
      </c>
      <c r="J7" s="327" t="str">
        <f>Mirror!J7</f>
        <v/>
      </c>
      <c r="K7" s="327" t="str">
        <f>Mirror!K7</f>
        <v/>
      </c>
      <c r="L7" s="327" t="str">
        <f>Mirror!L7</f>
        <v/>
      </c>
      <c r="M7" s="327" t="str">
        <f>Mirror!M7</f>
        <v/>
      </c>
      <c r="N7" s="327" t="str">
        <f>Mirror!N7</f>
        <v/>
      </c>
      <c r="O7" s="327" t="str">
        <f>Mirror!O7</f>
        <v/>
      </c>
      <c r="P7" s="327" t="str">
        <f>Mirror!P7</f>
        <v/>
      </c>
      <c r="Q7" s="327" t="str">
        <f>Mirror!Q7</f>
        <v/>
      </c>
      <c r="R7" s="327" t="str">
        <f>Mirror!R7</f>
        <v/>
      </c>
      <c r="S7" s="327" t="str">
        <f>Mirror!S7</f>
        <v/>
      </c>
      <c r="T7" s="327" t="str">
        <f>Mirror!T7</f>
        <v/>
      </c>
      <c r="U7" s="333"/>
      <c r="Y7" s="340"/>
      <c r="Z7" s="340"/>
      <c r="AA7" s="340"/>
      <c r="AB7" s="340"/>
      <c r="AC7" s="340"/>
      <c r="AD7" s="340"/>
      <c r="AE7" s="340"/>
      <c r="AF7" s="340"/>
    </row>
    <row r="8" spans="1:42" ht="6.75" customHeight="1" x14ac:dyDescent="0.1">
      <c r="A8" s="341" t="str">
        <f>Mirror!A8</f>
        <v/>
      </c>
      <c r="B8" s="270" t="str">
        <f>Mirror!B8</f>
        <v/>
      </c>
      <c r="C8" s="271" t="str">
        <f>Mirror!C8</f>
        <v/>
      </c>
      <c r="D8" s="271" t="str">
        <f>Mirror!D8</f>
        <v/>
      </c>
      <c r="E8" s="271" t="str">
        <f>Mirror!E8</f>
        <v/>
      </c>
      <c r="F8" s="271" t="str">
        <f>Mirror!F8</f>
        <v/>
      </c>
      <c r="G8" s="271">
        <f>Mirror!G8</f>
        <v>4</v>
      </c>
      <c r="H8" s="272" t="str">
        <f>Mirror!H8</f>
        <v/>
      </c>
      <c r="I8" s="273" t="str">
        <f>Mirror!I8</f>
        <v/>
      </c>
      <c r="J8" s="273" t="str">
        <f>Mirror!J8</f>
        <v/>
      </c>
      <c r="K8" s="273" t="str">
        <f>Mirror!K8</f>
        <v/>
      </c>
      <c r="L8" s="273" t="str">
        <f>Mirror!L8</f>
        <v/>
      </c>
      <c r="M8" s="273">
        <f>Mirror!M8</f>
        <v>9</v>
      </c>
      <c r="N8" s="270" t="str">
        <f>Mirror!N8</f>
        <v/>
      </c>
      <c r="O8" s="271" t="str">
        <f>Mirror!O8</f>
        <v/>
      </c>
      <c r="P8" s="271" t="str">
        <f>Mirror!P8</f>
        <v/>
      </c>
      <c r="Q8" s="271" t="str">
        <f>Mirror!Q8</f>
        <v/>
      </c>
      <c r="R8" s="271" t="str">
        <f>Mirror!R8</f>
        <v/>
      </c>
      <c r="S8" s="274">
        <f>Mirror!S8</f>
        <v>2</v>
      </c>
      <c r="T8" s="342" t="str">
        <f ca="1">Mirror!T8</f>
        <v/>
      </c>
      <c r="U8" s="333"/>
      <c r="Y8" s="340"/>
      <c r="Z8" s="340"/>
      <c r="AA8" s="340"/>
      <c r="AB8" s="340"/>
      <c r="AC8" s="340"/>
      <c r="AD8" s="340"/>
      <c r="AE8" s="340"/>
      <c r="AF8" s="340"/>
    </row>
    <row r="9" spans="1:42" ht="6.75" customHeight="1" x14ac:dyDescent="0.1">
      <c r="A9" s="341" t="str">
        <f>Mirror!A9</f>
        <v/>
      </c>
      <c r="B9" s="276" t="str">
        <f>Mirror!B9</f>
        <v/>
      </c>
      <c r="C9" s="277" t="str">
        <f>Mirror!C9</f>
        <v/>
      </c>
      <c r="D9" s="278" t="str">
        <f ca="1">Mirror!D9</f>
        <v/>
      </c>
      <c r="E9" s="277" t="str">
        <f ca="1">Mirror!E9</f>
        <v>合</v>
      </c>
      <c r="F9" s="277" t="str">
        <f ca="1">Mirror!F9</f>
        <v>符</v>
      </c>
      <c r="G9" s="277" t="str">
        <f>Mirror!G9</f>
        <v/>
      </c>
      <c r="H9" s="279" t="str">
        <f>Mirror!H9</f>
        <v/>
      </c>
      <c r="I9" s="280" t="str">
        <f>Mirror!I9</f>
        <v/>
      </c>
      <c r="J9" s="281" t="str">
        <f ca="1">Mirror!J9</f>
        <v/>
      </c>
      <c r="K9" s="280" t="str">
        <f ca="1">Mirror!K9</f>
        <v>阴</v>
      </c>
      <c r="L9" s="280" t="str">
        <f ca="1">Mirror!L9</f>
        <v>天</v>
      </c>
      <c r="M9" s="280" t="str">
        <f>Mirror!M9</f>
        <v/>
      </c>
      <c r="N9" s="276" t="str">
        <f>Mirror!N9</f>
        <v/>
      </c>
      <c r="O9" s="277" t="str">
        <f>Mirror!O9</f>
        <v/>
      </c>
      <c r="P9" s="278" t="str">
        <f ca="1">Mirror!P9</f>
        <v/>
      </c>
      <c r="Q9" s="277" t="str">
        <f ca="1">Mirror!Q9</f>
        <v>蛇</v>
      </c>
      <c r="R9" s="277" t="str">
        <f ca="1">Mirror!R9</f>
        <v>九</v>
      </c>
      <c r="S9" s="282" t="str">
        <f>Mirror!S9</f>
        <v/>
      </c>
      <c r="T9" s="342" t="str">
        <f ca="1">Mirror!T9</f>
        <v/>
      </c>
      <c r="U9" s="333"/>
      <c r="Y9" s="327"/>
      <c r="Z9" s="327"/>
      <c r="AA9" s="327"/>
      <c r="AB9" s="327"/>
      <c r="AC9" s="327"/>
      <c r="AD9" s="327"/>
      <c r="AE9" s="327"/>
      <c r="AF9" s="327"/>
    </row>
    <row r="10" spans="1:42" ht="6.75" customHeight="1" x14ac:dyDescent="0.1">
      <c r="A10" s="341" t="str">
        <f>Mirror!A10</f>
        <v/>
      </c>
      <c r="B10" s="276" t="str">
        <f>Mirror!B10</f>
        <v/>
      </c>
      <c r="C10" s="283" t="str">
        <f>Mirror!C10</f>
        <v/>
      </c>
      <c r="D10" s="284" t="str">
        <f ca="1">Mirror!D10</f>
        <v>癸</v>
      </c>
      <c r="E10" s="277" t="str">
        <f ca="1">Mirror!E10</f>
        <v>蓬</v>
      </c>
      <c r="F10" s="277" t="str">
        <f ca="1">Mirror!F10</f>
        <v>乙</v>
      </c>
      <c r="G10" s="277" t="str">
        <f ca="1">Mirror!G10</f>
        <v/>
      </c>
      <c r="H10" s="285" t="str">
        <f>Mirror!H10</f>
        <v/>
      </c>
      <c r="I10" s="286" t="str">
        <f>Mirror!I10</f>
        <v/>
      </c>
      <c r="J10" s="287" t="str">
        <f ca="1">Mirror!J10</f>
        <v>戊</v>
      </c>
      <c r="K10" s="280" t="str">
        <f ca="1">Mirror!K10</f>
        <v>任</v>
      </c>
      <c r="L10" s="280" t="str">
        <f ca="1">Mirror!L10</f>
        <v>己</v>
      </c>
      <c r="M10" s="280" t="str">
        <f ca="1">Mirror!M10</f>
        <v/>
      </c>
      <c r="N10" s="276" t="str">
        <f>Mirror!N10</f>
        <v/>
      </c>
      <c r="O10" s="283" t="str">
        <f>Mirror!O10</f>
        <v/>
      </c>
      <c r="P10" s="284" t="str">
        <f ca="1">Mirror!P10</f>
        <v>丙</v>
      </c>
      <c r="Q10" s="277" t="str">
        <f ca="1">Mirror!Q10</f>
        <v>冲</v>
      </c>
      <c r="R10" s="277" t="str">
        <f ca="1">Mirror!R10</f>
        <v>丁</v>
      </c>
      <c r="S10" s="282" t="str">
        <f ca="1">Mirror!S10</f>
        <v/>
      </c>
      <c r="T10" s="327" t="str">
        <f>Mirror!T10</f>
        <v/>
      </c>
      <c r="U10" s="333"/>
      <c r="Y10" s="327"/>
      <c r="Z10" s="327"/>
      <c r="AA10" s="327"/>
      <c r="AB10" s="327"/>
      <c r="AC10" s="327"/>
      <c r="AD10" s="327"/>
      <c r="AE10" s="327"/>
      <c r="AF10" s="327"/>
    </row>
    <row r="11" spans="1:42" ht="6.75" customHeight="1" x14ac:dyDescent="0.1">
      <c r="A11" s="341" t="str">
        <f>Mirror!A11</f>
        <v/>
      </c>
      <c r="B11" s="276" t="str">
        <f>Mirror!B11</f>
        <v/>
      </c>
      <c r="C11" s="283" t="str">
        <f>Mirror!C11</f>
        <v/>
      </c>
      <c r="D11" s="284" t="str">
        <f ca="1">Mirror!D11</f>
        <v/>
      </c>
      <c r="E11" s="277" t="str">
        <f ca="1">Mirror!E11</f>
        <v>休</v>
      </c>
      <c r="F11" s="277" t="str">
        <f ca="1">Mirror!F11</f>
        <v>癸</v>
      </c>
      <c r="G11" s="277" t="str">
        <f ca="1">Mirror!G11</f>
        <v/>
      </c>
      <c r="H11" s="279" t="str">
        <f>Mirror!H11</f>
        <v/>
      </c>
      <c r="I11" s="286" t="str">
        <f>Mirror!I11</f>
        <v/>
      </c>
      <c r="J11" s="287" t="str">
        <f ca="1">Mirror!J11</f>
        <v/>
      </c>
      <c r="K11" s="280" t="str">
        <f ca="1">Mirror!K11</f>
        <v>生</v>
      </c>
      <c r="L11" s="280" t="str">
        <f ca="1">Mirror!L11</f>
        <v>戊</v>
      </c>
      <c r="M11" s="280" t="str">
        <f ca="1">Mirror!M11</f>
        <v/>
      </c>
      <c r="N11" s="276" t="str">
        <f>Mirror!N11</f>
        <v/>
      </c>
      <c r="O11" s="283" t="str">
        <f>Mirror!O11</f>
        <v/>
      </c>
      <c r="P11" s="284" t="str">
        <f ca="1">Mirror!P11</f>
        <v>壬</v>
      </c>
      <c r="Q11" s="277" t="str">
        <f ca="1">Mirror!Q11</f>
        <v>伤</v>
      </c>
      <c r="R11" s="277" t="str">
        <f ca="1">Mirror!R11</f>
        <v>丙</v>
      </c>
      <c r="S11" s="282" t="str">
        <f ca="1">Mirror!S11</f>
        <v>壬</v>
      </c>
      <c r="T11" s="327" t="str">
        <f>Mirror!T11</f>
        <v/>
      </c>
      <c r="U11" s="430"/>
      <c r="V11" s="430"/>
      <c r="W11" s="430"/>
      <c r="X11" s="430"/>
      <c r="Y11" s="430"/>
      <c r="Z11" s="430"/>
      <c r="AA11" s="430"/>
      <c r="AB11" s="430"/>
      <c r="AC11" s="430"/>
      <c r="AD11" s="430"/>
      <c r="AE11" s="430"/>
      <c r="AF11" s="430"/>
      <c r="AG11" s="430"/>
      <c r="AH11" s="430"/>
      <c r="AI11" s="430"/>
      <c r="AJ11" s="430"/>
      <c r="AK11" s="430"/>
    </row>
    <row r="12" spans="1:42" ht="6.75" customHeight="1" x14ac:dyDescent="0.1">
      <c r="A12" s="341" t="str">
        <f>Mirror!A12</f>
        <v/>
      </c>
      <c r="B12" s="288" t="str">
        <f>Mirror!B12</f>
        <v/>
      </c>
      <c r="C12" s="277" t="str">
        <f>Mirror!C12</f>
        <v/>
      </c>
      <c r="D12" s="278" t="str">
        <f ca="1">Mirror!D12</f>
        <v/>
      </c>
      <c r="E12" s="278" t="str">
        <f ca="1">Mirror!E12</f>
        <v/>
      </c>
      <c r="F12" s="278" t="str">
        <f ca="1">Mirror!F12</f>
        <v>刑</v>
      </c>
      <c r="G12" s="278" t="str">
        <f ca="1">Mirror!G12</f>
        <v/>
      </c>
      <c r="H12" s="289" t="str">
        <f>Mirror!H12</f>
        <v/>
      </c>
      <c r="I12" s="280" t="str">
        <f>Mirror!I12</f>
        <v/>
      </c>
      <c r="J12" s="280" t="str">
        <f>Mirror!J12</f>
        <v/>
      </c>
      <c r="K12" s="281" t="str">
        <f ca="1">Mirror!K12</f>
        <v/>
      </c>
      <c r="L12" s="281" t="str">
        <f ca="1">Mirror!L12</f>
        <v/>
      </c>
      <c r="M12" s="280" t="str">
        <f>Mirror!M12</f>
        <v/>
      </c>
      <c r="N12" s="288" t="str">
        <f>Mirror!N12</f>
        <v/>
      </c>
      <c r="O12" s="277" t="str">
        <f>Mirror!O12</f>
        <v/>
      </c>
      <c r="P12" s="278" t="str">
        <f ca="1">Mirror!P12</f>
        <v/>
      </c>
      <c r="Q12" s="278" t="str">
        <f ca="1">Mirror!Q12</f>
        <v>迫</v>
      </c>
      <c r="R12" s="278" t="str">
        <f ca="1">Mirror!R12</f>
        <v/>
      </c>
      <c r="S12" s="290" t="str">
        <f ca="1">Mirror!S12</f>
        <v/>
      </c>
      <c r="T12" s="327" t="str">
        <f>Mirror!T12</f>
        <v/>
      </c>
      <c r="U12" s="430"/>
      <c r="V12" s="430"/>
      <c r="W12" s="430"/>
      <c r="X12" s="430"/>
      <c r="Y12" s="430"/>
      <c r="Z12" s="430"/>
      <c r="AA12" s="430"/>
      <c r="AB12" s="430"/>
      <c r="AC12" s="430"/>
      <c r="AD12" s="430"/>
      <c r="AE12" s="430"/>
      <c r="AF12" s="430"/>
      <c r="AG12" s="430"/>
      <c r="AH12" s="430"/>
      <c r="AI12" s="430"/>
      <c r="AJ12" s="430"/>
      <c r="AK12" s="430"/>
    </row>
    <row r="13" spans="1:42" ht="6.75" customHeight="1" x14ac:dyDescent="0.1">
      <c r="A13" s="341" t="str">
        <f>Mirror!A13</f>
        <v/>
      </c>
      <c r="B13" s="370"/>
      <c r="C13" s="369"/>
      <c r="D13" s="369"/>
      <c r="E13" s="369"/>
      <c r="F13" s="369"/>
      <c r="G13" s="369"/>
      <c r="H13" s="384"/>
      <c r="I13" s="372"/>
      <c r="J13" s="372"/>
      <c r="K13" s="372"/>
      <c r="L13" s="372"/>
      <c r="M13" s="372"/>
      <c r="N13" s="370"/>
      <c r="O13" s="369"/>
      <c r="P13" s="369"/>
      <c r="Q13" s="369"/>
      <c r="R13" s="369"/>
      <c r="S13" s="371"/>
      <c r="T13" s="335" t="str">
        <f>Mirror!T13</f>
        <v/>
      </c>
      <c r="U13" s="430"/>
      <c r="V13" s="430"/>
      <c r="W13" s="430"/>
      <c r="X13" s="430"/>
      <c r="Y13" s="430"/>
      <c r="Z13" s="430"/>
      <c r="AA13" s="430"/>
      <c r="AB13" s="430"/>
      <c r="AC13" s="430"/>
      <c r="AD13" s="430"/>
      <c r="AE13" s="430"/>
      <c r="AF13" s="430"/>
      <c r="AG13" s="430"/>
      <c r="AH13" s="430"/>
      <c r="AI13" s="430"/>
      <c r="AJ13" s="430"/>
      <c r="AK13" s="430"/>
    </row>
    <row r="14" spans="1:42" ht="6" customHeight="1" thickBot="1" x14ac:dyDescent="0.15">
      <c r="A14" s="341" t="str">
        <f>Mirror!A14</f>
        <v/>
      </c>
      <c r="B14" s="272" t="str">
        <f>Mirror!B14</f>
        <v/>
      </c>
      <c r="C14" s="273" t="str">
        <f>Mirror!C14</f>
        <v/>
      </c>
      <c r="D14" s="273" t="str">
        <f>Mirror!D14</f>
        <v/>
      </c>
      <c r="E14" s="273" t="str">
        <f>Mirror!E14</f>
        <v/>
      </c>
      <c r="F14" s="273" t="str">
        <f>Mirror!F14</f>
        <v/>
      </c>
      <c r="G14" s="273">
        <f>Mirror!G14</f>
        <v>3</v>
      </c>
      <c r="H14" s="291" t="str">
        <f>Mirror!H14</f>
        <v/>
      </c>
      <c r="I14" s="292"/>
      <c r="J14" s="292"/>
      <c r="K14" s="292"/>
      <c r="L14" s="293"/>
      <c r="M14" s="294" t="str">
        <f ca="1">Mirror!M14</f>
        <v>阴九局</v>
      </c>
      <c r="N14" s="272" t="str">
        <f>Mirror!N14</f>
        <v/>
      </c>
      <c r="O14" s="273" t="str">
        <f>Mirror!O14</f>
        <v/>
      </c>
      <c r="P14" s="273" t="str">
        <f>Mirror!P14</f>
        <v/>
      </c>
      <c r="Q14" s="273" t="str">
        <f>Mirror!Q14</f>
        <v/>
      </c>
      <c r="R14" s="273" t="str">
        <f>Mirror!R14</f>
        <v/>
      </c>
      <c r="S14" s="295">
        <f>Mirror!S14</f>
        <v>7</v>
      </c>
      <c r="T14" s="335" t="str">
        <f>Mirror!T14</f>
        <v/>
      </c>
      <c r="U14" s="430"/>
      <c r="V14" s="430"/>
      <c r="W14" s="430"/>
      <c r="X14" s="430"/>
      <c r="Y14" s="430"/>
      <c r="Z14" s="430"/>
      <c r="AA14" s="430"/>
      <c r="AB14" s="430"/>
      <c r="AC14" s="430"/>
      <c r="AD14" s="430"/>
      <c r="AE14" s="430"/>
      <c r="AF14" s="430"/>
      <c r="AG14" s="430"/>
      <c r="AH14" s="430"/>
      <c r="AI14" s="430"/>
      <c r="AJ14" s="430"/>
      <c r="AK14" s="430"/>
      <c r="AL14" s="343" t="s">
        <v>636</v>
      </c>
      <c r="AM14" s="344"/>
      <c r="AN14" s="344"/>
      <c r="AO14" s="344"/>
      <c r="AP14" s="344"/>
    </row>
    <row r="15" spans="1:42" ht="6.75" customHeight="1" x14ac:dyDescent="0.1">
      <c r="A15" s="341" t="str">
        <f>Mirror!A15</f>
        <v/>
      </c>
      <c r="B15" s="279" t="str">
        <f>Mirror!B15</f>
        <v/>
      </c>
      <c r="C15" s="280" t="str">
        <f>Mirror!C15</f>
        <v/>
      </c>
      <c r="D15" s="281" t="str">
        <f ca="1">Mirror!D15</f>
        <v/>
      </c>
      <c r="E15" s="280" t="str">
        <f ca="1">Mirror!E15</f>
        <v>虎</v>
      </c>
      <c r="F15" s="280" t="str">
        <f ca="1">Mirror!F15</f>
        <v>蛇</v>
      </c>
      <c r="G15" s="280" t="str">
        <f>Mirror!G15</f>
        <v/>
      </c>
      <c r="H15" s="296" t="str">
        <f>Mirror!H15</f>
        <v>值符</v>
      </c>
      <c r="I15" s="297"/>
      <c r="J15" s="297"/>
      <c r="K15" s="297"/>
      <c r="L15" s="298"/>
      <c r="M15" s="298" t="str">
        <f ca="1">Mirror!M15</f>
        <v>甲寅癸旬</v>
      </c>
      <c r="N15" s="279" t="str">
        <f>Mirror!N15</f>
        <v/>
      </c>
      <c r="O15" s="280" t="str">
        <f>Mirror!O15</f>
        <v/>
      </c>
      <c r="P15" s="281" t="str">
        <f ca="1">Mirror!P15</f>
        <v/>
      </c>
      <c r="Q15" s="280" t="str">
        <f ca="1">Mirror!Q15</f>
        <v>符</v>
      </c>
      <c r="R15" s="280" t="str">
        <f ca="1">Mirror!R15</f>
        <v>武</v>
      </c>
      <c r="S15" s="299" t="str">
        <f>Mirror!S15</f>
        <v/>
      </c>
      <c r="T15" s="335" t="str">
        <f>Mirror!T15</f>
        <v/>
      </c>
      <c r="U15" s="430"/>
      <c r="V15" s="430"/>
      <c r="W15" s="430"/>
      <c r="X15" s="430"/>
      <c r="Y15" s="430"/>
      <c r="Z15" s="430"/>
      <c r="AA15" s="430"/>
      <c r="AB15" s="430"/>
      <c r="AC15" s="430"/>
      <c r="AD15" s="430"/>
      <c r="AE15" s="430"/>
      <c r="AF15" s="430"/>
      <c r="AG15" s="430"/>
      <c r="AH15" s="430"/>
      <c r="AI15" s="430"/>
      <c r="AJ15" s="430"/>
      <c r="AK15" s="430"/>
      <c r="AL15" s="345" t="s">
        <v>13</v>
      </c>
      <c r="AM15" s="345" t="s">
        <v>645</v>
      </c>
      <c r="AN15" s="345" t="s">
        <v>646</v>
      </c>
      <c r="AO15" s="346" t="s">
        <v>647</v>
      </c>
      <c r="AP15" s="345" t="s">
        <v>648</v>
      </c>
    </row>
    <row r="16" spans="1:42" ht="6.75" customHeight="1" x14ac:dyDescent="0.1">
      <c r="A16" s="341" t="str">
        <f>Mirror!A16</f>
        <v/>
      </c>
      <c r="B16" s="285" t="str">
        <f>Mirror!B16</f>
        <v/>
      </c>
      <c r="C16" s="286" t="str">
        <f>Mirror!C16</f>
        <v/>
      </c>
      <c r="D16" s="287" t="str">
        <f ca="1">Mirror!D16</f>
        <v>丁</v>
      </c>
      <c r="E16" s="280" t="str">
        <f ca="1">Mirror!E16</f>
        <v>心</v>
      </c>
      <c r="F16" s="280" t="str">
        <f ca="1">Mirror!F16</f>
        <v>辛</v>
      </c>
      <c r="G16" s="280" t="str">
        <f ca="1">Mirror!G16</f>
        <v/>
      </c>
      <c r="H16" s="300" t="str">
        <f ca="1">Mirror!H16</f>
        <v>辅</v>
      </c>
      <c r="I16" s="297"/>
      <c r="J16" s="301"/>
      <c r="K16" s="298"/>
      <c r="L16" s="298"/>
      <c r="M16" s="298" t="str">
        <f ca="1">Mirror!M16</f>
        <v>庚申時</v>
      </c>
      <c r="N16" s="285" t="str">
        <f>Mirror!N16</f>
        <v/>
      </c>
      <c r="O16" s="286" t="str">
        <f>Mirror!O16</f>
        <v/>
      </c>
      <c r="P16" s="287" t="str">
        <f ca="1">Mirror!P16</f>
        <v>庚</v>
      </c>
      <c r="Q16" s="280" t="str">
        <f ca="1">Mirror!Q16</f>
        <v>辅</v>
      </c>
      <c r="R16" s="280" t="str">
        <f ca="1">Mirror!R16</f>
        <v>癸</v>
      </c>
      <c r="S16" s="299" t="str">
        <f ca="1">Mirror!S16</f>
        <v/>
      </c>
      <c r="T16" s="327" t="str">
        <f>Mirror!T16</f>
        <v/>
      </c>
      <c r="U16" s="430"/>
      <c r="V16" s="430"/>
      <c r="W16" s="430"/>
      <c r="X16" s="430"/>
      <c r="Y16" s="430"/>
      <c r="Z16" s="430"/>
      <c r="AA16" s="430"/>
      <c r="AB16" s="430"/>
      <c r="AC16" s="430"/>
      <c r="AD16" s="430"/>
      <c r="AE16" s="430"/>
      <c r="AF16" s="430"/>
      <c r="AG16" s="430"/>
      <c r="AH16" s="430"/>
      <c r="AI16" s="430"/>
      <c r="AJ16" s="430"/>
      <c r="AK16" s="430"/>
      <c r="AL16" s="349" t="s">
        <v>16</v>
      </c>
      <c r="AM16" s="428" t="s">
        <v>652</v>
      </c>
      <c r="AN16" s="428" t="s">
        <v>634</v>
      </c>
      <c r="AO16" s="429" t="s">
        <v>26</v>
      </c>
      <c r="AP16" s="347"/>
    </row>
    <row r="17" spans="1:42" ht="6.75" customHeight="1" x14ac:dyDescent="0.1">
      <c r="A17" s="341" t="str">
        <f>Mirror!A17</f>
        <v/>
      </c>
      <c r="B17" s="279" t="str">
        <f>Mirror!B17</f>
        <v/>
      </c>
      <c r="C17" s="286" t="str">
        <f>Mirror!C17</f>
        <v/>
      </c>
      <c r="D17" s="287" t="str">
        <f ca="1">Mirror!D17</f>
        <v/>
      </c>
      <c r="E17" s="280" t="str">
        <f ca="1">Mirror!E17</f>
        <v>开</v>
      </c>
      <c r="F17" s="280" t="str">
        <f ca="1">Mirror!F17</f>
        <v>丁</v>
      </c>
      <c r="G17" s="280" t="str">
        <f ca="1">Mirror!G17</f>
        <v/>
      </c>
      <c r="H17" s="296" t="str">
        <f>Mirror!H17</f>
        <v>值使</v>
      </c>
      <c r="I17" s="297"/>
      <c r="J17" s="301"/>
      <c r="K17" s="298"/>
      <c r="L17" s="298"/>
      <c r="M17" s="301" t="str">
        <f>Mirror!M17</f>
        <v/>
      </c>
      <c r="N17" s="279" t="str">
        <f>Mirror!N17</f>
        <v/>
      </c>
      <c r="O17" s="286" t="str">
        <f>Mirror!O17</f>
        <v/>
      </c>
      <c r="P17" s="287" t="str">
        <f ca="1">Mirror!P17</f>
        <v/>
      </c>
      <c r="Q17" s="280" t="str">
        <f ca="1">Mirror!Q17</f>
        <v>杜</v>
      </c>
      <c r="R17" s="280" t="str">
        <f ca="1">Mirror!R17</f>
        <v>庚</v>
      </c>
      <c r="S17" s="299" t="str">
        <f ca="1">Mirror!S17</f>
        <v/>
      </c>
      <c r="T17" s="327" t="str">
        <f>Mirror!T17</f>
        <v/>
      </c>
      <c r="U17" s="430"/>
      <c r="V17" s="430"/>
      <c r="W17" s="430"/>
      <c r="X17" s="430"/>
      <c r="Y17" s="430"/>
      <c r="Z17" s="430"/>
      <c r="AA17" s="430"/>
      <c r="AB17" s="430"/>
      <c r="AC17" s="430"/>
      <c r="AD17" s="430"/>
      <c r="AE17" s="430"/>
      <c r="AF17" s="430"/>
      <c r="AG17" s="430"/>
      <c r="AH17" s="430"/>
      <c r="AI17" s="430"/>
      <c r="AJ17" s="430"/>
      <c r="AK17" s="430"/>
      <c r="AL17" s="349" t="s">
        <v>19</v>
      </c>
      <c r="AM17" s="350" t="s">
        <v>654</v>
      </c>
      <c r="AN17" s="350" t="s">
        <v>655</v>
      </c>
      <c r="AO17" s="351" t="s">
        <v>656</v>
      </c>
      <c r="AP17" s="347" t="s">
        <v>634</v>
      </c>
    </row>
    <row r="18" spans="1:42" ht="6.75" customHeight="1" x14ac:dyDescent="0.1">
      <c r="A18" s="341" t="str">
        <f>Mirror!A18</f>
        <v/>
      </c>
      <c r="B18" s="289" t="str">
        <f>Mirror!B18</f>
        <v/>
      </c>
      <c r="C18" s="280" t="str">
        <f>Mirror!C18</f>
        <v/>
      </c>
      <c r="D18" s="280" t="str">
        <f>Mirror!D18</f>
        <v/>
      </c>
      <c r="E18" s="281" t="str">
        <f ca="1">Mirror!E18</f>
        <v>迫</v>
      </c>
      <c r="F18" s="281" t="str">
        <f ca="1">Mirror!F18</f>
        <v/>
      </c>
      <c r="G18" s="280" t="str">
        <f>Mirror!G18</f>
        <v/>
      </c>
      <c r="H18" s="300" t="str">
        <f ca="1">Mirror!H18</f>
        <v>杜</v>
      </c>
      <c r="I18" s="297"/>
      <c r="J18" s="301"/>
      <c r="K18" s="298"/>
      <c r="L18" s="298"/>
      <c r="M18" s="301" t="str">
        <f>Mirror!M18</f>
        <v/>
      </c>
      <c r="N18" s="289" t="str">
        <f>Mirror!N18</f>
        <v/>
      </c>
      <c r="O18" s="280" t="str">
        <f>Mirror!O18</f>
        <v/>
      </c>
      <c r="P18" s="280" t="str">
        <f>Mirror!P18</f>
        <v/>
      </c>
      <c r="Q18" s="281" t="str">
        <f ca="1">Mirror!Q18</f>
        <v/>
      </c>
      <c r="R18" s="281" t="str">
        <f ca="1">Mirror!R18</f>
        <v/>
      </c>
      <c r="S18" s="299" t="str">
        <f>Mirror!S18</f>
        <v/>
      </c>
      <c r="T18" s="327" t="str">
        <f>Mirror!T18</f>
        <v/>
      </c>
      <c r="U18" s="430"/>
      <c r="V18" s="430"/>
      <c r="W18" s="430"/>
      <c r="X18" s="430"/>
      <c r="Y18" s="430"/>
      <c r="Z18" s="430"/>
      <c r="AA18" s="430"/>
      <c r="AB18" s="430"/>
      <c r="AC18" s="430"/>
      <c r="AD18" s="430"/>
      <c r="AE18" s="430"/>
      <c r="AF18" s="430"/>
      <c r="AG18" s="430"/>
      <c r="AH18" s="430"/>
      <c r="AI18" s="430"/>
      <c r="AJ18" s="430"/>
      <c r="AK18" s="430"/>
      <c r="AL18" s="352" t="s">
        <v>22</v>
      </c>
      <c r="AM18" s="353" t="s">
        <v>659</v>
      </c>
      <c r="AN18" s="353" t="s">
        <v>660</v>
      </c>
      <c r="AO18" s="354" t="s">
        <v>661</v>
      </c>
      <c r="AP18" s="347" t="s">
        <v>635</v>
      </c>
    </row>
    <row r="19" spans="1:42" ht="6.75" customHeight="1" thickBot="1" x14ac:dyDescent="0.15">
      <c r="A19" s="341" t="str">
        <f>Mirror!A19</f>
        <v/>
      </c>
      <c r="B19" s="289" t="str">
        <f>Mirror!B19</f>
        <v/>
      </c>
      <c r="C19" s="280" t="str">
        <f>Mirror!C19</f>
        <v/>
      </c>
      <c r="D19" s="280" t="str">
        <f>Mirror!D19</f>
        <v/>
      </c>
      <c r="E19" s="281" t="str">
        <f>Mirror!E19</f>
        <v/>
      </c>
      <c r="F19" s="281" t="str">
        <f>Mirror!F19</f>
        <v/>
      </c>
      <c r="G19" s="280" t="str">
        <f>Mirror!G19</f>
        <v/>
      </c>
      <c r="H19" s="300" t="str">
        <f>Mirror!H19</f>
        <v/>
      </c>
      <c r="I19" s="297"/>
      <c r="J19" s="301"/>
      <c r="K19" s="298"/>
      <c r="L19" s="298"/>
      <c r="M19" s="301" t="str">
        <f ca="1">Mirror!M19</f>
        <v>壬</v>
      </c>
      <c r="N19" s="289" t="str">
        <f>Mirror!N19</f>
        <v/>
      </c>
      <c r="O19" s="280" t="str">
        <f>Mirror!O19</f>
        <v/>
      </c>
      <c r="P19" s="280" t="str">
        <f>Mirror!P19</f>
        <v/>
      </c>
      <c r="Q19" s="281" t="str">
        <f>Mirror!Q19</f>
        <v/>
      </c>
      <c r="R19" s="281" t="str">
        <f>Mirror!R19</f>
        <v/>
      </c>
      <c r="S19" s="299" t="str">
        <f>Mirror!S19</f>
        <v/>
      </c>
      <c r="T19" s="327" t="str">
        <f>Mirror!T19</f>
        <v/>
      </c>
      <c r="U19" s="430"/>
      <c r="V19" s="430"/>
      <c r="W19" s="430"/>
      <c r="X19" s="430"/>
      <c r="Y19" s="430"/>
      <c r="Z19" s="430"/>
      <c r="AA19" s="430"/>
      <c r="AB19" s="430"/>
      <c r="AC19" s="430"/>
      <c r="AD19" s="430"/>
      <c r="AE19" s="430"/>
      <c r="AF19" s="430"/>
      <c r="AG19" s="430"/>
      <c r="AH19" s="430"/>
      <c r="AI19" s="430"/>
      <c r="AJ19" s="430"/>
      <c r="AK19" s="430"/>
      <c r="AL19" s="352" t="s">
        <v>25</v>
      </c>
      <c r="AM19" s="353" t="s">
        <v>663</v>
      </c>
      <c r="AN19" s="353" t="s">
        <v>664</v>
      </c>
      <c r="AO19" s="354" t="s">
        <v>17</v>
      </c>
      <c r="AP19" s="348" t="s">
        <v>846</v>
      </c>
    </row>
    <row r="20" spans="1:42" ht="6.75" customHeight="1" x14ac:dyDescent="0.1">
      <c r="A20" s="341" t="str">
        <f>Mirror!A20</f>
        <v/>
      </c>
      <c r="B20" s="270" t="str">
        <f>Mirror!B20</f>
        <v/>
      </c>
      <c r="C20" s="271" t="str">
        <f>Mirror!C20</f>
        <v/>
      </c>
      <c r="D20" s="271" t="str">
        <f>Mirror!D20</f>
        <v/>
      </c>
      <c r="E20" s="271" t="str">
        <f>Mirror!E20</f>
        <v/>
      </c>
      <c r="F20" s="271" t="str">
        <f>Mirror!F20</f>
        <v/>
      </c>
      <c r="G20" s="271">
        <f>Mirror!G20</f>
        <v>8</v>
      </c>
      <c r="H20" s="272" t="str">
        <f>Mirror!H20</f>
        <v/>
      </c>
      <c r="I20" s="273" t="str">
        <f>Mirror!I20</f>
        <v/>
      </c>
      <c r="J20" s="273" t="str">
        <f>Mirror!J20</f>
        <v/>
      </c>
      <c r="K20" s="273" t="str">
        <f>Mirror!K20</f>
        <v/>
      </c>
      <c r="L20" s="273" t="str">
        <f>Mirror!L20</f>
        <v/>
      </c>
      <c r="M20" s="273">
        <f>Mirror!M20</f>
        <v>1</v>
      </c>
      <c r="N20" s="270" t="str">
        <f>Mirror!N20</f>
        <v/>
      </c>
      <c r="O20" s="271" t="str">
        <f>Mirror!O20</f>
        <v/>
      </c>
      <c r="P20" s="271" t="str">
        <f>Mirror!P20</f>
        <v/>
      </c>
      <c r="Q20" s="271" t="str">
        <f>Mirror!Q20</f>
        <v/>
      </c>
      <c r="R20" s="271" t="str">
        <f>Mirror!R20</f>
        <v/>
      </c>
      <c r="S20" s="274">
        <f>Mirror!S20</f>
        <v>6</v>
      </c>
      <c r="T20" s="327" t="str">
        <f>Mirror!T20</f>
        <v/>
      </c>
      <c r="U20" s="430"/>
      <c r="V20" s="430"/>
      <c r="W20" s="430"/>
      <c r="X20" s="430"/>
      <c r="Y20" s="430"/>
      <c r="Z20" s="430"/>
      <c r="AA20" s="430"/>
      <c r="AB20" s="430"/>
      <c r="AC20" s="430"/>
      <c r="AD20" s="430"/>
      <c r="AE20" s="430"/>
      <c r="AF20" s="430"/>
      <c r="AG20" s="430"/>
      <c r="AH20" s="430"/>
      <c r="AI20" s="430"/>
      <c r="AJ20" s="430"/>
      <c r="AK20" s="430"/>
      <c r="AL20" s="352" t="s">
        <v>666</v>
      </c>
      <c r="AM20" s="353" t="s">
        <v>667</v>
      </c>
      <c r="AN20" s="353" t="s">
        <v>668</v>
      </c>
      <c r="AO20" s="354" t="s">
        <v>669</v>
      </c>
      <c r="AP20" s="355"/>
    </row>
    <row r="21" spans="1:42" ht="6.75" customHeight="1" x14ac:dyDescent="0.1">
      <c r="A21" s="341" t="str">
        <f>Mirror!A21</f>
        <v/>
      </c>
      <c r="B21" s="276" t="str">
        <f>Mirror!B21</f>
        <v/>
      </c>
      <c r="C21" s="277" t="str">
        <f>Mirror!C21</f>
        <v/>
      </c>
      <c r="D21" s="278" t="str">
        <f ca="1">Mirror!D21</f>
        <v>空</v>
      </c>
      <c r="E21" s="277" t="str">
        <f ca="1">Mirror!E21</f>
        <v>武</v>
      </c>
      <c r="F21" s="277" t="str">
        <f ca="1">Mirror!F21</f>
        <v>阴</v>
      </c>
      <c r="G21" s="277" t="str">
        <f>Mirror!G21</f>
        <v/>
      </c>
      <c r="H21" s="279" t="str">
        <f>Mirror!H21</f>
        <v/>
      </c>
      <c r="I21" s="280" t="str">
        <f>Mirror!I21</f>
        <v/>
      </c>
      <c r="J21" s="281" t="str">
        <f ca="1">Mirror!J21</f>
        <v>空</v>
      </c>
      <c r="K21" s="280" t="str">
        <f ca="1">Mirror!K21</f>
        <v>九</v>
      </c>
      <c r="L21" s="280" t="str">
        <f ca="1">Mirror!L21</f>
        <v>合</v>
      </c>
      <c r="M21" s="280" t="str">
        <f>Mirror!M21</f>
        <v/>
      </c>
      <c r="N21" s="276" t="str">
        <f>Mirror!N21</f>
        <v/>
      </c>
      <c r="O21" s="277" t="str">
        <f>Mirror!O21</f>
        <v/>
      </c>
      <c r="P21" s="278" t="str">
        <f ca="1">Mirror!P21</f>
        <v/>
      </c>
      <c r="Q21" s="277" t="str">
        <f ca="1">Mirror!Q21</f>
        <v>天</v>
      </c>
      <c r="R21" s="277" t="str">
        <f ca="1">Mirror!R21</f>
        <v>虎</v>
      </c>
      <c r="S21" s="282" t="str">
        <f>Mirror!S21</f>
        <v/>
      </c>
      <c r="T21" s="335" t="str">
        <f>Mirror!T21</f>
        <v/>
      </c>
      <c r="U21" s="430"/>
      <c r="V21" s="430"/>
      <c r="W21" s="430"/>
      <c r="X21" s="430"/>
      <c r="Y21" s="430"/>
      <c r="Z21" s="430"/>
      <c r="AA21" s="430"/>
      <c r="AB21" s="430"/>
      <c r="AC21" s="430"/>
      <c r="AD21" s="430"/>
      <c r="AE21" s="430"/>
      <c r="AF21" s="430"/>
      <c r="AG21" s="430"/>
      <c r="AH21" s="430"/>
      <c r="AI21" s="430"/>
      <c r="AJ21" s="430"/>
      <c r="AK21" s="430"/>
      <c r="AL21" s="352" t="s">
        <v>31</v>
      </c>
      <c r="AM21" s="353" t="s">
        <v>672</v>
      </c>
      <c r="AN21" s="353" t="s">
        <v>673</v>
      </c>
      <c r="AO21" s="354" t="s">
        <v>674</v>
      </c>
      <c r="AP21" s="355"/>
    </row>
    <row r="22" spans="1:42" ht="6.75" customHeight="1" thickBot="1" x14ac:dyDescent="0.15">
      <c r="A22" s="341"/>
      <c r="B22" s="276" t="str">
        <f>Mirror!B22</f>
        <v/>
      </c>
      <c r="C22" s="283" t="str">
        <f>Mirror!C22</f>
        <v/>
      </c>
      <c r="D22" s="284" t="str">
        <f ca="1">Mirror!D22</f>
        <v>己</v>
      </c>
      <c r="E22" s="277" t="str">
        <f ca="1">Mirror!E22</f>
        <v>柱</v>
      </c>
      <c r="F22" s="277" t="str">
        <f ca="1">Mirror!F22</f>
        <v>庚</v>
      </c>
      <c r="G22" s="277" t="str">
        <f ca="1">Mirror!G22</f>
        <v/>
      </c>
      <c r="H22" s="285" t="str">
        <f>Mirror!H22</f>
        <v/>
      </c>
      <c r="I22" s="286" t="str">
        <f>Mirror!I22</f>
        <v/>
      </c>
      <c r="J22" s="287" t="str">
        <f ca="1">Mirror!J22</f>
        <v>乙</v>
      </c>
      <c r="K22" s="280" t="str">
        <f ca="1">Mirror!K22</f>
        <v>芮</v>
      </c>
      <c r="L22" s="280" t="str">
        <f ca="1">Mirror!L22</f>
        <v>丙</v>
      </c>
      <c r="M22" s="280" t="str">
        <f ca="1">Mirror!M22</f>
        <v>壬</v>
      </c>
      <c r="N22" s="276" t="str">
        <f>Mirror!N22</f>
        <v/>
      </c>
      <c r="O22" s="283" t="str">
        <f>Mirror!O22</f>
        <v/>
      </c>
      <c r="P22" s="284" t="str">
        <f ca="1">Mirror!P22</f>
        <v>辛</v>
      </c>
      <c r="Q22" s="277" t="str">
        <f ca="1">Mirror!Q22</f>
        <v>英</v>
      </c>
      <c r="R22" s="277" t="str">
        <f ca="1">Mirror!R22</f>
        <v>戊</v>
      </c>
      <c r="S22" s="282" t="str">
        <f ca="1">Mirror!S22</f>
        <v/>
      </c>
      <c r="T22" s="335" t="str">
        <f>Mirror!T22</f>
        <v/>
      </c>
      <c r="U22" s="430"/>
      <c r="V22" s="430"/>
      <c r="W22" s="430"/>
      <c r="X22" s="430"/>
      <c r="Y22" s="430"/>
      <c r="Z22" s="430"/>
      <c r="AA22" s="430"/>
      <c r="AB22" s="430"/>
      <c r="AC22" s="430"/>
      <c r="AD22" s="430"/>
      <c r="AE22" s="430"/>
      <c r="AF22" s="430"/>
      <c r="AG22" s="430"/>
      <c r="AH22" s="430"/>
      <c r="AI22" s="430"/>
      <c r="AJ22" s="430"/>
      <c r="AK22" s="430"/>
      <c r="AL22" s="352" t="s">
        <v>4</v>
      </c>
      <c r="AM22" s="356" t="s">
        <v>675</v>
      </c>
      <c r="AN22" s="357" t="s">
        <v>676</v>
      </c>
      <c r="AO22" s="358" t="s">
        <v>677</v>
      </c>
      <c r="AP22" s="355"/>
    </row>
    <row r="23" spans="1:42" ht="6.75" customHeight="1" x14ac:dyDescent="0.1">
      <c r="A23" s="341"/>
      <c r="B23" s="276" t="str">
        <f>Mirror!B23</f>
        <v/>
      </c>
      <c r="C23" s="283" t="str">
        <f>Mirror!C23</f>
        <v/>
      </c>
      <c r="D23" s="284" t="str">
        <f ca="1">Mirror!D23</f>
        <v/>
      </c>
      <c r="E23" s="277" t="str">
        <f ca="1">Mirror!E23</f>
        <v>惊</v>
      </c>
      <c r="F23" s="277" t="str">
        <f ca="1">Mirror!F23</f>
        <v>己</v>
      </c>
      <c r="G23" s="277" t="str">
        <f ca="1">Mirror!G23</f>
        <v/>
      </c>
      <c r="H23" s="279" t="str">
        <f>Mirror!H23</f>
        <v/>
      </c>
      <c r="I23" s="286" t="str">
        <f>Mirror!I23</f>
        <v/>
      </c>
      <c r="J23" s="287" t="str">
        <f ca="1">Mirror!J23</f>
        <v/>
      </c>
      <c r="K23" s="280" t="str">
        <f ca="1">Mirror!K23</f>
        <v>死</v>
      </c>
      <c r="L23" s="280" t="str">
        <f ca="1">Mirror!L23</f>
        <v>乙</v>
      </c>
      <c r="M23" s="280" t="str">
        <f ca="1">Mirror!M23</f>
        <v/>
      </c>
      <c r="N23" s="276" t="str">
        <f>Mirror!N23</f>
        <v/>
      </c>
      <c r="O23" s="283" t="str">
        <f>Mirror!O23</f>
        <v/>
      </c>
      <c r="P23" s="284" t="str">
        <f ca="1">Mirror!P23</f>
        <v/>
      </c>
      <c r="Q23" s="277" t="str">
        <f ca="1">Mirror!Q23</f>
        <v>景</v>
      </c>
      <c r="R23" s="277" t="str">
        <f ca="1">Mirror!R23</f>
        <v>辛</v>
      </c>
      <c r="S23" s="282" t="str">
        <f ca="1">Mirror!S23</f>
        <v/>
      </c>
      <c r="T23" s="335"/>
      <c r="U23" s="430"/>
      <c r="V23" s="430"/>
      <c r="W23" s="430"/>
      <c r="X23" s="430"/>
      <c r="Y23" s="430"/>
      <c r="Z23" s="430"/>
      <c r="AA23" s="430"/>
      <c r="AB23" s="430"/>
      <c r="AC23" s="430"/>
      <c r="AD23" s="430"/>
      <c r="AE23" s="430"/>
      <c r="AF23" s="430"/>
      <c r="AG23" s="430"/>
      <c r="AH23" s="430"/>
      <c r="AI23" s="430"/>
      <c r="AJ23" s="430"/>
      <c r="AK23" s="430"/>
      <c r="AL23" s="359" t="s">
        <v>7</v>
      </c>
      <c r="AN23" s="323"/>
      <c r="AO23" s="355"/>
      <c r="AP23" s="355"/>
    </row>
    <row r="24" spans="1:42" ht="6" customHeight="1" thickBot="1" x14ac:dyDescent="0.15">
      <c r="A24" s="341"/>
      <c r="B24" s="288" t="str">
        <f>Mirror!B24</f>
        <v/>
      </c>
      <c r="C24" s="277" t="str">
        <f>Mirror!C24</f>
        <v/>
      </c>
      <c r="D24" s="278" t="str">
        <f ca="1">Mirror!D24</f>
        <v>馬</v>
      </c>
      <c r="E24" s="278" t="str">
        <f ca="1">Mirror!E24</f>
        <v/>
      </c>
      <c r="F24" s="278" t="str">
        <f ca="1">Mirror!F24</f>
        <v>刑</v>
      </c>
      <c r="G24" s="278" t="str">
        <f ca="1">Mirror!G24</f>
        <v>墓</v>
      </c>
      <c r="H24" s="289" t="str">
        <f>Mirror!H24</f>
        <v/>
      </c>
      <c r="I24" s="280" t="str">
        <f>Mirror!I24</f>
        <v/>
      </c>
      <c r="J24" s="280" t="str">
        <f>Mirror!J24</f>
        <v/>
      </c>
      <c r="K24" s="281" t="str">
        <f ca="1">Mirror!K24</f>
        <v>迫</v>
      </c>
      <c r="L24" s="281" t="str">
        <f ca="1">Mirror!L24</f>
        <v/>
      </c>
      <c r="M24" s="280" t="str">
        <f>Mirror!M24</f>
        <v/>
      </c>
      <c r="N24" s="288" t="str">
        <f>Mirror!N24</f>
        <v/>
      </c>
      <c r="O24" s="277" t="str">
        <f>Mirror!O24</f>
        <v/>
      </c>
      <c r="P24" s="278" t="str">
        <f ca="1">Mirror!P24</f>
        <v/>
      </c>
      <c r="Q24" s="278" t="str">
        <f ca="1">Mirror!Q24</f>
        <v>迫</v>
      </c>
      <c r="R24" s="278" t="str">
        <f ca="1">Mirror!R24</f>
        <v/>
      </c>
      <c r="S24" s="290" t="str">
        <f ca="1">Mirror!S24</f>
        <v>墓</v>
      </c>
      <c r="T24" s="335"/>
      <c r="U24" s="430"/>
      <c r="V24" s="430"/>
      <c r="W24" s="430"/>
      <c r="X24" s="430"/>
      <c r="Y24" s="430"/>
      <c r="Z24" s="430"/>
      <c r="AA24" s="430"/>
      <c r="AB24" s="430"/>
      <c r="AC24" s="430"/>
      <c r="AD24" s="430"/>
      <c r="AE24" s="430"/>
      <c r="AF24" s="430"/>
      <c r="AG24" s="430"/>
      <c r="AH24" s="430"/>
      <c r="AI24" s="430"/>
      <c r="AJ24" s="430"/>
      <c r="AK24" s="430"/>
      <c r="AL24" s="360" t="s">
        <v>10</v>
      </c>
      <c r="AN24" s="355"/>
      <c r="AO24" s="355"/>
      <c r="AP24" s="355"/>
    </row>
    <row r="25" spans="1:42" ht="6" customHeight="1" thickBot="1" x14ac:dyDescent="0.15">
      <c r="A25" s="341"/>
      <c r="B25" s="302"/>
      <c r="C25" s="303"/>
      <c r="D25" s="304"/>
      <c r="E25" s="304"/>
      <c r="F25" s="304"/>
      <c r="G25" s="304"/>
      <c r="H25" s="305"/>
      <c r="I25" s="306"/>
      <c r="J25" s="306"/>
      <c r="K25" s="307"/>
      <c r="L25" s="307"/>
      <c r="M25" s="306"/>
      <c r="N25" s="302"/>
      <c r="O25" s="303"/>
      <c r="P25" s="304"/>
      <c r="Q25" s="304"/>
      <c r="R25" s="304"/>
      <c r="S25" s="308"/>
      <c r="T25" s="335"/>
      <c r="U25" s="430"/>
      <c r="V25" s="430"/>
      <c r="W25" s="430"/>
      <c r="X25" s="430"/>
      <c r="Y25" s="430"/>
      <c r="Z25" s="430"/>
      <c r="AA25" s="430"/>
      <c r="AB25" s="430"/>
      <c r="AC25" s="430"/>
      <c r="AD25" s="430"/>
      <c r="AE25" s="430"/>
      <c r="AF25" s="430"/>
      <c r="AG25" s="430"/>
      <c r="AH25" s="430"/>
      <c r="AI25" s="430"/>
      <c r="AJ25" s="430"/>
      <c r="AK25" s="430"/>
    </row>
    <row r="26" spans="1:42" ht="6" customHeight="1" x14ac:dyDescent="0.1">
      <c r="A26" s="341"/>
      <c r="B26" s="361"/>
      <c r="C26" s="361"/>
      <c r="D26" s="362"/>
      <c r="E26" s="335"/>
      <c r="F26" s="335"/>
      <c r="G26" s="335"/>
      <c r="H26" s="335"/>
      <c r="I26" s="335"/>
      <c r="J26" s="335"/>
      <c r="K26" s="335"/>
      <c r="L26" s="335"/>
      <c r="M26" s="335"/>
      <c r="N26" s="335"/>
      <c r="O26" s="335"/>
      <c r="P26" s="335"/>
      <c r="Q26" s="335"/>
      <c r="R26" s="335"/>
      <c r="S26" s="335"/>
      <c r="T26" s="335"/>
      <c r="U26" s="430"/>
      <c r="V26" s="430"/>
      <c r="W26" s="430"/>
      <c r="X26" s="430"/>
      <c r="Y26" s="430"/>
      <c r="Z26" s="430"/>
      <c r="AA26" s="430"/>
      <c r="AB26" s="430"/>
      <c r="AC26" s="430"/>
      <c r="AD26" s="430"/>
      <c r="AE26" s="430"/>
      <c r="AF26" s="430"/>
      <c r="AG26" s="430"/>
      <c r="AH26" s="430"/>
      <c r="AI26" s="430"/>
      <c r="AJ26" s="430"/>
      <c r="AK26" s="430"/>
      <c r="AL26" s="363">
        <v>1</v>
      </c>
      <c r="AM26" s="364" t="s">
        <v>15</v>
      </c>
    </row>
  </sheetData>
  <sheetProtection password="DE02" sheet="1" objects="1" scenarios="1" selectLockedCells="1"/>
  <mergeCells count="15">
    <mergeCell ref="B6:E6"/>
    <mergeCell ref="B2:C2"/>
    <mergeCell ref="F5:N5"/>
    <mergeCell ref="F4:N4"/>
    <mergeCell ref="H6:I6"/>
    <mergeCell ref="L6:M6"/>
    <mergeCell ref="R2:S2"/>
    <mergeCell ref="B3:C3"/>
    <mergeCell ref="R3:S3"/>
    <mergeCell ref="R5:S5"/>
    <mergeCell ref="B4:C4"/>
    <mergeCell ref="D4:E4"/>
    <mergeCell ref="R4:S4"/>
    <mergeCell ref="D5:E5"/>
    <mergeCell ref="D3:G3"/>
  </mergeCells>
  <phoneticPr fontId="26" type="noConversion"/>
  <dataValidations count="1">
    <dataValidation type="whole" allowBlank="1" showInputMessage="1" showErrorMessage="1" sqref="J3:J4" xr:uid="{00000000-0002-0000-0600-000000000000}">
      <formula1>0</formula1>
      <formula2>7</formula2>
    </dataValidation>
  </dataValidations>
  <pageMargins left="0.7" right="0.7" top="0.75" bottom="0.75" header="0.3" footer="0.3"/>
  <pageSetup paperSize="9" scale="294" fitToHeight="0"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Now_date_and_time">
                <anchor moveWithCells="1" sizeWithCells="1">
                  <from>
                    <xdr:col>20</xdr:col>
                    <xdr:colOff>25400</xdr:colOff>
                    <xdr:row>1</xdr:row>
                    <xdr:rowOff>25400</xdr:rowOff>
                  </from>
                  <to>
                    <xdr:col>20</xdr:col>
                    <xdr:colOff>444500</xdr:colOff>
                    <xdr:row>2</xdr:row>
                    <xdr:rowOff>63500</xdr:rowOff>
                  </to>
                </anchor>
              </controlPr>
            </control>
          </mc:Choice>
        </mc:AlternateContent>
        <mc:AlternateContent xmlns:mc="http://schemas.openxmlformats.org/markup-compatibility/2006">
          <mc:Choice Requires="x14">
            <control shapeId="14339" r:id="rId4" name="Button 3">
              <controlPr defaultSize="0" print="0" autoFill="0" autoPict="0" macro="[0]!No_Turn_Buttom">
                <anchor moveWithCells="1" sizeWithCells="1">
                  <from>
                    <xdr:col>20</xdr:col>
                    <xdr:colOff>25400</xdr:colOff>
                    <xdr:row>7</xdr:row>
                    <xdr:rowOff>25400</xdr:rowOff>
                  </from>
                  <to>
                    <xdr:col>20</xdr:col>
                    <xdr:colOff>444500</xdr:colOff>
                    <xdr:row>9</xdr:row>
                    <xdr:rowOff>38100</xdr:rowOff>
                  </to>
                </anchor>
              </controlPr>
            </control>
          </mc:Choice>
        </mc:AlternateContent>
        <mc:AlternateContent xmlns:mc="http://schemas.openxmlformats.org/markup-compatibility/2006">
          <mc:Choice Requires="x14">
            <control shapeId="14340" r:id="rId5" name="Button 4">
              <controlPr defaultSize="0" print="0" autoFill="0" autoPict="0" macro="[0]!Clockwise_Buttom">
                <anchor moveWithCells="1" sizeWithCells="1">
                  <from>
                    <xdr:col>20</xdr:col>
                    <xdr:colOff>457200</xdr:colOff>
                    <xdr:row>7</xdr:row>
                    <xdr:rowOff>25400</xdr:rowOff>
                  </from>
                  <to>
                    <xdr:col>23</xdr:col>
                    <xdr:colOff>0</xdr:colOff>
                    <xdr:row>9</xdr:row>
                    <xdr:rowOff>38100</xdr:rowOff>
                  </to>
                </anchor>
              </controlPr>
            </control>
          </mc:Choice>
        </mc:AlternateContent>
        <mc:AlternateContent xmlns:mc="http://schemas.openxmlformats.org/markup-compatibility/2006">
          <mc:Choice Requires="x14">
            <control shapeId="14341" r:id="rId6" name="Button 5">
              <controlPr defaultSize="0" print="0" autoFill="0" autoPict="0" macro="[0]!Anti_Clockwise_Buttom">
                <anchor moveWithCells="1" sizeWithCells="1">
                  <from>
                    <xdr:col>23</xdr:col>
                    <xdr:colOff>12700</xdr:colOff>
                    <xdr:row>7</xdr:row>
                    <xdr:rowOff>25400</xdr:rowOff>
                  </from>
                  <to>
                    <xdr:col>26</xdr:col>
                    <xdr:colOff>12700</xdr:colOff>
                    <xdr:row>9</xdr:row>
                    <xdr:rowOff>38100</xdr:rowOff>
                  </to>
                </anchor>
              </controlPr>
            </control>
          </mc:Choice>
        </mc:AlternateContent>
        <mc:AlternateContent xmlns:mc="http://schemas.openxmlformats.org/markup-compatibility/2006">
          <mc:Choice Requires="x14">
            <control shapeId="14342" r:id="rId7" name="Button 6">
              <controlPr defaultSize="0" print="0" autoFill="0" autoPict="0" macro="[0]!Last_2Hours">
                <anchor moveWithCells="1" sizeWithCells="1">
                  <from>
                    <xdr:col>20</xdr:col>
                    <xdr:colOff>25400</xdr:colOff>
                    <xdr:row>5</xdr:row>
                    <xdr:rowOff>12700</xdr:rowOff>
                  </from>
                  <to>
                    <xdr:col>20</xdr:col>
                    <xdr:colOff>444500</xdr:colOff>
                    <xdr:row>7</xdr:row>
                    <xdr:rowOff>25400</xdr:rowOff>
                  </to>
                </anchor>
              </controlPr>
            </control>
          </mc:Choice>
        </mc:AlternateContent>
        <mc:AlternateContent xmlns:mc="http://schemas.openxmlformats.org/markup-compatibility/2006">
          <mc:Choice Requires="x14">
            <control shapeId="14343" r:id="rId8" name="Button 7">
              <controlPr defaultSize="0" print="0" autoFill="0" autoPict="0" macro="[0]!Last_Date">
                <anchor moveWithCells="1" sizeWithCells="1">
                  <from>
                    <xdr:col>20</xdr:col>
                    <xdr:colOff>25400</xdr:colOff>
                    <xdr:row>2</xdr:row>
                    <xdr:rowOff>76200</xdr:rowOff>
                  </from>
                  <to>
                    <xdr:col>20</xdr:col>
                    <xdr:colOff>444500</xdr:colOff>
                    <xdr:row>5</xdr:row>
                    <xdr:rowOff>0</xdr:rowOff>
                  </to>
                </anchor>
              </controlPr>
            </control>
          </mc:Choice>
        </mc:AlternateContent>
        <mc:AlternateContent xmlns:mc="http://schemas.openxmlformats.org/markup-compatibility/2006">
          <mc:Choice Requires="x14">
            <control shapeId="14344" r:id="rId9" name="Button 8">
              <controlPr defaultSize="0" print="0" autoFill="0" autoPict="0" macro="[0]!Next_2Hours">
                <anchor moveWithCells="1" sizeWithCells="1">
                  <from>
                    <xdr:col>20</xdr:col>
                    <xdr:colOff>457200</xdr:colOff>
                    <xdr:row>5</xdr:row>
                    <xdr:rowOff>12700</xdr:rowOff>
                  </from>
                  <to>
                    <xdr:col>23</xdr:col>
                    <xdr:colOff>0</xdr:colOff>
                    <xdr:row>7</xdr:row>
                    <xdr:rowOff>25400</xdr:rowOff>
                  </to>
                </anchor>
              </controlPr>
            </control>
          </mc:Choice>
        </mc:AlternateContent>
        <mc:AlternateContent xmlns:mc="http://schemas.openxmlformats.org/markup-compatibility/2006">
          <mc:Choice Requires="x14">
            <control shapeId="14345" r:id="rId10" name="Button 9">
              <controlPr defaultSize="0" print="0" autoFill="0" autoPict="0" macro="[0]!Next_Date">
                <anchor moveWithCells="1" sizeWithCells="1">
                  <from>
                    <xdr:col>20</xdr:col>
                    <xdr:colOff>457200</xdr:colOff>
                    <xdr:row>2</xdr:row>
                    <xdr:rowOff>76200</xdr:rowOff>
                  </from>
                  <to>
                    <xdr:col>23</xdr:col>
                    <xdr:colOff>0</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Excel iOS</Application>
  <DocSecurity>0</DocSecurity>
  <ScaleCrop>false</ScaleCrop>
  <HeadingPairs>
    <vt:vector size="4" baseType="variant">
      <vt:variant>
        <vt:lpstr>Worksheets</vt:lpstr>
      </vt:variant>
      <vt:variant>
        <vt:i4>1</vt:i4>
      </vt:variant>
      <vt:variant>
        <vt:lpstr>Named Ranges</vt:lpstr>
      </vt:variant>
      <vt:variant>
        <vt:i4>129</vt:i4>
      </vt:variant>
    </vt:vector>
  </HeadingPairs>
  <TitlesOfParts>
    <vt:vector size="130" baseType="lpstr">
      <vt:lpstr>Worksheet</vt:lpstr>
      <vt:lpstr>Data (nextday)!Display_Year</vt:lpstr>
      <vt:lpstr>Display_Year</vt:lpstr>
      <vt:lpstr>Data (nextday)!HighLight</vt:lpstr>
      <vt:lpstr>HighLight</vt:lpstr>
      <vt:lpstr>Worksheet!Print_Area</vt:lpstr>
      <vt:lpstr>Data (nextday)!上月天数</vt:lpstr>
      <vt:lpstr>上月天数</vt:lpstr>
      <vt:lpstr>Data (nextday)!公历年天数</vt:lpstr>
      <vt:lpstr>公历年天数</vt:lpstr>
      <vt:lpstr>Data (nextday)!公历节日清单</vt:lpstr>
      <vt:lpstr>公历节日清单</vt:lpstr>
      <vt:lpstr>Data (nextday)!农历初始日期</vt:lpstr>
      <vt:lpstr>农历初始日期</vt:lpstr>
      <vt:lpstr>Data (nextday)!农历节日清单</vt:lpstr>
      <vt:lpstr>农历节日清单</vt:lpstr>
      <vt:lpstr>Data (nextday)!农历闰年否</vt:lpstr>
      <vt:lpstr>农历闰年否</vt:lpstr>
      <vt:lpstr>Data (nextday)!分</vt:lpstr>
      <vt:lpstr>分</vt:lpstr>
      <vt:lpstr>Data (nextday)!在查日</vt:lpstr>
      <vt:lpstr>在查日</vt:lpstr>
      <vt:lpstr>Data (nextday)!在查日期</vt:lpstr>
      <vt:lpstr>在查日期</vt:lpstr>
      <vt:lpstr>Data (nextday)!在查时</vt:lpstr>
      <vt:lpstr>在查时</vt:lpstr>
      <vt:lpstr>Data (nextday)!在查阴历</vt:lpstr>
      <vt:lpstr>在查阴历</vt:lpstr>
      <vt:lpstr>Data (nextday)!地支</vt:lpstr>
      <vt:lpstr>地支</vt:lpstr>
      <vt:lpstr>Data (nextday)!地支列</vt:lpstr>
      <vt:lpstr>地支列</vt:lpstr>
      <vt:lpstr>Data (nextday)!天干</vt:lpstr>
      <vt:lpstr>天干</vt:lpstr>
      <vt:lpstr>Data (nextday)!天干列</vt:lpstr>
      <vt:lpstr>天干列</vt:lpstr>
      <vt:lpstr>Data (nextday)!小知识</vt:lpstr>
      <vt:lpstr>小知识</vt:lpstr>
      <vt:lpstr>Data (nextday)!年</vt:lpstr>
      <vt:lpstr>年</vt:lpstr>
      <vt:lpstr>Data (nextday)!年份</vt:lpstr>
      <vt:lpstr>年份</vt:lpstr>
      <vt:lpstr>Data (nextday)!年份列表</vt:lpstr>
      <vt:lpstr>年份列表</vt:lpstr>
      <vt:lpstr>Data (nextday)!年号</vt:lpstr>
      <vt:lpstr>年号</vt:lpstr>
      <vt:lpstr>Data (nextday)!日</vt:lpstr>
      <vt:lpstr>日</vt:lpstr>
      <vt:lpstr>Data (nextday)!日干</vt:lpstr>
      <vt:lpstr>日干</vt:lpstr>
      <vt:lpstr>Data (nextday)!日支</vt:lpstr>
      <vt:lpstr>日支</vt:lpstr>
      <vt:lpstr>Data (nextday)!日期列表</vt:lpstr>
      <vt:lpstr>日期列表</vt:lpstr>
      <vt:lpstr>Data (nextday)!时</vt:lpstr>
      <vt:lpstr>时</vt:lpstr>
      <vt:lpstr>Data (nextday)!时辰</vt:lpstr>
      <vt:lpstr>时辰</vt:lpstr>
      <vt:lpstr>Data (nextday)!时间列</vt:lpstr>
      <vt:lpstr>时间列</vt:lpstr>
      <vt:lpstr>Data (nextday)!星期别</vt:lpstr>
      <vt:lpstr>星期别</vt:lpstr>
      <vt:lpstr>Data (nextday)!显示月历插图</vt:lpstr>
      <vt:lpstr>显示月历插图</vt:lpstr>
      <vt:lpstr>Data (nextday)!月</vt:lpstr>
      <vt:lpstr>月</vt:lpstr>
      <vt:lpstr>Data (nextday)!月份</vt:lpstr>
      <vt:lpstr>月份</vt:lpstr>
      <vt:lpstr>Data (nextday)!月份列</vt:lpstr>
      <vt:lpstr>月份列</vt:lpstr>
      <vt:lpstr>Data (nextday)!月干</vt:lpstr>
      <vt:lpstr>月干</vt:lpstr>
      <vt:lpstr>Data (nextday)!月支</vt:lpstr>
      <vt:lpstr>月支</vt:lpstr>
      <vt:lpstr>Data (nextday)!月首星期数</vt:lpstr>
      <vt:lpstr>月首星期数</vt:lpstr>
      <vt:lpstr>Data (nextday)!朔望月</vt:lpstr>
      <vt:lpstr>朔望月</vt:lpstr>
      <vt:lpstr>Data (nextday)!朝代起年</vt:lpstr>
      <vt:lpstr>朝代起年</vt:lpstr>
      <vt:lpstr>Data (nextday)!本月天数</vt:lpstr>
      <vt:lpstr>本月天数</vt:lpstr>
      <vt:lpstr>Data (nextday)!查询状态</vt:lpstr>
      <vt:lpstr>查询状态</vt:lpstr>
      <vt:lpstr>Data (nextday)!每月天数</vt:lpstr>
      <vt:lpstr>每月天数</vt:lpstr>
      <vt:lpstr>Data (nextday)!生肖</vt:lpstr>
      <vt:lpstr>生肖</vt:lpstr>
      <vt:lpstr>Data (nextday)!生肖列</vt:lpstr>
      <vt:lpstr>生肖列</vt:lpstr>
      <vt:lpstr>Data (nextday)!生肖图片组别</vt:lpstr>
      <vt:lpstr>生肖图片组别</vt:lpstr>
      <vt:lpstr>Data (nextday)!系统误差</vt:lpstr>
      <vt:lpstr>系统误差</vt:lpstr>
      <vt:lpstr>Data (nextday)!节气1</vt:lpstr>
      <vt:lpstr>节气1</vt:lpstr>
      <vt:lpstr>Data (nextday)!节气2</vt:lpstr>
      <vt:lpstr>节气2</vt:lpstr>
      <vt:lpstr>Data (nextday)!节气初始时刻</vt:lpstr>
      <vt:lpstr>节气初始时刻</vt:lpstr>
      <vt:lpstr>Data (nextday)!节气名称</vt:lpstr>
      <vt:lpstr>节气名称</vt:lpstr>
      <vt:lpstr>Data (nextday)!节气日期1</vt:lpstr>
      <vt:lpstr>节气日期1</vt:lpstr>
      <vt:lpstr>Data (nextday)!节气日期2</vt:lpstr>
      <vt:lpstr>节气日期2</vt:lpstr>
      <vt:lpstr>Data (nextday)!节气跨度</vt:lpstr>
      <vt:lpstr>节气跨度</vt:lpstr>
      <vt:lpstr>Data (nextday)!英文月份</vt:lpstr>
      <vt:lpstr>英文月份</vt:lpstr>
      <vt:lpstr>Data (nextday)!问候</vt:lpstr>
      <vt:lpstr>问候</vt:lpstr>
      <vt:lpstr>Data (nextday)!闰年否</vt:lpstr>
      <vt:lpstr>闰年否</vt:lpstr>
      <vt:lpstr>Data (nextday)!阴历下下月</vt:lpstr>
      <vt:lpstr>阴历下下月</vt:lpstr>
      <vt:lpstr>Data (nextday)!阴历下月</vt:lpstr>
      <vt:lpstr>阴历下月</vt:lpstr>
      <vt:lpstr>Data (nextday)!阴历初Start</vt:lpstr>
      <vt:lpstr>阴历初Start</vt:lpstr>
      <vt:lpstr>Data (nextday)!阴历年</vt:lpstr>
      <vt:lpstr>阴历年</vt:lpstr>
      <vt:lpstr>Data (nextday)!阴历月</vt:lpstr>
      <vt:lpstr>阴历月</vt:lpstr>
      <vt:lpstr>Data (nextday)!阴历月pnt</vt:lpstr>
      <vt:lpstr>阴历月pnt</vt:lpstr>
      <vt:lpstr>Data (nextday)!阴历月表</vt:lpstr>
      <vt:lpstr>阴历月表</vt:lpstr>
      <vt:lpstr>Data (nextday)!阴历本月</vt:lpstr>
      <vt:lpstr>阴历本月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Wong</dc:creator>
  <cp:lastModifiedBy>Microsoft Office User</cp:lastModifiedBy>
  <cp:lastPrinted>2014-03-04T12:46:57Z</cp:lastPrinted>
  <dcterms:created xsi:type="dcterms:W3CDTF">2001-05-05T03:13:56Z</dcterms:created>
  <dcterms:modified xsi:type="dcterms:W3CDTF">2023-09-01T09:33:56Z</dcterms:modified>
</cp:coreProperties>
</file>